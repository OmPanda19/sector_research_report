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7.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worksheets/sheet8.xml" ContentType="application/vnd.openxmlformats-officedocument.spreadsheetml.worksheet+xml"/>
  <Override PartName="/xl/tables/table11.xml" ContentType="application/vnd.openxmlformats-officedocument.spreadsheetml.table+xml"/>
  <Override PartName="/xl/worksheets/sheet9.xml" ContentType="application/vnd.openxmlformats-officedocument.spreadsheetml.worksheet+xml"/>
  <Override PartName="/xl/tables/table12.xml" ContentType="application/vnd.openxmlformats-officedocument.spreadsheetml.table+xml"/>
  <Override PartName="/xl/worksheets/sheet10.xml" ContentType="application/vnd.openxmlformats-officedocument.spreadsheetml.workshee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worksheets/sheet11.xml" ContentType="application/vnd.openxmlformats-officedocument.spreadsheetml.worksheet+xml"/>
  <Override PartName="/xl/tables/table18.xml" ContentType="application/vnd.openxmlformats-officedocument.spreadsheetml.table+xml"/>
  <Override PartName="/xl/worksheets/sheet12.xml" ContentType="application/vnd.openxmlformats-officedocument.spreadsheetml.worksheet+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worksheets/sheet13.xml" ContentType="application/vnd.openxmlformats-officedocument.spreadsheetml.workshee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worksheets/sheet14.xml" ContentType="application/vnd.openxmlformats-officedocument.spreadsheetml.worksheet+xml"/>
  <Override PartName="/xl/tables/table27.xml" ContentType="application/vnd.openxmlformats-officedocument.spreadsheetml.table+xml"/>
  <Override PartName="/xl/worksheets/sheet15.xml" ContentType="application/vnd.openxmlformats-officedocument.spreadsheetml.worksheet+xml"/>
  <Override PartName="/xl/tables/table28.xml" ContentType="application/vnd.openxmlformats-officedocument.spreadsheetml.table+xml"/>
  <Override PartName="/xl/worksheets/sheet16.xml" ContentType="application/vnd.openxmlformats-officedocument.spreadsheetml.worksheet+xml"/>
  <Override PartName="/xl/tables/table29.xml" ContentType="application/vnd.openxmlformats-officedocument.spreadsheetml.table+xml"/>
  <Override PartName="/xl/worksheets/sheet17.xml" ContentType="application/vnd.openxmlformats-officedocument.spreadsheetml.worksheet+xml"/>
  <Override PartName="/xl/tables/table30.xml" ContentType="application/vnd.openxmlformats-officedocument.spreadsheetml.table+xml"/>
  <Override PartName="/xl/worksheets/sheet18.xml" ContentType="application/vnd.openxmlformats-officedocument.spreadsheetml.worksheet+xml"/>
  <Override PartName="/xl/tables/table3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ntents" sheetId="2" state="visible" r:id="rId2"/>
    <sheet name="Company List" sheetId="3" state="visible" r:id="rId3"/>
    <sheet name="Production Capacity" sheetId="4" state="visible" r:id="rId4"/>
    <sheet name="Production Volume" sheetId="5" state="visible" r:id="rId5"/>
    <sheet name="Revenue" sheetId="6" state="visible" r:id="rId6"/>
    <sheet name="EBITDA" sheetId="7" state="visible" r:id="rId7"/>
    <sheet name="EBITDA per Ton" sheetId="8" state="visible" r:id="rId8"/>
    <sheet name="Steel Prices" sheetId="9" state="visible" r:id="rId9"/>
    <sheet name="Iron Ore Prices" sheetId="10" state="visible" r:id="rId10"/>
    <sheet name="Coking Coal Prices" sheetId="11" state="visible" r:id="rId11"/>
    <sheet name="Demand &amp; Consumption" sheetId="12" state="visible" r:id="rId12"/>
    <sheet name="Imports &amp; Exports" sheetId="13" state="visible" r:id="rId13"/>
    <sheet name="Government Policies" sheetId="14" state="visible" r:id="rId14"/>
    <sheet name="Industry KPIs" sheetId="15" state="visible" r:id="rId15"/>
    <sheet name="Sources" sheetId="16" state="visible" r:id="rId16"/>
    <sheet name="Data Dictionary" sheetId="17" state="visible" r:id="rId17"/>
    <sheet name="Conflicts Log" sheetId="18" state="visible" r:id="rId18"/>
  </sheets>
  <definedNames>
    <definedName name="_xlnm.Print_Titles" localSheetId="2">'Company List'!$19:$19</definedName>
    <definedName name="_xlnm.Print_Titles" localSheetId="3">'Production Capacity'!$43:$43</definedName>
    <definedName name="_xlnm.Print_Titles" localSheetId="4">'Production Volume'!$30:$30</definedName>
    <definedName name="_xlnm.Print_Titles" localSheetId="5">'Revenue'!$35:$35</definedName>
    <definedName name="_xlnm.Print_Titles" localSheetId="6">'EBITDA'!$35:$35</definedName>
    <definedName name="_xlnm.Print_Titles" localSheetId="7">'EBITDA per Ton'!$17:$17</definedName>
    <definedName name="_xlnm.Print_Titles" localSheetId="8">'Steel Prices'!$17:$17</definedName>
    <definedName name="_xlnm.Print_Titles" localSheetId="9">'Iron Ore Prices'!$74:$74</definedName>
    <definedName name="_xlnm.Print_Titles" localSheetId="10">'Coking Coal Prices'!$19:$19</definedName>
    <definedName name="_xlnm.Print_Titles" localSheetId="11">'Demand &amp; Consumption'!$49:$49</definedName>
    <definedName name="_xlnm.Print_Titles" localSheetId="12">'Imports &amp; Exports'!$67:$67</definedName>
    <definedName name="_xlnm.Print_Titles" localSheetId="13">'Government Policies'!$17:$17</definedName>
    <definedName name="_xlnm.Print_Titles" localSheetId="14">'Industry KPIs'!$17:$17</definedName>
    <definedName name="_xlnm.Print_Titles" localSheetId="15">'Sources'!$17:$17</definedName>
    <definedName name="_xlnm.Print_Titles" localSheetId="16">'Data Dictionary'!$17:$17</definedName>
    <definedName name="_xlnm.Print_Titles" localSheetId="17">'Conflicts Log'!$17:$17</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00;(#,##0.000)"/>
    <numFmt numFmtId="167" formatCode="0.0%;(0.0%)"/>
    <numFmt numFmtId="168" formatCode="#,##0.00;(#,##0.00)"/>
  </numFmts>
  <fonts count="9">
    <font>
      <name val="Calibri"/>
      <family val="2"/>
      <color theme="1"/>
      <sz val="11"/>
      <scheme val="minor"/>
    </font>
    <font>
      <name val="Calibri"/>
      <b val="1"/>
      <color rgb="001F3864"/>
      <sz val="14"/>
    </font>
    <font>
      <name val="Calibri"/>
      <b val="1"/>
      <color rgb="001F3864"/>
      <sz val="11"/>
    </font>
    <font>
      <name val="Calibri"/>
      <color rgb="00595959"/>
      <sz val="9"/>
    </font>
    <font>
      <name val="Calibri"/>
      <b val="1"/>
      <color rgb="00595959"/>
      <sz val="9"/>
    </font>
    <font>
      <name val="Calibri"/>
      <b val="1"/>
      <color rgb="001F3864"/>
      <sz val="10"/>
    </font>
    <font>
      <name val="Calibri"/>
      <i val="1"/>
      <color rgb="00595959"/>
      <sz val="8"/>
    </font>
    <font>
      <name val="Calibri"/>
      <b val="1"/>
      <color rgb="00FFFFFF"/>
      <sz val="10"/>
    </font>
    <font>
      <name val="Calibri"/>
      <color rgb="00000000"/>
      <sz val="10"/>
    </font>
  </fonts>
  <fills count="3">
    <fill>
      <patternFill/>
    </fill>
    <fill>
      <patternFill patternType="gray125"/>
    </fill>
    <fill>
      <patternFill patternType="solid">
        <fgColor rgb="001F3864"/>
      </patternFill>
    </fill>
  </fills>
  <borders count="2">
    <border>
      <left/>
      <right/>
      <top/>
      <bottom/>
      <diagonal/>
    </border>
    <border>
      <bottom style="thin">
        <color rgb="001F3864"/>
      </bottom>
    </border>
  </borders>
  <cellStyleXfs count="1">
    <xf numFmtId="0" fontId="0" fillId="0" borderId="0"/>
  </cellStyleXfs>
  <cellXfs count="19">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0" borderId="0"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7" fillId="2" borderId="1" applyAlignment="1" pivotButton="0" quotePrefix="0" xfId="0">
      <alignment horizontal="center" vertical="bottom" wrapText="1"/>
    </xf>
    <xf numFmtId="0" fontId="7" fillId="2" borderId="1" applyAlignment="1" pivotButton="0" quotePrefix="0" xfId="0">
      <alignment horizontal="left" vertical="bottom" wrapText="1"/>
    </xf>
    <xf numFmtId="0" fontId="8" fillId="0" borderId="0" applyAlignment="1" pivotButton="0" quotePrefix="0" xfId="0">
      <alignment horizontal="center" vertical="top" wrapText="1"/>
    </xf>
    <xf numFmtId="164" fontId="8" fillId="0" borderId="0" applyAlignment="1" pivotButton="0" quotePrefix="0" xfId="0">
      <alignment horizontal="right" vertical="top"/>
    </xf>
    <xf numFmtId="49" fontId="8" fillId="0" borderId="0" applyAlignment="1" pivotButton="0" quotePrefix="0" xfId="0">
      <alignment horizontal="left" vertical="top"/>
    </xf>
    <xf numFmtId="49" fontId="3" fillId="0" borderId="0" applyAlignment="1" pivotButton="0" quotePrefix="0" xfId="0">
      <alignment horizontal="left" vertical="top" wrapText="1"/>
    </xf>
    <xf numFmtId="0" fontId="6" fillId="0" borderId="0" applyAlignment="1" pivotButton="0" quotePrefix="0" xfId="0">
      <alignment horizontal="left" vertical="top" wrapText="1"/>
    </xf>
    <xf numFmtId="165" fontId="8" fillId="0" borderId="0" applyAlignment="1" pivotButton="0" quotePrefix="0" xfId="0">
      <alignment horizontal="right" vertical="top"/>
    </xf>
    <xf numFmtId="0" fontId="8" fillId="0" borderId="0" applyAlignment="1" pivotButton="0" quotePrefix="0" xfId="0">
      <alignment horizontal="left" vertical="top"/>
    </xf>
    <xf numFmtId="166" fontId="8" fillId="0" borderId="0" applyAlignment="1" pivotButton="0" quotePrefix="0" xfId="0">
      <alignment horizontal="right" vertical="top"/>
    </xf>
    <xf numFmtId="167" fontId="8" fillId="0" borderId="0" applyAlignment="1" pivotButton="0" quotePrefix="0" xfId="0">
      <alignment horizontal="right" vertical="top"/>
    </xf>
    <xf numFmtId="168" fontId="8" fillId="0" borderId="0"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ables/table1.xml><?xml version="1.0" encoding="utf-8"?>
<table xmlns="http://schemas.openxmlformats.org/spreadsheetml/2006/main" id="1" name="tbl_CompanyList" displayName="tbl_CompanyList" ref="A19:R34" headerRowCount="1">
  <autoFilter ref="A19:R34"/>
  <tableColumns count="18">
    <tableColumn id="1" name="#"/>
    <tableColumn id="2" name="Company (legal name)"/>
    <tableColumn id="3" name="Short Name"/>
    <tableColumn id="4" name="Coverage Tier"/>
    <tableColumn id="5" name="NSE Symbol"/>
    <tableColumn id="6" name="Listing Status"/>
    <tableColumn id="7" name="Controlling Shareholder / Promoter Group"/>
    <tableColumn id="8" name="Primary Steelmaking Route"/>
    <tableColumn id="9" name="Principal Assets / Locations"/>
    <tableColumn id="10" name="Product Focus"/>
    <tableColumn id="11" name="Consolidation Basis Used In This Workbook"/>
    <tableColumn id="12" name="Fiscal Year End"/>
    <tableColumn id="13" name="Reporting Currency"/>
    <tableColumn id="14" name="Latest Reported Period At Cutoff"/>
    <tableColumn id="15" name="Asset Detail Verification"/>
    <tableColumn id="16" name="Source ID"/>
    <tableColumn id="17" name="Confidence"/>
    <tableColumn id="18" name="Notes"/>
  </tableColumns>
  <tableStyleInfo name="TableStyleLight1" showFirstColumn="0" showLastColumn="0" showRowStripes="0" showColumnStripes="0"/>
</table>
</file>

<file path=xl/tables/table2.xml><?xml version="1.0" encoding="utf-8"?>
<table xmlns="http://schemas.openxmlformats.org/spreadsheetml/2006/main" id="2" name="tbl_CapacityIndustry" displayName="tbl_CapacityIndustry" ref="A18:K21" headerRowCount="1">
  <autoFilter ref="A18:K21"/>
  <tableColumns count="11">
    <tableColumn id="1" name="Metric"/>
    <tableColumn id="2" name="Unit"/>
    <tableColumn id="3" name="FY2024"/>
    <tableColumn id="4" name="FY2025"/>
    <tableColumn id="5" name="FY2026"/>
    <tableColumn id="6" name="FY2031 Target"/>
    <tableColumn id="7" name="Period Type"/>
    <tableColumn id="8" name="Source ID"/>
    <tableColumn id="9" name="Methodology"/>
    <tableColumn id="10" name="Confidence"/>
    <tableColumn id="11" name="Notes"/>
  </tableColumns>
  <tableStyleInfo name="TableStyleLight1" showFirstColumn="0" showLastColumn="0" showRowStripes="0" showColumnStripes="0"/>
</table>
</file>

<file path=xl/tables/table3.xml><?xml version="1.0" encoding="utf-8"?>
<table xmlns="http://schemas.openxmlformats.org/spreadsheetml/2006/main" id="3" name="tbl_CapacityCompany" displayName="tbl_CapacityCompany" ref="A24:M40" headerRowCount="1">
  <autoFilter ref="A24:M40"/>
  <tableColumns count="13">
    <tableColumn id="1" name="Company"/>
    <tableColumn id="2" name="Coverage Tier"/>
    <tableColumn id="3" name="Capacity Definition"/>
    <tableColumn id="4" name="Unit"/>
    <tableColumn id="5" name="Capacity At FY2026 Year-End"/>
    <tableColumn id="6" name="Announced / Approved Growth Pipeline"/>
    <tableColumn id="7" name="Indicative Capacity On Completion"/>
    <tableColumn id="8" name="Approval Status Of Pipeline"/>
    <tableColumn id="9" name="Target Date"/>
    <tableColumn id="10" name="Source ID"/>
    <tableColumn id="11" name="Methodology"/>
    <tableColumn id="12" name="Confidence"/>
    <tableColumn id="13" name="Notes"/>
  </tableColumns>
  <tableStyleInfo name="TableStyleLight1" showFirstColumn="0" showLastColumn="0" showRowStripes="0" showColumnStripes="0"/>
</table>
</file>

<file path=xl/tables/table4.xml><?xml version="1.0" encoding="utf-8"?>
<table xmlns="http://schemas.openxmlformats.org/spreadsheetml/2006/main" id="4" name="tbl_CapacitySAIL" displayName="tbl_CapacitySAIL" ref="A43:G51" headerRowCount="1">
  <autoFilter ref="A43:G51"/>
  <tableColumns count="7">
    <tableColumn id="1" name="SAIL Plant"/>
    <tableColumn id="2" name="State"/>
    <tableColumn id="3" name="Capacity (Mtpa)"/>
    <tableColumn id="4" name="Average Capacity Utilisation FY2021-FY2025 (%)"/>
    <tableColumn id="5" name="Source ID"/>
    <tableColumn id="6" name="Confidence"/>
    <tableColumn id="7" name="Notes"/>
  </tableColumns>
  <tableStyleInfo name="TableStyleLight1" showFirstColumn="0" showLastColumn="0" showRowStripes="0" showColumnStripes="0"/>
</table>
</file>

<file path=xl/tables/table5.xml><?xml version="1.0" encoding="utf-8"?>
<table xmlns="http://schemas.openxmlformats.org/spreadsheetml/2006/main" id="5" name="tbl_VolumeIndustry" displayName="tbl_VolumeIndustry" ref="A18:M27" headerRowCount="1">
  <autoFilter ref="A18:M27"/>
  <tableColumns count="13">
    <tableColumn id="1" name="Series"/>
    <tableColumn id="2" name="Unit"/>
    <tableColumn id="3" name="FY2022"/>
    <tableColumn id="4" name="FY2023"/>
    <tableColumn id="5" name="FY2024"/>
    <tableColumn id="6" name="FY2025"/>
    <tableColumn id="7" name="FY2026"/>
    <tableColumn id="8" name="Period Type"/>
    <tableColumn id="9" name="Compiler"/>
    <tableColumn id="10" name="Source ID"/>
    <tableColumn id="11" name="Methodology"/>
    <tableColumn id="12" name="Confidence"/>
    <tableColumn id="13" name="Notes"/>
  </tableColumns>
  <tableStyleInfo name="TableStyleLight1" showFirstColumn="0" showLastColumn="0" showRowStripes="0" showColumnStripes="0"/>
</table>
</file>

<file path=xl/tables/table6.xml><?xml version="1.0" encoding="utf-8"?>
<table xmlns="http://schemas.openxmlformats.org/spreadsheetml/2006/main" id="6" name="tbl_VolumeCompany" displayName="tbl_VolumeCompany" ref="A30:M62" headerRowCount="1">
  <autoFilter ref="A30:M62"/>
  <tableColumns count="13">
    <tableColumn id="1" name="Company"/>
    <tableColumn id="2" name="Metric"/>
    <tableColumn id="3" name="Unit"/>
    <tableColumn id="4" name="Reporting Basis"/>
    <tableColumn id="5" name="FY2022"/>
    <tableColumn id="6" name="FY2023"/>
    <tableColumn id="7" name="FY2024"/>
    <tableColumn id="8" name="FY2025"/>
    <tableColumn id="9" name="FY2026"/>
    <tableColumn id="10" name="Source ID"/>
    <tableColumn id="11" name="Methodology"/>
    <tableColumn id="12" name="Confidence"/>
    <tableColumn id="13" name="Notes"/>
  </tableColumns>
  <tableStyleInfo name="TableStyleLight1" showFirstColumn="0" showLastColumn="0" showRowStripes="0" showColumnStripes="0"/>
</table>
</file>

<file path=xl/tables/table7.xml><?xml version="1.0" encoding="utf-8"?>
<table xmlns="http://schemas.openxmlformats.org/spreadsheetml/2006/main" id="7" name="tbl_Revenue" displayName="tbl_Revenue" ref="A18:Q32" headerRowCount="1">
  <autoFilter ref="A18:Q32"/>
  <tableColumns count="17">
    <tableColumn id="1" name="Company"/>
    <tableColumn id="2" name="Coverage Tier"/>
    <tableColumn id="3" name="Metric"/>
    <tableColumn id="4" name="Unit"/>
    <tableColumn id="5" name="Currency"/>
    <tableColumn id="6" name="Reporting Basis"/>
    <tableColumn id="7" name="FY2022"/>
    <tableColumn id="8" name="FY2023"/>
    <tableColumn id="9" name="FY2024"/>
    <tableColumn id="10" name="FY2025"/>
    <tableColumn id="11" name="FY2026"/>
    <tableColumn id="12" name="FY2026 Company-Headline Revenue (if different)"/>
    <tableColumn id="13" name="FY22-FY26 CAGR"/>
    <tableColumn id="14" name="Source ID"/>
    <tableColumn id="15" name="Methodology"/>
    <tableColumn id="16" name="Confidence"/>
    <tableColumn id="17" name="Notes"/>
  </tableColumns>
  <tableStyleInfo name="TableStyleLight1" showFirstColumn="0" showLastColumn="0" showRowStripes="0" showColumnStripes="0"/>
</table>
</file>

<file path=xl/tables/table8.xml><?xml version="1.0" encoding="utf-8"?>
<table xmlns="http://schemas.openxmlformats.org/spreadsheetml/2006/main" id="8" name="tbl_RevenueUSD" displayName="tbl_RevenueUSD" ref="A35:Q37" headerRowCount="1">
  <autoFilter ref="A35:Q37"/>
  <tableColumns count="17">
    <tableColumn id="1" name="Company"/>
    <tableColumn id="2" name="Coverage Tier"/>
    <tableColumn id="3" name="Metric"/>
    <tableColumn id="4" name="Unit"/>
    <tableColumn id="5" name="Currency"/>
    <tableColumn id="6" name="Reporting Basis"/>
    <tableColumn id="7" name="FY2022"/>
    <tableColumn id="8" name="FY2023"/>
    <tableColumn id="9" name="FY2024"/>
    <tableColumn id="10" name="FY2025"/>
    <tableColumn id="11" name="FY2026"/>
    <tableColumn id="12" name="FY2026 Company-Headline Revenue (if different)"/>
    <tableColumn id="13" name="FY22-FY26 CAGR"/>
    <tableColumn id="14" name="Source ID"/>
    <tableColumn id="15" name="Methodology"/>
    <tableColumn id="16" name="Confidence"/>
    <tableColumn id="17" name="Notes"/>
  </tableColumns>
  <tableStyleInfo name="TableStyleLight1" showFirstColumn="0" showLastColumn="0" showRowStripes="0" showColumnStripes="0"/>
</table>
</file>

<file path=xl/tables/table9.xml><?xml version="1.0" encoding="utf-8"?>
<table xmlns="http://schemas.openxmlformats.org/spreadsheetml/2006/main" id="9" name="tbl_EBITDA" displayName="tbl_EBITDA" ref="A18:T32" headerRowCount="1">
  <autoFilter ref="A18:T32"/>
  <tableColumns count="20">
    <tableColumn id="1" name="Company"/>
    <tableColumn id="2" name="Coverage Tier"/>
    <tableColumn id="3" name="Unit"/>
    <tableColumn id="4" name="Currency"/>
    <tableColumn id="5" name="Reporting Basis"/>
    <tableColumn id="6" name="EBITDA Definition Used By Company"/>
    <tableColumn id="7" name="Other Income Included In Reported EBITDA?"/>
    <tableColumn id="8" name="Reported FY2025"/>
    <tableColumn id="9" name="Reported FY2026"/>
    <tableColumn id="10" name="Standardised FY2022"/>
    <tableColumn id="11" name="Standardised FY2023"/>
    <tableColumn id="12" name="Standardised FY2024"/>
    <tableColumn id="13" name="Standardised FY2025"/>
    <tableColumn id="14" name="Standardised FY2026"/>
    <tableColumn id="15" name="FY2026 Revenue from Operations (memo)"/>
    <tableColumn id="16" name="Standardised FY2026 Margin"/>
    <tableColumn id="17" name="Source ID"/>
    <tableColumn id="18" name="Methodology"/>
    <tableColumn id="19" name="Confidence"/>
    <tableColumn id="20" name="Notes"/>
  </tableColumns>
  <tableStyleInfo name="TableStyleLight1" showFirstColumn="0" showLastColumn="0" showRowStripes="0" showColumnStripes="0"/>
</table>
</file>

<file path=xl/tables/table10.xml><?xml version="1.0" encoding="utf-8"?>
<table xmlns="http://schemas.openxmlformats.org/spreadsheetml/2006/main" id="10" name="tbl_EBITDAUSD" displayName="tbl_EBITDAUSD" ref="A35:T37" headerRowCount="1">
  <autoFilter ref="A35:T37"/>
  <tableColumns count="20">
    <tableColumn id="1" name="Company"/>
    <tableColumn id="2" name="Coverage Tier"/>
    <tableColumn id="3" name="Unit"/>
    <tableColumn id="4" name="Currency"/>
    <tableColumn id="5" name="Reporting Basis"/>
    <tableColumn id="6" name="EBITDA Definition Used By Company"/>
    <tableColumn id="7" name="Other Income Included In Reported EBITDA?"/>
    <tableColumn id="8" name="Reported FY2025"/>
    <tableColumn id="9" name="Reported FY2026"/>
    <tableColumn id="10" name="Standardised FY2022"/>
    <tableColumn id="11" name="Standardised FY2023"/>
    <tableColumn id="12" name="Standardised FY2024"/>
    <tableColumn id="13" name="Standardised FY2025"/>
    <tableColumn id="14" name="Standardised FY2026"/>
    <tableColumn id="15" name="FY2026 Revenue from Operations (memo)"/>
    <tableColumn id="16" name="Standardised FY2026 Margin"/>
    <tableColumn id="17" name="Source ID"/>
    <tableColumn id="18" name="Methodology"/>
    <tableColumn id="19" name="Confidence"/>
    <tableColumn id="20" name="Notes"/>
  </tableColumns>
  <tableStyleInfo name="TableStyleLight1" showFirstColumn="0" showLastColumn="0" showRowStripes="0" showColumnStripes="0"/>
</table>
</file>

<file path=xl/tables/table11.xml><?xml version="1.0" encoding="utf-8"?>
<table xmlns="http://schemas.openxmlformats.org/spreadsheetml/2006/main" id="11" name="tbl_EBITDAPerTon" displayName="tbl_EBITDAPerTon" ref="A17:N34" headerRowCount="1">
  <autoFilter ref="A17:N34"/>
  <tableColumns count="14">
    <tableColumn id="1" name="Company"/>
    <tableColumn id="2" name="Basis / Segment"/>
    <tableColumn id="3" name="Unit"/>
    <tableColumn id="4" name="Currency"/>
    <tableColumn id="5" name="Volume Denominator"/>
    <tableColumn id="6" name="FY2025"/>
    <tableColumn id="7" name="FY2026"/>
    <tableColumn id="8" name="Q3FY2026"/>
    <tableColumn id="9" name="Q4FY2026"/>
    <tableColumn id="10" name="FY2027 Guidance"/>
    <tableColumn id="11" name="Source ID"/>
    <tableColumn id="12" name="Methodology"/>
    <tableColumn id="13" name="Confidence"/>
    <tableColumn id="14" name="Notes"/>
  </tableColumns>
  <tableStyleInfo name="TableStyleLight1" showFirstColumn="0" showLastColumn="0" showRowStripes="0" showColumnStripes="0"/>
</table>
</file>

<file path=xl/tables/table12.xml><?xml version="1.0" encoding="utf-8"?>
<table xmlns="http://schemas.openxmlformats.org/spreadsheetml/2006/main" id="12" name="tbl_SteelPrices" displayName="tbl_SteelPrices" ref="A17:P34" headerRowCount="1">
  <autoFilter ref="A17:P34"/>
  <tableColumns count="16">
    <tableColumn id="1" name="Series"/>
    <tableColumn id="2" name="Product / Grade"/>
    <tableColumn id="3" name="Geography"/>
    <tableColumn id="4" name="Assessment Basis"/>
    <tableColumn id="5" name="Unit"/>
    <tableColumn id="6" name="Currency"/>
    <tableColumn id="7" name="Observation Date / Period"/>
    <tableColumn id="8" name="Value"/>
    <tableColumn id="9" name="52-Week High"/>
    <tableColumn id="10" name="52-Week Low"/>
    <tableColumn id="11" name="Period Type"/>
    <tableColumn id="12" name="Source ID"/>
    <tableColumn id="13" name="Source Tier"/>
    <tableColumn id="14" name="Methodology"/>
    <tableColumn id="15" name="Confidence"/>
    <tableColumn id="16" name="Notes"/>
  </tableColumns>
  <tableStyleInfo name="TableStyleLight1" showFirstColumn="0" showLastColumn="0" showRowStripes="0" showColumnStripes="0"/>
</table>
</file>

<file path=xl/tables/table13.xml><?xml version="1.0" encoding="utf-8"?>
<table xmlns="http://schemas.openxmlformats.org/spreadsheetml/2006/main" id="13" name="tbl_IronOreFY" displayName="tbl_IronOreFY" ref="A20:H31" headerRowCount="1">
  <autoFilter ref="A20:H31"/>
  <tableColumns count="8">
    <tableColumn id="1" name="Fiscal Year"/>
    <tableColumn id="2" name="Iron Ore 62% Fe Fines, CFR China (US$/dmt)"/>
    <tableColumn id="3" name="Months In Average"/>
    <tableColumn id="4" name="Period Type"/>
    <tableColumn id="5" name="Source ID"/>
    <tableColumn id="6" name="Methodology"/>
    <tableColumn id="7" name="Confidence"/>
    <tableColumn id="8" name="Notes"/>
  </tableColumns>
  <tableStyleInfo name="TableStyleLight1" showFirstColumn="0" showLastColumn="0" showRowStripes="0" showColumnStripes="0"/>
</table>
</file>

<file path=xl/tables/table14.xml><?xml version="1.0" encoding="utf-8"?>
<table xmlns="http://schemas.openxmlformats.org/spreadsheetml/2006/main" id="14" name="tbl_IronOreCY" displayName="tbl_IronOreCY" ref="A34:G45" headerRowCount="1">
  <autoFilter ref="A34:G45"/>
  <tableColumns count="7">
    <tableColumn id="1" name="Calendar Year"/>
    <tableColumn id="2" name="Iron Ore 62% Fe Fines, CFR China (US$/dmt)"/>
    <tableColumn id="3" name="Period Type"/>
    <tableColumn id="4" name="Source ID"/>
    <tableColumn id="5" name="Methodology"/>
    <tableColumn id="6" name="Confidence"/>
    <tableColumn id="7" name="Notes"/>
  </tableColumns>
  <tableStyleInfo name="TableStyleLight1" showFirstColumn="0" showLastColumn="0" showRowStripes="0" showColumnStripes="0"/>
</table>
</file>

<file path=xl/tables/table15.xml><?xml version="1.0" encoding="utf-8"?>
<table xmlns="http://schemas.openxmlformats.org/spreadsheetml/2006/main" id="15" name="tbl_IronOreMonthly" displayName="tbl_IronOreMonthly" ref="A48:H63" headerRowCount="1">
  <autoFilter ref="A48:H63"/>
  <tableColumns count="8">
    <tableColumn id="1" name="Month"/>
    <tableColumn id="2" name="Iron Ore 62% Fe Fines, CFR China (US$/dmt)"/>
    <tableColumn id="3" name="Australian THERMAL Coal, FOB Newcastle 6000 kcal/kg (US$/mt)"/>
    <tableColumn id="4" name="Fiscal Year"/>
    <tableColumn id="5" name="Fiscal Quarter"/>
    <tableColumn id="6" name="Period Type"/>
    <tableColumn id="7" name="Source ID"/>
    <tableColumn id="8" name="Confidence"/>
  </tableColumns>
  <tableStyleInfo name="TableStyleLight1" showFirstColumn="0" showLastColumn="0" showRowStripes="0" showColumnStripes="0"/>
</table>
</file>

<file path=xl/tables/table16.xml><?xml version="1.0" encoding="utf-8"?>
<table xmlns="http://schemas.openxmlformats.org/spreadsheetml/2006/main" id="16" name="tbl_IronOreQtr" displayName="tbl_IronOreQtr" ref="A66:G71" headerRowCount="1">
  <autoFilter ref="A66:G71"/>
  <tableColumns count="7">
    <tableColumn id="1" name="Quarter"/>
    <tableColumn id="2" name="Iron Ore 62% Fe Fines, CFR China (US$/dmt)"/>
    <tableColumn id="3" name="Australian THERMAL Coal (US$/mt)"/>
    <tableColumn id="4" name="Period Type"/>
    <tableColumn id="5" name="Source ID"/>
    <tableColumn id="6" name="Methodology"/>
    <tableColumn id="7" name="Confidence"/>
  </tableColumns>
  <tableStyleInfo name="TableStyleLight1" showFirstColumn="0" showLastColumn="0" showRowStripes="0" showColumnStripes="0"/>
</table>
</file>

<file path=xl/tables/table17.xml><?xml version="1.0" encoding="utf-8"?>
<table xmlns="http://schemas.openxmlformats.org/spreadsheetml/2006/main" id="17" name="tbl_IronOreDomestic" displayName="tbl_IronOreDomestic" ref="A74:M86" headerRowCount="1">
  <autoFilter ref="A74:M86"/>
  <tableColumns count="13">
    <tableColumn id="1" name="Series"/>
    <tableColumn id="2" name="Producer / Assessor"/>
    <tableColumn id="3" name="Grade / Specification"/>
    <tableColumn id="4" name="Basis"/>
    <tableColumn id="5" name="Unit"/>
    <tableColumn id="6" name="Currency"/>
    <tableColumn id="7" name="Effective / Observation Date"/>
    <tableColumn id="8" name="Value"/>
    <tableColumn id="9" name="Period Type"/>
    <tableColumn id="10" name="Source ID"/>
    <tableColumn id="11" name="Source Tier"/>
    <tableColumn id="12" name="Confidence"/>
    <tableColumn id="13" name="Notes"/>
  </tableColumns>
  <tableStyleInfo name="TableStyleLight1" showFirstColumn="0" showLastColumn="0" showRowStripes="0" showColumnStripes="0"/>
</table>
</file>

<file path=xl/tables/table18.xml><?xml version="1.0" encoding="utf-8"?>
<table xmlns="http://schemas.openxmlformats.org/spreadsheetml/2006/main" id="18" name="tbl_CokingCoal" displayName="tbl_CokingCoal" ref="A19:O28" headerRowCount="1">
  <autoFilter ref="A19:O28"/>
  <tableColumns count="15">
    <tableColumn id="1" name="Benchmark / Assessment"/>
    <tableColumn id="2" name="Assessor"/>
    <tableColumn id="3" name="Grade"/>
    <tableColumn id="4" name="Delivery Term"/>
    <tableColumn id="5" name="Unit"/>
    <tableColumn id="6" name="Currency"/>
    <tableColumn id="7" name="Observation Date / Period"/>
    <tableColumn id="8" name="Value"/>
    <tableColumn id="9" name="52-Week High"/>
    <tableColumn id="10" name="52-Week Low"/>
    <tableColumn id="11" name="Period Type"/>
    <tableColumn id="12" name="Source ID"/>
    <tableColumn id="13" name="Source Tier"/>
    <tableColumn id="14" name="Confidence"/>
    <tableColumn id="15" name="Notes"/>
  </tableColumns>
  <tableStyleInfo name="TableStyleLight1" showFirstColumn="0" showLastColumn="0" showRowStripes="0" showColumnStripes="0"/>
</table>
</file>

<file path=xl/tables/table19.xml><?xml version="1.0" encoding="utf-8"?>
<table xmlns="http://schemas.openxmlformats.org/spreadsheetml/2006/main" id="19" name="tbl_Demand" displayName="tbl_Demand" ref="A18:K30" headerRowCount="1">
  <autoFilter ref="A18:K30"/>
  <tableColumns count="11">
    <tableColumn id="1" name="Fiscal Year"/>
    <tableColumn id="2" name="Total Finished Steel Consumption (Mt)"/>
    <tableColumn id="3" name="Growth (%)"/>
    <tableColumn id="4" name="Total Finished Steel Production (Mt)"/>
    <tableColumn id="5" name="Crude Steel Production (Mt)"/>
    <tableColumn id="6" name="Crude Steel Capacity (Mtpa)"/>
    <tableColumn id="7" name="Consumption As % Of Production"/>
    <tableColumn id="8" name="Period Type"/>
    <tableColumn id="9" name="Source ID"/>
    <tableColumn id="10" name="Confidence"/>
    <tableColumn id="11" name="Notes"/>
  </tableColumns>
  <tableStyleInfo name="TableStyleLight1" showFirstColumn="0" showLastColumn="0" showRowStripes="0" showColumnStripes="0"/>
</table>
</file>

<file path=xl/tables/table20.xml><?xml version="1.0" encoding="utf-8"?>
<table xmlns="http://schemas.openxmlformats.org/spreadsheetml/2006/main" id="20" name="tbl_SupplyBalance" displayName="tbl_SupplyBalance" ref="A33:J40" headerRowCount="1">
  <autoFilter ref="A33:J40"/>
  <tableColumns count="10">
    <tableColumn id="1" name="Line"/>
    <tableColumn id="2" name="Unit"/>
    <tableColumn id="3" name="FY2023"/>
    <tableColumn id="4" name="FY2024"/>
    <tableColumn id="5" name="FY2025"/>
    <tableColumn id="6" name="FY2026 (P)"/>
    <tableColumn id="7" name="Period Type"/>
    <tableColumn id="8" name="Source ID"/>
    <tableColumn id="9" name="Confidence"/>
    <tableColumn id="10" name="Notes"/>
  </tableColumns>
  <tableStyleInfo name="TableStyleLight1" showFirstColumn="0" showLastColumn="0" showRowStripes="0" showColumnStripes="0"/>
</table>
</file>

<file path=xl/tables/table21.xml><?xml version="1.0" encoding="utf-8"?>
<table xmlns="http://schemas.openxmlformats.org/spreadsheetml/2006/main" id="21" name="tbl_PerCapita" displayName="tbl_PerCapita" ref="A43:H46" headerRowCount="1">
  <autoFilter ref="A43:H46"/>
  <tableColumns count="8">
    <tableColumn id="1" name="Geography"/>
    <tableColumn id="2" name="Unit"/>
    <tableColumn id="3" name="Period"/>
    <tableColumn id="4" name="Per Capita Finished Steel Consumption"/>
    <tableColumn id="5" name="Period Type"/>
    <tableColumn id="6" name="Source ID"/>
    <tableColumn id="7" name="Confidence"/>
    <tableColumn id="8" name="Notes"/>
  </tableColumns>
  <tableStyleInfo name="TableStyleLight1" showFirstColumn="0" showLastColumn="0" showRowStripes="0" showColumnStripes="0"/>
</table>
</file>

<file path=xl/tables/table22.xml><?xml version="1.0" encoding="utf-8"?>
<table xmlns="http://schemas.openxmlformats.org/spreadsheetml/2006/main" id="22" name="tbl_QtrDemand" displayName="tbl_QtrDemand" ref="A49:I50" headerRowCount="1">
  <autoFilter ref="A49:I50"/>
  <tableColumns count="9">
    <tableColumn id="1" name="Period"/>
    <tableColumn id="2" name="Finished Steel Consumption (Mt)"/>
    <tableColumn id="3" name="Growth YoY (%)"/>
    <tableColumn id="4" name="Finished Steel Production (Mt)"/>
    <tableColumn id="5" name="Production Growth YoY (%)"/>
    <tableColumn id="6" name="Period Type"/>
    <tableColumn id="7" name="Source ID"/>
    <tableColumn id="8" name="Confidence"/>
    <tableColumn id="9" name="Notes"/>
  </tableColumns>
  <tableStyleInfo name="TableStyleLight1" showFirstColumn="0" showLastColumn="0" showRowStripes="0" showColumnStripes="0"/>
</table>
</file>

<file path=xl/tables/table23.xml><?xml version="1.0" encoding="utf-8"?>
<table xmlns="http://schemas.openxmlformats.org/spreadsheetml/2006/main" id="23" name="tbl_TradeAnnual" displayName="tbl_TradeAnnual" ref="A18:M30" headerRowCount="1">
  <autoFilter ref="A18:M30"/>
  <tableColumns count="13">
    <tableColumn id="1" name="Fiscal Year"/>
    <tableColumn id="2" name="Finished Steel Imports (Mt)"/>
    <tableColumn id="3" name="Finished Steel Exports (Mt)"/>
    <tableColumn id="4" name="Net Trade (Mt)"/>
    <tableColumn id="5" name="Semis Exports ('000 t)"/>
    <tableColumn id="6" name="Pig Iron Imports ('000 t)"/>
    <tableColumn id="7" name="Pig Iron Exports ('000 t)"/>
    <tableColumn id="8" name="Import Value (Rs crore)"/>
    <tableColumn id="9" name="Total Steel Export Value (Rs crore)"/>
    <tableColumn id="10" name="Period Type"/>
    <tableColumn id="11" name="Source ID"/>
    <tableColumn id="12" name="Confidence"/>
    <tableColumn id="13" name="Notes"/>
  </tableColumns>
  <tableStyleInfo name="TableStyleLight1" showFirstColumn="0" showLastColumn="0" showRowStripes="0" showColumnStripes="0"/>
</table>
</file>

<file path=xl/tables/table24.xml><?xml version="1.0" encoding="utf-8"?>
<table xmlns="http://schemas.openxmlformats.org/spreadsheetml/2006/main" id="24" name="tbl_TradeProduct" displayName="tbl_TradeProduct" ref="A33:K47" headerRowCount="1">
  <autoFilter ref="A33:K47"/>
  <tableColumns count="11">
    <tableColumn id="1" name="Direction"/>
    <tableColumn id="2" name="Product"/>
    <tableColumn id="3" name="Unit"/>
    <tableColumn id="4" name="FY2025"/>
    <tableColumn id="5" name="FY2026 (P)"/>
    <tableColumn id="6" name="Change (%)"/>
    <tableColumn id="7" name="Share Of FY2026 Total (%)"/>
    <tableColumn id="8" name="Period Type"/>
    <tableColumn id="9" name="Source ID"/>
    <tableColumn id="10" name="Confidence"/>
    <tableColumn id="11" name="Notes"/>
  </tableColumns>
  <tableStyleInfo name="TableStyleLight1" showFirstColumn="0" showLastColumn="0" showRowStripes="0" showColumnStripes="0"/>
</table>
</file>

<file path=xl/tables/table25.xml><?xml version="1.0" encoding="utf-8"?>
<table xmlns="http://schemas.openxmlformats.org/spreadsheetml/2006/main" id="25" name="tbl_TradeCountry" displayName="tbl_TradeCountry" ref="A50:I64" headerRowCount="1">
  <autoFilter ref="A50:I64"/>
  <tableColumns count="9">
    <tableColumn id="1" name="Direction"/>
    <tableColumn id="2" name="Country"/>
    <tableColumn id="3" name="Unit"/>
    <tableColumn id="4" name="FY2025 Share"/>
    <tableColumn id="5" name="FY2026 Share (P)"/>
    <tableColumn id="6" name="Period Type"/>
    <tableColumn id="7" name="Source ID"/>
    <tableColumn id="8" name="Confidence"/>
    <tableColumn id="9" name="Notes"/>
  </tableColumns>
  <tableStyleInfo name="TableStyleLight1" showFirstColumn="0" showLastColumn="0" showRowStripes="0" showColumnStripes="0"/>
</table>
</file>

<file path=xl/tables/table26.xml><?xml version="1.0" encoding="utf-8"?>
<table xmlns="http://schemas.openxmlformats.org/spreadsheetml/2006/main" id="26" name="tbl_TradeMonthly" displayName="tbl_TradeMonthly" ref="A67:H70" headerRowCount="1">
  <autoFilter ref="A67:H70"/>
  <tableColumns count="8">
    <tableColumn id="1" name="Month"/>
    <tableColumn id="2" name="Exports (Mt)"/>
    <tableColumn id="3" name="Imports (Mt)"/>
    <tableColumn id="4" name="Net Trade (Mt)"/>
    <tableColumn id="5" name="Period Type"/>
    <tableColumn id="6" name="Source ID"/>
    <tableColumn id="7" name="Confidence"/>
    <tableColumn id="8" name="Notes"/>
  </tableColumns>
  <tableStyleInfo name="TableStyleLight1" showFirstColumn="0" showLastColumn="0" showRowStripes="0" showColumnStripes="0"/>
</table>
</file>

<file path=xl/tables/table27.xml><?xml version="1.0" encoding="utf-8"?>
<table xmlns="http://schemas.openxmlformats.org/spreadsheetml/2006/main" id="27" name="tbl_Policies" displayName="tbl_Policies" ref="A17:O37" headerRowCount="1">
  <autoFilter ref="A17:O37"/>
  <tableColumns count="15">
    <tableColumn id="1" name="Policy ID"/>
    <tableColumn id="2" name="Policy / Measure"/>
    <tableColumn id="3" name="Category"/>
    <tableColumn id="4" name="Issuing Authority"/>
    <tableColumn id="5" name="Instrument"/>
    <tableColumn id="6" name="Announced / Notified Date"/>
    <tableColumn id="7" name="Effective From"/>
    <tableColumn id="8" name="Effective To / Review"/>
    <tableColumn id="9" name="Status At Cutoff"/>
    <tableColumn id="10" name="Key Quantitative Terms"/>
    <tableColumn id="11" name="Products / Scope Covered"/>
    <tableColumn id="12" name="Assessed Sector Impact"/>
    <tableColumn id="13" name="Source ID"/>
    <tableColumn id="14" name="Confidence"/>
    <tableColumn id="15" name="Notes"/>
  </tableColumns>
  <tableStyleInfo name="TableStyleLight1" showFirstColumn="0" showLastColumn="0" showRowStripes="0" showColumnStripes="0"/>
</table>
</file>

<file path=xl/tables/table28.xml><?xml version="1.0" encoding="utf-8"?>
<table xmlns="http://schemas.openxmlformats.org/spreadsheetml/2006/main" id="28" name="tbl_KPIs" displayName="tbl_KPIs" ref="A17:N41" headerRowCount="1">
  <autoFilter ref="A17:N41"/>
  <tableColumns count="14">
    <tableColumn id="1" name="KPI ID"/>
    <tableColumn id="2" name="KPI"/>
    <tableColumn id="3" name="Category"/>
    <tableColumn id="4" name="Unit"/>
    <tableColumn id="5" name="FY2024"/>
    <tableColumn id="6" name="FY2025"/>
    <tableColumn id="7" name="FY2026"/>
    <tableColumn id="8" name="Latest Available"/>
    <tableColumn id="9" name="Latest Period"/>
    <tableColumn id="10" name="Period Type"/>
    <tableColumn id="11" name="Source ID"/>
    <tableColumn id="12" name="Methodology"/>
    <tableColumn id="13" name="Confidence"/>
    <tableColumn id="14" name="Why This KPI Matters"/>
  </tableColumns>
  <tableStyleInfo name="TableStyleLight1" showFirstColumn="0" showLastColumn="0" showRowStripes="0" showColumnStripes="0"/>
</table>
</file>

<file path=xl/tables/table29.xml><?xml version="1.0" encoding="utf-8"?>
<table xmlns="http://schemas.openxmlformats.org/spreadsheetml/2006/main" id="29" name="tbl_Sources" displayName="tbl_Sources" ref="A17:L64" headerRowCount="1">
  <autoFilter ref="A17:L64"/>
  <tableColumns count="12">
    <tableColumn id="1" name="Source ID"/>
    <tableColumn id="2" name="Tier"/>
    <tableColumn id="3" name="Source Type"/>
    <tableColumn id="4" name="Publisher / Issuer"/>
    <tableColumn id="5" name="Publication"/>
    <tableColumn id="6" name="Publication / Filing Date"/>
    <tableColumn id="7" name="Section / Page Reference"/>
    <tableColumn id="8" name="Period Covered"/>
    <tableColumn id="9" name="URL"/>
    <tableColumn id="10" name="Verification Status"/>
    <tableColumn id="11" name="Access Date"/>
    <tableColumn id="12" name="Notes"/>
  </tableColumns>
  <tableStyleInfo name="TableStyleLight1" showFirstColumn="0" showLastColumn="0" showRowStripes="0" showColumnStripes="0"/>
</table>
</file>

<file path=xl/tables/table30.xml><?xml version="1.0" encoding="utf-8"?>
<table xmlns="http://schemas.openxmlformats.org/spreadsheetml/2006/main" id="30" name="tbl_Dictionary" displayName="tbl_Dictionary" ref="A17:E54" headerRowCount="1">
  <autoFilter ref="A17:E54"/>
  <tableColumns count="5">
    <tableColumn id="1" name="Sheet"/>
    <tableColumn id="2" name="Column"/>
    <tableColumn id="3" name="Definition"/>
    <tableColumn id="4" name="Unit / Format"/>
    <tableColumn id="5" name="Why this column exists"/>
  </tableColumns>
  <tableStyleInfo name="TableStyleLight1" showFirstColumn="0" showLastColumn="0" showRowStripes="0" showColumnStripes="0"/>
</table>
</file>

<file path=xl/tables/table31.xml><?xml version="1.0" encoding="utf-8"?>
<table xmlns="http://schemas.openxmlformats.org/spreadsheetml/2006/main" id="31" name="tbl_Conflicts" displayName="tbl_Conflicts" ref="A17:J33" headerRowCount="1">
  <autoFilter ref="A17:J33"/>
  <tableColumns count="10">
    <tableColumn id="1" name="Conflict ID"/>
    <tableColumn id="2" name="Topic"/>
    <tableColumn id="3" name="Affected Sheet(s)"/>
    <tableColumn id="4" name="Figure A (value and source)"/>
    <tableColumn id="5" name="Figure B (value and source)"/>
    <tableColumn id="6" name="Figure C (value and source)"/>
    <tableColumn id="7" name="Why the figures differ"/>
    <tableColumn id="8" name="Resolution adopted in this workbook"/>
    <tableColumn id="9" name="Figure carried forward"/>
    <tableColumn id="10" name="Residual risk"/>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ompany List'!A1" TargetMode="External" Id="rId1" /><Relationship Type="http://schemas.openxmlformats.org/officeDocument/2006/relationships/hyperlink" Target="#'Production Capacity'!A1" TargetMode="External" Id="rId2" /><Relationship Type="http://schemas.openxmlformats.org/officeDocument/2006/relationships/hyperlink" Target="#'Production Volume'!A1" TargetMode="External" Id="rId3" /><Relationship Type="http://schemas.openxmlformats.org/officeDocument/2006/relationships/hyperlink" Target="#'Revenue'!A1" TargetMode="External" Id="rId4" /><Relationship Type="http://schemas.openxmlformats.org/officeDocument/2006/relationships/hyperlink" Target="#'EBITDA'!A1" TargetMode="External" Id="rId5" /><Relationship Type="http://schemas.openxmlformats.org/officeDocument/2006/relationships/hyperlink" Target="#'EBITDA per Ton'!A1" TargetMode="External" Id="rId6" /><Relationship Type="http://schemas.openxmlformats.org/officeDocument/2006/relationships/hyperlink" Target="#'Steel Prices'!A1" TargetMode="External" Id="rId7" /><Relationship Type="http://schemas.openxmlformats.org/officeDocument/2006/relationships/hyperlink" Target="#'Iron Ore Prices'!A1" TargetMode="External" Id="rId8" /><Relationship Type="http://schemas.openxmlformats.org/officeDocument/2006/relationships/hyperlink" Target="#'Coking Coal Prices'!A1" TargetMode="External" Id="rId9" /><Relationship Type="http://schemas.openxmlformats.org/officeDocument/2006/relationships/hyperlink" Target="#'Demand &amp; Consumption'!A1" TargetMode="External" Id="rId10" /><Relationship Type="http://schemas.openxmlformats.org/officeDocument/2006/relationships/hyperlink" Target="#'Imports &amp; Exports'!A1" TargetMode="External" Id="rId11" /><Relationship Type="http://schemas.openxmlformats.org/officeDocument/2006/relationships/hyperlink" Target="#'Government Policies'!A1" TargetMode="External" Id="rId12" /><Relationship Type="http://schemas.openxmlformats.org/officeDocument/2006/relationships/hyperlink" Target="#'Industry KPIs'!A1" TargetMode="External" Id="rId13" /><Relationship Type="http://schemas.openxmlformats.org/officeDocument/2006/relationships/hyperlink" Target="#'Sources'!A1" TargetMode="External" Id="rId14" /><Relationship Type="http://schemas.openxmlformats.org/officeDocument/2006/relationships/hyperlink" Target="#'Data Dictionary'!A1" TargetMode="External" Id="rId15" /><Relationship Type="http://schemas.openxmlformats.org/officeDocument/2006/relationships/hyperlink" Target="#'Conflicts Log'!A1" TargetMode="External" Id="rId16"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 Type="http://schemas.openxmlformats.org/officeDocument/2006/relationships/table" Target="/xl/tables/table4.xml" Id="rId3" /></Relationships>
</file>

<file path=xl/worksheets/_rels/sheet5.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s>
</file>

<file path=xl/worksheets/_rels/sheet7.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s>
</file>

<file path=xl/worksheets/_rels/sheet8.xml.rels><Relationships xmlns="http://schemas.openxmlformats.org/package/2006/relationships"><Relationship Type="http://schemas.openxmlformats.org/officeDocument/2006/relationships/table" Target="/xl/tables/table11.xml" Id="rId1" /></Relationships>
</file>

<file path=xl/worksheets/_rels/sheet9.xml.rels><Relationships xmlns="http://schemas.openxmlformats.org/package/2006/relationships"><Relationship Type="http://schemas.openxmlformats.org/officeDocument/2006/relationships/table" Target="/xl/tables/table12.xml" Id="rId1" /></Relationships>
</file>

<file path=xl/worksheets/_rels/sheet10.xml.rels><Relationships xmlns="http://schemas.openxmlformats.org/package/2006/relationships"><Relationship Type="http://schemas.openxmlformats.org/officeDocument/2006/relationships/table" Target="/xl/tables/table13.xml" Id="rId1" /><Relationship Type="http://schemas.openxmlformats.org/officeDocument/2006/relationships/table" Target="/xl/tables/table14.xml" Id="rId2" /><Relationship Type="http://schemas.openxmlformats.org/officeDocument/2006/relationships/table" Target="/xl/tables/table15.xml" Id="rId3" /><Relationship Type="http://schemas.openxmlformats.org/officeDocument/2006/relationships/table" Target="/xl/tables/table16.xml" Id="rId4" /><Relationship Type="http://schemas.openxmlformats.org/officeDocument/2006/relationships/table" Target="/xl/tables/table17.xml" Id="rId5" /></Relationships>
</file>

<file path=xl/worksheets/_rels/sheet11.xml.rels><Relationships xmlns="http://schemas.openxmlformats.org/package/2006/relationships"><Relationship Type="http://schemas.openxmlformats.org/officeDocument/2006/relationships/table" Target="/xl/tables/table18.xml" Id="rId1" /></Relationships>
</file>

<file path=xl/worksheets/_rels/sheet12.xml.rels><Relationships xmlns="http://schemas.openxmlformats.org/package/2006/relationships"><Relationship Type="http://schemas.openxmlformats.org/officeDocument/2006/relationships/table" Target="/xl/tables/table19.xml" Id="rId1" /><Relationship Type="http://schemas.openxmlformats.org/officeDocument/2006/relationships/table" Target="/xl/tables/table20.xml" Id="rId2" /><Relationship Type="http://schemas.openxmlformats.org/officeDocument/2006/relationships/table" Target="/xl/tables/table21.xml" Id="rId3" /><Relationship Type="http://schemas.openxmlformats.org/officeDocument/2006/relationships/table" Target="/xl/tables/table22.xml" Id="rId4" /></Relationships>
</file>

<file path=xl/worksheets/_rels/sheet13.xml.rels><Relationships xmlns="http://schemas.openxmlformats.org/package/2006/relationships"><Relationship Type="http://schemas.openxmlformats.org/officeDocument/2006/relationships/table" Target="/xl/tables/table23.xml" Id="rId1" /><Relationship Type="http://schemas.openxmlformats.org/officeDocument/2006/relationships/table" Target="/xl/tables/table24.xml" Id="rId2" /><Relationship Type="http://schemas.openxmlformats.org/officeDocument/2006/relationships/table" Target="/xl/tables/table25.xml" Id="rId3" /><Relationship Type="http://schemas.openxmlformats.org/officeDocument/2006/relationships/table" Target="/xl/tables/table26.xml" Id="rId4" /></Relationships>
</file>

<file path=xl/worksheets/_rels/sheet14.xml.rels><Relationships xmlns="http://schemas.openxmlformats.org/package/2006/relationships"><Relationship Type="http://schemas.openxmlformats.org/officeDocument/2006/relationships/table" Target="/xl/tables/table27.xml" Id="rId1" /></Relationships>
</file>

<file path=xl/worksheets/_rels/sheet15.xml.rels><Relationships xmlns="http://schemas.openxmlformats.org/package/2006/relationships"><Relationship Type="http://schemas.openxmlformats.org/officeDocument/2006/relationships/table" Target="/xl/tables/table28.xml" Id="rId1" /></Relationships>
</file>

<file path=xl/worksheets/_rels/sheet16.xml.rels><Relationships xmlns="http://schemas.openxmlformats.org/package/2006/relationships"><Relationship Type="http://schemas.openxmlformats.org/officeDocument/2006/relationships/table" Target="/xl/tables/table29.xml" Id="rId1" /></Relationships>
</file>

<file path=xl/worksheets/_rels/sheet17.xml.rels><Relationships xmlns="http://schemas.openxmlformats.org/package/2006/relationships"><Relationship Type="http://schemas.openxmlformats.org/officeDocument/2006/relationships/table" Target="/xl/tables/table30.xml" Id="rId1" /></Relationships>
</file>

<file path=xl/worksheets/_rels/sheet18.xml.rels><Relationships xmlns="http://schemas.openxmlformats.org/package/2006/relationships"><Relationship Type="http://schemas.openxmlformats.org/officeDocument/2006/relationships/table" Target="/xl/tables/table31.xml" Id="rId1" /></Relationships>
</file>

<file path=xl/worksheets/sheet1.xml><?xml version="1.0" encoding="utf-8"?>
<worksheet xmlns="http://schemas.openxmlformats.org/spreadsheetml/2006/main">
  <sheetPr>
    <tabColor rgb="001F3864"/>
    <outlinePr summaryBelow="1" summaryRight="1"/>
    <pageSetUpPr fitToPage="1"/>
  </sheetPr>
  <dimension ref="B2:B32"/>
  <sheetViews>
    <sheetView showGridLines="0" tabSelected="1" workbookViewId="0">
      <selection activeCell="A1" sqref="A1"/>
    </sheetView>
  </sheetViews>
  <sheetFormatPr baseColWidth="8" defaultRowHeight="15"/>
  <cols>
    <col width="3" customWidth="1" min="1" max="1"/>
    <col width="118" customWidth="1" min="2" max="2"/>
  </cols>
  <sheetData>
    <row r="2" ht="19" customHeight="1">
      <c r="B2" s="1" t="inlineStr">
        <is>
          <t>MASTER INDUSTRY DATABASE</t>
        </is>
      </c>
    </row>
    <row r="3" ht="15" customHeight="1">
      <c r="B3" s="2" t="inlineStr">
        <is>
          <t>INDIAN STEEL INDUSTRY</t>
        </is>
      </c>
    </row>
    <row r="4">
      <c r="B4" s="3" t="inlineStr"/>
    </row>
    <row r="5">
      <c r="B5" s="4" t="inlineStr">
        <is>
          <t>Global Metals &amp; Mining Research</t>
        </is>
      </c>
    </row>
    <row r="6">
      <c r="B6" s="3" t="inlineStr">
        <is>
          <t>Data cutoff: 03 August 2026  |  Fiscal year convention: FY2026 = 1 April 2025 to 31 March 2026</t>
        </is>
      </c>
    </row>
    <row r="7">
      <c r="B7" s="3" t="inlineStr"/>
    </row>
    <row r="8">
      <c r="B8" s="5" t="inlineStr">
        <is>
          <t>PURPOSE</t>
        </is>
      </c>
    </row>
    <row r="9" ht="42" customHeight="1">
      <c r="B9" s="3" t="inlineStr">
        <is>
          <t>Single source of truth for financial models, DCF and comparable valuation, sector dashboards, quarterly updates and initiation reports on the Indian steel industry. Structured so that every figure is traceable to one document and so that a new fiscal year is added by appending a single column or row, without restructuring.</t>
        </is>
      </c>
    </row>
    <row r="11">
      <c r="B11" s="5" t="inlineStr">
        <is>
          <t>COVERAGE</t>
        </is>
      </c>
    </row>
    <row r="12" ht="56" customHeight="1">
      <c r="B12" s="3" t="inlineStr">
        <is>
          <t>15 companies. Core Coverage (7): Tata Steel, JSW Steel, SAIL, Jindal Steel, AM/NS India, Jindal Stainless, RINL. Supporting Coverage (8): Shyam Metalics, Godawari Power &amp; Ispat, APL Apollo Tubes, Mukand, Gallantt, Uttam Galva Steels, Electrosteel Steels (ESL Steel), Kirloskar Ferrous Industries. Twelve are listed, one is an unlisted joint venture, one is an unlisted state-owned enterprise and two are delisted.</t>
        </is>
      </c>
    </row>
    <row r="14">
      <c r="B14" s="5" t="inlineStr">
        <is>
          <t>BASIS OF PREPARATION</t>
        </is>
      </c>
    </row>
    <row r="15" ht="70" customHeight="1">
      <c r="B15" s="3" t="inlineStr">
        <is>
          <t>Consolidated financial statements are used throughout unless stated otherwise on the row. Where an issuer's own headline differs from the comparable statutory measure, BOTH are carried in separately labelled columns. EBITDA is presented on two bases because the peer set does not define it consistently: as reported by the company, and standardised as revenue from operations less operating expenses excluding other income, finance cost, depreciation and amortisation, exceptional items and share of profit of joint ventures.</t>
        </is>
      </c>
    </row>
    <row r="17">
      <c r="B17" s="5" t="inlineStr">
        <is>
          <t>DATA INTEGRITY STANDARD</t>
        </is>
      </c>
    </row>
    <row r="18" ht="42" customHeight="1">
      <c r="B18" s="3" t="inlineStr">
        <is>
          <t>No figure has been estimated, interpolated or inferred. Where a figure is not in the public domain it is recorded as "Data Not Publicly Available" with an explanation, rather than filled. Figures this workbook has calculated are marked Methodology = "Computed" or "Derived"; figures lifted from a document are marked "As reported".</t>
        </is>
      </c>
    </row>
    <row r="20">
      <c r="B20" s="5" t="inlineStr">
        <is>
          <t>CONFLICTS</t>
        </is>
      </c>
    </row>
    <row r="21" ht="56" customHeight="1">
      <c r="B21" s="3" t="inlineStr">
        <is>
          <t>Sixteen conflicts and definitional traps were identified during research and are set out in full on the Conflicts Log, each with the competing figures, the reason for the difference, the resolution adopted and the residual risk. Three are material to modelling: C01 coking coal benchmark divergence of up to US$40/t; C02 the Jindal Steel revenue basis; C16 the AM/NS India fiscal year mismatch.</t>
        </is>
      </c>
    </row>
    <row r="23">
      <c r="B23" s="5" t="inlineStr">
        <is>
          <t>THE "DATA NOT PUBLICLY AVAILABLE" SENTINEL - IMPORTANT FOR DOWNSTREAM TOOLS</t>
        </is>
      </c>
    </row>
    <row r="24" ht="84" customHeight="1">
      <c r="B24" s="3" t="inlineStr">
        <is>
          <t>Where a figure is not in the public domain the cell carries the text "Data Not Publicly Available" rather than being left blank, so that a human reader can see the difference between a gap that was investigated and a gap that was overlooked. The consequence is that some fiscal-year columns are mixed-type. This is safe in Excel - SUM, AVERAGE and the like ignore text, and every calculated column in this workbook is ISNUMBER-guarded inside IFERROR so no formula returns an error. When loading into Power BI or Power Query, replace "Data Not Publicly Available" with null before setting the column type to decimal. Do not simply force the type, which would silently produce errors.</t>
        </is>
      </c>
    </row>
    <row r="26">
      <c r="B26" s="5" t="inlineStr">
        <is>
          <t>KNOWN LIMITATIONS - READ BEFORE USE</t>
        </is>
      </c>
    </row>
    <row r="27" ht="84" customHeight="1">
      <c r="B27" s="3" t="inlineStr">
        <is>
          <t>1. No fiscal-year average is asserted for coking coal; the two available public series disagree materially and neither is published as a complete monthly history. A licensed price-reporting-agency series is required before coking coal is used in a cost model. 2. Sales volumes were not sourced for six of the eight Supporting Coverage names, so EBITDA per tonne is not computed for them. 3. RINL and ESL Steel have no publicly available FY2026 statutory financials. 4. Company capacity is not sourced for several Supporting names. 5. Exchange scrip codes, ISINs and vendor identifiers are deliberately not asserted because they were not independently verified in this research cycle.</t>
        </is>
      </c>
    </row>
    <row r="29">
      <c r="B29" s="5" t="inlineStr">
        <is>
          <t>HOW TO NAVIGATE</t>
        </is>
      </c>
    </row>
    <row r="30" ht="42" customHeight="1">
      <c r="B30" s="3" t="inlineStr">
        <is>
          <t>Use the Contents sheet. Every data sheet opens with a block stating its objective, units, coverage, frequency, source hierarchy and column rationale. Every data range is an Excel Table so that downstream models and Power Query bind to an auto-expanding range rather than a fixed one. Header rows are frozen and repeat on print.</t>
        </is>
      </c>
    </row>
    <row r="32">
      <c r="B32" s="6" t="inlineStr">
        <is>
          <t>Prepared from public sources only. Contains no non-public or price-sensitive information.</t>
        </is>
      </c>
    </row>
  </sheetData>
  <printOptions horizontalCentered="1"/>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D33"/>
  <sheetViews>
    <sheetView showGridLines="0" workbookViewId="0">
      <pane ySplit="17" topLeftCell="A18" activePane="bottomLeft" state="frozen"/>
      <selection pane="bottomLeft" activeCell="A1" sqref="A1"/>
    </sheetView>
  </sheetViews>
  <sheetFormatPr baseColWidth="8" defaultRowHeight="15"/>
  <cols>
    <col width="6" customWidth="1" min="1" max="1"/>
    <col width="30" customWidth="1" min="2" max="2"/>
    <col width="96" customWidth="1" min="3" max="3"/>
    <col width="14" customWidth="1" min="4" max="4"/>
  </cols>
  <sheetData>
    <row r="1" ht="19" customHeight="1">
      <c r="A1" s="1" t="inlineStr">
        <is>
          <t>. CONTENTS</t>
        </is>
      </c>
    </row>
    <row r="2">
      <c r="A2" s="4" t="inlineStr">
        <is>
          <t>Master Industry Database  |  Indian Steel Industry  |  Data cutoff: 03-Aug-2026</t>
        </is>
      </c>
    </row>
    <row r="3">
      <c r="A3" s="3" t="inlineStr"/>
    </row>
    <row r="4">
      <c r="A4" s="4" t="inlineStr">
        <is>
          <t>OBJECTIVE</t>
        </is>
      </c>
    </row>
    <row r="5">
      <c r="A5" s="3" t="inlineStr">
        <is>
          <t>Navigation index. Click a sheet name to jump to it.</t>
        </is>
      </c>
    </row>
    <row r="6">
      <c r="A6" s="4" t="inlineStr">
        <is>
          <t>UNITS AND CURRENCY</t>
        </is>
      </c>
    </row>
    <row r="7">
      <c r="A7" s="3" t="inlineStr">
        <is>
          <t>Not applicable.</t>
        </is>
      </c>
    </row>
    <row r="8">
      <c r="A8" s="4" t="inlineStr">
        <is>
          <t>COVERAGE AND HISTORICAL DEPTH</t>
        </is>
      </c>
    </row>
    <row r="9">
      <c r="A9" s="3" t="inlineStr">
        <is>
          <t>All 14 mandated worksheets plus Cover, Contents, Data Dictionary and Conflicts Log.</t>
        </is>
      </c>
    </row>
    <row r="10">
      <c r="A10" s="4" t="inlineStr">
        <is>
          <t>DATA FREQUENCY</t>
        </is>
      </c>
    </row>
    <row r="11">
      <c r="A11" s="3" t="inlineStr">
        <is>
          <t>Not applicable.</t>
        </is>
      </c>
    </row>
    <row r="12">
      <c r="A12" s="4" t="inlineStr">
        <is>
          <t>SOURCE HIERARCHY APPLIED</t>
        </is>
      </c>
    </row>
    <row r="13">
      <c r="A13" s="3" t="inlineStr">
        <is>
          <t>Not applicable.</t>
        </is>
      </c>
    </row>
    <row r="14">
      <c r="A14" s="4" t="inlineStr">
        <is>
          <t>COLUMN RATIONALE</t>
        </is>
      </c>
    </row>
    <row r="15">
      <c r="A15" s="3" t="inlineStr">
        <is>
          <t>Sheet number, name, scope and the highest source tier relied upon.</t>
        </is>
      </c>
    </row>
    <row r="16">
      <c r="A16" s="3" t="inlineStr"/>
    </row>
    <row r="17" ht="30" customHeight="1">
      <c r="A17" s="7" t="inlineStr">
        <is>
          <t>#</t>
        </is>
      </c>
      <c r="B17" s="8" t="inlineStr">
        <is>
          <t>Worksheet</t>
        </is>
      </c>
      <c r="C17" s="8" t="inlineStr">
        <is>
          <t>Scope and primary content</t>
        </is>
      </c>
      <c r="D17" s="7" t="inlineStr">
        <is>
          <t>Top Source Tier</t>
        </is>
      </c>
    </row>
    <row r="18">
      <c r="A18" s="9" t="inlineStr">
        <is>
          <t>1</t>
        </is>
      </c>
      <c r="B18" s="5" t="inlineStr">
        <is>
          <t>Company List</t>
        </is>
      </c>
      <c r="C18" s="3" t="inlineStr">
        <is>
          <t>Coverage universe control record: 15 companies with identifiers, ownership, steelmaking route, assets, consolidation basis, currency and latest reported period.</t>
        </is>
      </c>
      <c r="D18" s="9" t="inlineStr">
        <is>
          <t>Tier 1</t>
        </is>
      </c>
    </row>
    <row r="19">
      <c r="A19" s="9" t="inlineStr">
        <is>
          <t>2</t>
        </is>
      </c>
      <c r="B19" s="5" t="inlineStr">
        <is>
          <t>Production Capacity</t>
        </is>
      </c>
      <c r="C19" s="3" t="inlineStr">
        <is>
          <t>India capacity FY2024-FY2026 against the 300 Mtpa National Steel Policy target; company capacity and pipeline with approval status; SAIL plant-wise capacity and utilisation.</t>
        </is>
      </c>
      <c r="D19" s="9" t="inlineStr">
        <is>
          <t>Tier 1</t>
        </is>
      </c>
    </row>
    <row r="20">
      <c r="A20" s="9" t="inlineStr">
        <is>
          <t>3</t>
        </is>
      </c>
      <c r="B20" s="5" t="inlineStr">
        <is>
          <t>Production Volume</t>
        </is>
      </c>
      <c r="C20" s="3" t="inlineStr">
        <is>
          <t>India crude steel, finished steel, DRI and pig iron output; world and China comparatives; company production and sales volumes with the denominator stated.</t>
        </is>
      </c>
      <c r="D20" s="9" t="inlineStr">
        <is>
          <t>Tier 1</t>
        </is>
      </c>
    </row>
    <row r="21">
      <c r="A21" s="9" t="inlineStr">
        <is>
          <t>4</t>
        </is>
      </c>
      <c r="B21" s="5" t="inlineStr">
        <is>
          <t>Revenue</t>
        </is>
      </c>
      <c r="C21" s="3" t="inlineStr">
        <is>
          <t>Consolidated revenue from operations FY2022-FY2026 for all 15 names, with issuer headline measures carried separately where they differ, and a live CAGR formula.</t>
        </is>
      </c>
      <c r="D21" s="9" t="inlineStr">
        <is>
          <t>Tier 1</t>
        </is>
      </c>
    </row>
    <row r="22">
      <c r="A22" s="9" t="inlineStr">
        <is>
          <t>5</t>
        </is>
      </c>
      <c r="B22" s="5" t="inlineStr">
        <is>
          <t>EBITDA</t>
        </is>
      </c>
      <c r="C22" s="3" t="inlineStr">
        <is>
          <t>EBITDA on two bases - as reported by the issuer and standardised - with the other-income treatment documented per company, plus a live margin formula.</t>
        </is>
      </c>
      <c r="D22" s="9" t="inlineStr">
        <is>
          <t>Tier 1</t>
        </is>
      </c>
    </row>
    <row r="23">
      <c r="A23" s="9" t="inlineStr">
        <is>
          <t>6</t>
        </is>
      </c>
      <c r="B23" s="5" t="inlineStr">
        <is>
          <t>EBITDA per Ton</t>
        </is>
      </c>
      <c r="C23" s="3" t="inlineStr">
        <is>
          <t>The sector's core profitability metric, annual and quarterly, with the volume denominator stated on every row and FY2027 guidance where given.</t>
        </is>
      </c>
      <c r="D23" s="9" t="inlineStr">
        <is>
          <t>Tier 1</t>
        </is>
      </c>
    </row>
    <row r="24">
      <c r="A24" s="9" t="inlineStr">
        <is>
          <t>7</t>
        </is>
      </c>
      <c r="B24" s="5" t="inlineStr">
        <is>
          <t>Steel Prices</t>
        </is>
      </c>
      <c r="C24" s="3" t="inlineStr">
        <is>
          <t>Domestic and international HRC and rebar observations with assessment basis and 52-week ranges; the FY2026 price path around the safeguard duty.</t>
        </is>
      </c>
      <c r="D24" s="9" t="inlineStr">
        <is>
          <t>Tier 1</t>
        </is>
      </c>
    </row>
    <row r="25">
      <c r="A25" s="9" t="inlineStr">
        <is>
          <t>8</t>
        </is>
      </c>
      <c r="B25" s="5" t="inlineStr">
        <is>
          <t>Iron Ore Prices</t>
        </is>
      </c>
      <c r="C25" s="3" t="inlineStr">
        <is>
          <t>62% Fe CFR China benchmark: FY2016-FY2026 fiscal-year averages, calendar averages, monthly and quarterly; NMDC notified ex-mine prices; domestic and pellet assessments.</t>
        </is>
      </c>
      <c r="D25" s="9" t="inlineStr">
        <is>
          <t>Tier 1</t>
        </is>
      </c>
    </row>
    <row r="26">
      <c r="A26" s="9" t="inlineStr">
        <is>
          <t>9</t>
        </is>
      </c>
      <c r="B26" s="5" t="inlineStr">
        <is>
          <t>Coking Coal Prices</t>
        </is>
      </c>
      <c r="C26" s="3" t="inlineStr">
        <is>
          <t>Premium HCC FOB Australia from both available public series, presented separately and never blended, plus an explicitly labelled thermal coal energy reference.</t>
        </is>
      </c>
      <c r="D26" s="9" t="inlineStr">
        <is>
          <t>Tier 1</t>
        </is>
      </c>
    </row>
    <row r="27">
      <c r="A27" s="9" t="inlineStr">
        <is>
          <t>10</t>
        </is>
      </c>
      <c r="B27" s="5" t="inlineStr">
        <is>
          <t>Demand &amp; Consumption</t>
        </is>
      </c>
      <c r="C27" s="3" t="inlineStr">
        <is>
          <t>Twelve fiscal years of apparent consumption, the full supply-demand balance that derives it, per capita intensity against world and China, and the latest quarter.</t>
        </is>
      </c>
      <c r="D27" s="9" t="inlineStr">
        <is>
          <t>Tier 1</t>
        </is>
      </c>
    </row>
    <row r="28">
      <c r="A28" s="9" t="inlineStr">
        <is>
          <t>11</t>
        </is>
      </c>
      <c r="B28" s="5" t="inlineStr">
        <is>
          <t>Imports &amp; Exports</t>
        </is>
      </c>
      <c r="C28" s="3" t="inlineStr">
        <is>
          <t>Twelve fiscal years of trade by volume and value; product mix; source and destination country shares; monthly net-trade turning points around the safeguard duty.</t>
        </is>
      </c>
      <c r="D28" s="9" t="inlineStr">
        <is>
          <t>Tier 1</t>
        </is>
      </c>
    </row>
    <row r="29">
      <c r="A29" s="9" t="inlineStr">
        <is>
          <t>12</t>
        </is>
      </c>
      <c r="B29" s="5" t="inlineStr">
        <is>
          <t>Government Policies</t>
        </is>
      </c>
      <c r="C29" s="3" t="inlineStr">
        <is>
          <t>20 dated and scoped measures across trade remedies, standards, industrial policy, fiscal, decarbonisation, state support and overseas regimes, with assessed sector impact.</t>
        </is>
      </c>
      <c r="D29" s="9" t="inlineStr">
        <is>
          <t>Tier 1</t>
        </is>
      </c>
    </row>
    <row r="30">
      <c r="A30" s="9" t="inlineStr">
        <is>
          <t>13</t>
        </is>
      </c>
      <c r="B30" s="5" t="inlineStr">
        <is>
          <t>Industry KPIs</t>
        </is>
      </c>
      <c r="C30" s="3" t="inlineStr">
        <is>
          <t>24 dashboard-ready indicators with stable KPI IDs spanning supply, demand, trade, input costs, realisations, policy and coverage.</t>
        </is>
      </c>
      <c r="D30" s="9" t="inlineStr">
        <is>
          <t>Tier 1</t>
        </is>
      </c>
    </row>
    <row r="31">
      <c r="A31" s="9" t="inlineStr">
        <is>
          <t>14</t>
        </is>
      </c>
      <c r="B31" s="5" t="inlineStr">
        <is>
          <t>Sources</t>
        </is>
      </c>
      <c r="C31" s="3" t="inlineStr">
        <is>
          <t>47 sources with publisher, publication, date, section or page, period covered, URL and an explicit statement of what verification was actually performed.</t>
        </is>
      </c>
      <c r="D31" s="9" t="inlineStr">
        <is>
          <t>Reference</t>
        </is>
      </c>
    </row>
    <row r="32">
      <c r="A32" s="9" t="inlineStr">
        <is>
          <t>15</t>
        </is>
      </c>
      <c r="B32" s="5" t="inlineStr">
        <is>
          <t>Data Dictionary</t>
        </is>
      </c>
      <c r="C32" s="3" t="inlineStr">
        <is>
          <t>Every column defined, with the reason it exists. Global metadata conventions plus sheet-specific definitions.</t>
        </is>
      </c>
      <c r="D32" s="9" t="inlineStr">
        <is>
          <t>Reference</t>
        </is>
      </c>
    </row>
    <row r="33">
      <c r="A33" s="9" t="inlineStr">
        <is>
          <t>16</t>
        </is>
      </c>
      <c r="B33" s="5" t="inlineStr">
        <is>
          <t>Conflicts Log</t>
        </is>
      </c>
      <c r="C33" s="3" t="inlineStr">
        <is>
          <t>16 conflicts and definitional traps with competing figures, cause, resolution, figure carried forward and residual risk.</t>
        </is>
      </c>
      <c r="D33" s="9" t="inlineStr">
        <is>
          <t>Reference</t>
        </is>
      </c>
    </row>
  </sheetData>
  <hyperlinks>
    <hyperlink xmlns:r="http://schemas.openxmlformats.org/officeDocument/2006/relationships" ref="B18" r:id="rId1"/>
    <hyperlink xmlns:r="http://schemas.openxmlformats.org/officeDocument/2006/relationships" ref="B19" r:id="rId2"/>
    <hyperlink xmlns:r="http://schemas.openxmlformats.org/officeDocument/2006/relationships" ref="B20" r:id="rId3"/>
    <hyperlink xmlns:r="http://schemas.openxmlformats.org/officeDocument/2006/relationships" ref="B21" r:id="rId4"/>
    <hyperlink xmlns:r="http://schemas.openxmlformats.org/officeDocument/2006/relationships" ref="B22" r:id="rId5"/>
    <hyperlink xmlns:r="http://schemas.openxmlformats.org/officeDocument/2006/relationships" ref="B23" r:id="rId6"/>
    <hyperlink xmlns:r="http://schemas.openxmlformats.org/officeDocument/2006/relationships" ref="B24" r:id="rId7"/>
    <hyperlink xmlns:r="http://schemas.openxmlformats.org/officeDocument/2006/relationships" ref="B25" r:id="rId8"/>
    <hyperlink xmlns:r="http://schemas.openxmlformats.org/officeDocument/2006/relationships" ref="B26" r:id="rId9"/>
    <hyperlink xmlns:r="http://schemas.openxmlformats.org/officeDocument/2006/relationships" ref="B27" r:id="rId10"/>
    <hyperlink xmlns:r="http://schemas.openxmlformats.org/officeDocument/2006/relationships" ref="B28" r:id="rId11"/>
    <hyperlink xmlns:r="http://schemas.openxmlformats.org/officeDocument/2006/relationships" ref="B29" r:id="rId12"/>
    <hyperlink xmlns:r="http://schemas.openxmlformats.org/officeDocument/2006/relationships" ref="B30" r:id="rId13"/>
    <hyperlink xmlns:r="http://schemas.openxmlformats.org/officeDocument/2006/relationships" ref="B31" r:id="rId14"/>
    <hyperlink xmlns:r="http://schemas.openxmlformats.org/officeDocument/2006/relationships" ref="B32" r:id="rId15"/>
    <hyperlink xmlns:r="http://schemas.openxmlformats.org/officeDocument/2006/relationships" ref="B33" r:id="rId16"/>
  </hyperlinks>
  <printOptions horizontalCentered="1"/>
  <pageMargins left="0.75" right="0.75" top="1" bottom="1"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fitToPage="1"/>
  </sheetPr>
  <dimension ref="A1:R36"/>
  <sheetViews>
    <sheetView showGridLines="0" workbookViewId="0">
      <pane xSplit="2" ySplit="19" topLeftCell="C20"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20" customWidth="1" min="3" max="3"/>
    <col width="13" customWidth="1" min="4" max="4"/>
    <col width="13" customWidth="1" min="5" max="5"/>
    <col width="26" customWidth="1" min="6" max="6"/>
    <col width="30" customWidth="1" min="7" max="7"/>
    <col width="34" customWidth="1" min="8" max="8"/>
    <col width="46" customWidth="1" min="9" max="9"/>
    <col width="34" customWidth="1" min="10" max="10"/>
    <col width="32" customWidth="1" min="11" max="11"/>
    <col width="11" customWidth="1" min="12" max="12"/>
    <col width="11" customWidth="1" min="13" max="13"/>
    <col width="26" customWidth="1" min="14" max="14"/>
    <col width="24" customWidth="1" min="15" max="15"/>
    <col width="12" customWidth="1" min="16" max="16"/>
    <col width="11" customWidth="1" min="17" max="17"/>
    <col width="90" customWidth="1" min="18" max="18"/>
  </cols>
  <sheetData>
    <row r="1" ht="19" customHeight="1">
      <c r="A1" s="1" t="inlineStr">
        <is>
          <t>1. Company List</t>
        </is>
      </c>
    </row>
    <row r="2">
      <c r="A2" s="4" t="inlineStr">
        <is>
          <t>Master Industry Database  |  Indian Steel Industry  |  Data cutoff: 03-Aug-2026</t>
        </is>
      </c>
    </row>
    <row r="3">
      <c r="A3" s="3" t="inlineStr"/>
    </row>
    <row r="4">
      <c r="A4" s="4" t="inlineStr">
        <is>
          <t>OBJECTIVE</t>
        </is>
      </c>
    </row>
    <row r="5">
      <c r="A5" s="3" t="inlineStr">
        <is>
          <t>Defines the coverage universe and fixes, for each company, the identifiers, ownership, steelmaking route, assets, consolidation basis, reporting currency and latest reported period. Every other sheet inherits the basis stated here, so this sheet is the control record for the workbook.</t>
        </is>
      </c>
    </row>
    <row r="6">
      <c r="A6" s="4" t="inlineStr">
        <is>
          <t>UNITS AND CURRENCY</t>
        </is>
      </c>
    </row>
    <row r="7">
      <c r="A7" s="3" t="inlineStr">
        <is>
          <t>Not applicable - descriptive sheet. Capacity figures are in Mtpa.</t>
        </is>
      </c>
    </row>
    <row r="8">
      <c r="A8" s="4" t="inlineStr">
        <is>
          <t>COVERAGE AND HISTORICAL DEPTH</t>
        </is>
      </c>
    </row>
    <row r="9">
      <c r="A9" s="3" t="inlineStr">
        <is>
          <t>15 companies: 7 Core Coverage and 8 Supporting Coverage. Point-in-time as at the data cutoff.</t>
        </is>
      </c>
    </row>
    <row r="10">
      <c r="A10" s="4" t="inlineStr">
        <is>
          <t>DATA FREQUENCY</t>
        </is>
      </c>
    </row>
    <row r="11">
      <c r="A11" s="3" t="inlineStr">
        <is>
          <t>Point-in-time; reviewed each quarter.</t>
        </is>
      </c>
    </row>
    <row r="12">
      <c r="A12" s="4" t="inlineStr">
        <is>
          <t>SOURCE HIERARCHY APPLIED</t>
        </is>
      </c>
    </row>
    <row r="13">
      <c r="A13" s="3" t="inlineStr">
        <is>
          <t>Tier 1 first: issuer results releases, exchange-filed investor presentations, audited financial results and exchange-filed earnings call transcripts. Tier 3 aggregators of exchange filings are used only to extend the series backwards and every FY2026 figure so sourced has been reconciled to a Tier 1 or Tier 2 source or to the sum of the four reported quarters.</t>
        </is>
      </c>
    </row>
    <row r="14">
      <c r="A14" s="4" t="inlineStr">
        <is>
          <t>COLUMN RATIONALE</t>
        </is>
      </c>
    </row>
    <row r="15">
      <c r="A15" s="3" t="inlineStr">
        <is>
          <t>Coverage Tier separates the seven Core names, which carry a full financial build-out, from the eight Supporting names included for market structure and read-across. Primary Steelmaking Route is carried because route determines cost-curve position, coking coal versus scrap and gas exposure, and carbon intensity - the three largest valuation drivers in this sector. Consolidation Basis Used prevents the classic error of mixing standalone and consolidated figures across sheets. Latest Reported Period makes explicit where FY2026 was unavailable. Asset Detail Verification is stated because asset-level detail for the Supporting names is indicative and has not been traced to an annual report.</t>
        </is>
      </c>
    </row>
    <row r="16">
      <c r="A16" s="3" t="inlineStr"/>
    </row>
    <row r="17">
      <c r="A17" s="3" t="inlineStr">
        <is>
          <t>IDENTIFIERS: NSE symbols are stated because they were verified. BSE scrip codes, ISINs and Bloomberg or Refinitiv identifiers are deliberately NOT asserted because they were not independently verified in this research cycle. Populate them in the identifier-mapping step rather than inferring them.</t>
        </is>
      </c>
    </row>
    <row r="18">
      <c r="A18" s="3" t="inlineStr"/>
    </row>
    <row r="19" ht="30" customHeight="1">
      <c r="A19" s="8" t="inlineStr">
        <is>
          <t>#</t>
        </is>
      </c>
      <c r="B19" s="8" t="inlineStr">
        <is>
          <t>Company (legal name)</t>
        </is>
      </c>
      <c r="C19" s="7" t="inlineStr">
        <is>
          <t>Short Name</t>
        </is>
      </c>
      <c r="D19" s="7" t="inlineStr">
        <is>
          <t>Coverage Tier</t>
        </is>
      </c>
      <c r="E19" s="7" t="inlineStr">
        <is>
          <t>NSE Symbol</t>
        </is>
      </c>
      <c r="F19" s="7" t="inlineStr">
        <is>
          <t>Listing Status</t>
        </is>
      </c>
      <c r="G19" s="7" t="inlineStr">
        <is>
          <t>Controlling Shareholder / Promoter Group</t>
        </is>
      </c>
      <c r="H19" s="7" t="inlineStr">
        <is>
          <t>Primary Steelmaking Route</t>
        </is>
      </c>
      <c r="I19" s="7" t="inlineStr">
        <is>
          <t>Principal Assets / Locations</t>
        </is>
      </c>
      <c r="J19" s="7" t="inlineStr">
        <is>
          <t>Product Focus</t>
        </is>
      </c>
      <c r="K19" s="7" t="inlineStr">
        <is>
          <t>Consolidation Basis Used In This Workbook</t>
        </is>
      </c>
      <c r="L19" s="7" t="inlineStr">
        <is>
          <t>Fiscal Year End</t>
        </is>
      </c>
      <c r="M19" s="7" t="inlineStr">
        <is>
          <t>Reporting Currency</t>
        </is>
      </c>
      <c r="N19" s="7" t="inlineStr">
        <is>
          <t>Latest Reported Period At Cutoff</t>
        </is>
      </c>
      <c r="O19" s="7" t="inlineStr">
        <is>
          <t>Asset Detail Verification</t>
        </is>
      </c>
      <c r="P19" s="7" t="inlineStr">
        <is>
          <t>Source ID</t>
        </is>
      </c>
      <c r="Q19" s="7" t="inlineStr">
        <is>
          <t>Confidence</t>
        </is>
      </c>
      <c r="R19" s="7" t="inlineStr">
        <is>
          <t>Notes</t>
        </is>
      </c>
    </row>
    <row r="20">
      <c r="A20" s="10" t="n">
        <v>1</v>
      </c>
      <c r="B20" s="11" t="inlineStr">
        <is>
          <t>Tata Steel Limited</t>
        </is>
      </c>
      <c r="C20" s="11" t="inlineStr">
        <is>
          <t>Tata Steel</t>
        </is>
      </c>
      <c r="D20" s="11" t="inlineStr">
        <is>
          <t>Core</t>
        </is>
      </c>
      <c r="E20" s="11" t="inlineStr">
        <is>
          <t>TATASTEEL</t>
        </is>
      </c>
      <c r="F20" s="11" t="inlineStr">
        <is>
          <t>Listed - NSE and BSE</t>
        </is>
      </c>
      <c r="G20" s="11" t="inlineStr">
        <is>
          <t>Tata Sons Private Limited (Tata Group)</t>
        </is>
      </c>
      <c r="H20" s="11" t="inlineStr">
        <is>
          <t>BF-BOF in India and Netherlands; BF-BOF and EAF in UK; scrap-based EAF at Ludhiana</t>
        </is>
      </c>
      <c r="I20" s="11" t="inlineStr">
        <is>
          <t>India: Jamshedpur (Jharkhand), Kalinganagar and Meramandali (Odisha), NINL, Ludhiana EAF (Punjab). Europe: IJmuiden (Netherlands), Port Talbot (UK)</t>
        </is>
      </c>
      <c r="J20" s="11" t="inlineStr">
        <is>
          <t>Flat products, long products, tubes, tinplate, wires, branded retail (Tata Tiscon)</t>
        </is>
      </c>
      <c r="K20" s="11" t="inlineStr">
        <is>
          <t>Consolidated, Ind-AS</t>
        </is>
      </c>
      <c r="L20" s="11" t="inlineStr">
        <is>
          <t>31-Mar</t>
        </is>
      </c>
      <c r="M20" s="11" t="inlineStr">
        <is>
          <t>INR</t>
        </is>
      </c>
      <c r="N20" s="11" t="inlineStr">
        <is>
          <t>FY2026 audited (15-May-2026); Q1FY2027 reported 31-Jul-2026</t>
        </is>
      </c>
      <c r="O20" s="11" t="inlineStr">
        <is>
          <t>Verified from FY2026 primary disclosure</t>
        </is>
      </c>
      <c r="P20" s="11" t="inlineStr">
        <is>
          <t>S08, S37</t>
        </is>
      </c>
      <c r="Q20" s="11" t="inlineStr">
        <is>
          <t>High</t>
        </is>
      </c>
      <c r="R20" s="12" t="inlineStr">
        <is>
          <t>Group crude steel capacity 35 Mtpa. 0.75 Mtpa Ludhiana EAF commissioned Mar-2026. Netherlands carries a disclosed material uncertainty related to going concern - see Government Policies sheet.</t>
        </is>
      </c>
    </row>
    <row r="21">
      <c r="A21" s="10" t="n">
        <v>2</v>
      </c>
      <c r="B21" s="11" t="inlineStr">
        <is>
          <t>JSW Steel Limited</t>
        </is>
      </c>
      <c r="C21" s="11" t="inlineStr">
        <is>
          <t>JSW Steel</t>
        </is>
      </c>
      <c r="D21" s="11" t="inlineStr">
        <is>
          <t>Core</t>
        </is>
      </c>
      <c r="E21" s="11" t="inlineStr">
        <is>
          <t>JSWSTEEL</t>
        </is>
      </c>
      <c r="F21" s="11" t="inlineStr">
        <is>
          <t>Listed - NSE and BSE</t>
        </is>
      </c>
      <c r="G21" s="11" t="inlineStr">
        <is>
          <t>JSW Group (Sajjan Jindal family)</t>
        </is>
      </c>
      <c r="H21" s="11" t="inlineStr">
        <is>
          <t>BF-BOF and DRI-EAF</t>
        </is>
      </c>
      <c r="I21" s="11" t="inlineStr">
        <is>
          <t>India: Vijayanagar (Karnataka), Dolvi (Maharashtra), Salem (Tamil Nadu), JVML Vijayanagar. Overseas: Ohio (USA), Italy</t>
        </is>
      </c>
      <c r="J21" s="11" t="inlineStr">
        <is>
          <t>Flat products, long products, coated products, special steel</t>
        </is>
      </c>
      <c r="K21" s="11" t="inlineStr">
        <is>
          <t>Consolidated, Ind-AS</t>
        </is>
      </c>
      <c r="L21" s="11" t="inlineStr">
        <is>
          <t>31-Mar</t>
        </is>
      </c>
      <c r="M21" s="11" t="inlineStr">
        <is>
          <t>INR</t>
        </is>
      </c>
      <c r="N21" s="11" t="inlineStr">
        <is>
          <t>FY2026 (results 14-May-2026)</t>
        </is>
      </c>
      <c r="O21" s="11" t="inlineStr">
        <is>
          <t>Verified from FY2026 primary disclosure</t>
        </is>
      </c>
      <c r="P21" s="11" t="inlineStr">
        <is>
          <t>S09</t>
        </is>
      </c>
      <c r="Q21" s="11" t="inlineStr">
        <is>
          <t>High</t>
        </is>
      </c>
      <c r="R21" s="12" t="inlineStr">
        <is>
          <t>BPSL steel business transferred to the JSW JFE joint venture and deconsolidated with effect from 27-Mar-2026, which materially changes the FY2026 to FY2027 comparability of volumes, revenue and net debt.</t>
        </is>
      </c>
    </row>
    <row r="22">
      <c r="A22" s="10" t="n">
        <v>3</v>
      </c>
      <c r="B22" s="11" t="inlineStr">
        <is>
          <t>Steel Authority of India Limited</t>
        </is>
      </c>
      <c r="C22" s="11" t="inlineStr">
        <is>
          <t>SAIL</t>
        </is>
      </c>
      <c r="D22" s="11" t="inlineStr">
        <is>
          <t>Core</t>
        </is>
      </c>
      <c r="E22" s="11" t="inlineStr">
        <is>
          <t>SAIL</t>
        </is>
      </c>
      <c r="F22" s="11" t="inlineStr">
        <is>
          <t>Listed - NSE and BSE</t>
        </is>
      </c>
      <c r="G22" s="11" t="inlineStr">
        <is>
          <t>President of India / Government of India (majority shareholder)</t>
        </is>
      </c>
      <c r="H22" s="11" t="inlineStr">
        <is>
          <t>BF-BOF</t>
        </is>
      </c>
      <c r="I22" s="11" t="inlineStr">
        <is>
          <t>Bhilai (Chhattisgarh), Durgapur and IISCO Burnpur and Alloy Steels Plant (West Bengal), Rourkela (Odisha), Bokaro (Jharkhand), Salem Steel Plant (Tamil Nadu)</t>
        </is>
      </c>
      <c r="J22" s="11" t="inlineStr">
        <is>
          <t>Long products, plates, HR and CR coil, rails, alloy and stainless steel</t>
        </is>
      </c>
      <c r="K22" s="11" t="inlineStr">
        <is>
          <t>Consolidated, Ind-AS (note: company's headline EBITDA is standalone)</t>
        </is>
      </c>
      <c r="L22" s="11" t="inlineStr">
        <is>
          <t>31-Mar</t>
        </is>
      </c>
      <c r="M22" s="11" t="inlineStr">
        <is>
          <t>INR</t>
        </is>
      </c>
      <c r="N22" s="11" t="inlineStr">
        <is>
          <t>FY2026 audited (15-May-2026)</t>
        </is>
      </c>
      <c r="O22" s="11" t="inlineStr">
        <is>
          <t>Verified from FY2026 primary disclosure</t>
        </is>
      </c>
      <c r="P22" s="11" t="inlineStr">
        <is>
          <t>S10, S26</t>
        </is>
      </c>
      <c r="Q22" s="11" t="inlineStr">
        <is>
          <t>High</t>
        </is>
      </c>
      <c r="R22" s="12" t="inlineStr">
        <is>
          <t>Operating capacity 19.676 Mtpa across seven plants per Ministry of Steel. Board-approved expansions total 7.62 Mtpa. See Conflict C09 on the standalone versus consolidated EBITDA basis.</t>
        </is>
      </c>
    </row>
    <row r="23">
      <c r="A23" s="10" t="n">
        <v>4</v>
      </c>
      <c r="B23" s="11" t="inlineStr">
        <is>
          <t>Jindal Steel Limited (formerly Jindal Steel &amp; Power Limited)</t>
        </is>
      </c>
      <c r="C23" s="11" t="inlineStr">
        <is>
          <t>Jindal Steel</t>
        </is>
      </c>
      <c r="D23" s="11" t="inlineStr">
        <is>
          <t>Core</t>
        </is>
      </c>
      <c r="E23" s="11" t="inlineStr">
        <is>
          <t>JINDALSTEL</t>
        </is>
      </c>
      <c r="F23" s="11" t="inlineStr">
        <is>
          <t>Listed - NSE and BSE</t>
        </is>
      </c>
      <c r="G23" s="11" t="inlineStr">
        <is>
          <t>O. P. Jindal Group (Naveen Jindal family)</t>
        </is>
      </c>
      <c r="H23" s="11" t="inlineStr">
        <is>
          <t>DRI-EAF and BF-BOF, with captive iron ore, thermal coal and coking coal</t>
        </is>
      </c>
      <c r="I23" s="11" t="inlineStr">
        <is>
          <t>Angul (Odisha), Raigarh (Chhattisgarh), Patratu (Jharkhand); pellet capacity at Barbil (Odisha)</t>
        </is>
      </c>
      <c r="J23" s="11" t="inlineStr">
        <is>
          <t>Plates and coils, rails, structurals, TMT bars, parallel flange beams</t>
        </is>
      </c>
      <c r="K23" s="11" t="inlineStr">
        <is>
          <t>Consolidated, Ind-AS</t>
        </is>
      </c>
      <c r="L23" s="11" t="inlineStr">
        <is>
          <t>31-Mar</t>
        </is>
      </c>
      <c r="M23" s="11" t="inlineStr">
        <is>
          <t>INR</t>
        </is>
      </c>
      <c r="N23" s="11" t="inlineStr">
        <is>
          <t>FY2026 (results 01-May-2026); Q1FY2027 reported 24-Jul-2026</t>
        </is>
      </c>
      <c r="O23" s="11" t="inlineStr">
        <is>
          <t>Verified from FY2026 primary disclosure</t>
        </is>
      </c>
      <c r="P23" s="11" t="inlineStr">
        <is>
          <t>S11, S41</t>
        </is>
      </c>
      <c r="Q23" s="11" t="inlineStr">
        <is>
          <t>High</t>
        </is>
      </c>
      <c r="R23" s="12" t="inlineStr">
        <is>
          <t>Angul expanded from 6.0 to 12.0 Mtpa during FY2026, taking group steelmaking capacity from 9.6 to 15.6 Mtpa entering FY2027. See Conflict C02 on the revenue basis.</t>
        </is>
      </c>
    </row>
    <row r="24">
      <c r="A24" s="10" t="n">
        <v>5</v>
      </c>
      <c r="B24" s="11" t="inlineStr">
        <is>
          <t>ArcelorMittal Nippon Steel India Limited</t>
        </is>
      </c>
      <c r="C24" s="11" t="inlineStr">
        <is>
          <t>AM/NS India</t>
        </is>
      </c>
      <c r="D24" s="11" t="inlineStr">
        <is>
          <t>Core</t>
        </is>
      </c>
      <c r="E24" s="11" t="inlineStr">
        <is>
          <t>Unlisted</t>
        </is>
      </c>
      <c r="F24" s="11" t="inlineStr">
        <is>
          <t>Unlisted - 60:40 joint venture; no listed equity</t>
        </is>
      </c>
      <c r="G24" s="11" t="inlineStr">
        <is>
          <t>ArcelorMittal S.A. 60% / Nippon Steel Corporation 40%</t>
        </is>
      </c>
      <c r="H24" s="11" t="inlineStr">
        <is>
          <t>BF-BOF and gas-based DRI-EAF at Hazira</t>
        </is>
      </c>
      <c r="I24" s="11" t="inlineStr">
        <is>
          <t>Hazira (Gujarat) integrated works; announced greenfield integrated plant at Rajayyapeta (Andhra Pradesh), Phase 1 of 8.2 Mtpa</t>
        </is>
      </c>
      <c r="J24" s="11" t="inlineStr">
        <is>
          <t>Flat products - hot rolled, cold rolled, coated - and plates</t>
        </is>
      </c>
      <c r="K24" s="11" t="inlineStr">
        <is>
          <t>100% basis as disclosed by ArcelorMittal S.A., in USD, on CALENDAR quarters</t>
        </is>
      </c>
      <c r="L24" s="11" t="inlineStr">
        <is>
          <t>31-Dec (as disclosed by parent)</t>
        </is>
      </c>
      <c r="M24" s="11" t="inlineStr">
        <is>
          <t>USD</t>
        </is>
      </c>
      <c r="N24" s="11" t="inlineStr">
        <is>
          <t>2Q CY2026 (Apr-Jun 2026)</t>
        </is>
      </c>
      <c r="O24" s="11" t="inlineStr">
        <is>
          <t>Verified from FY2026 primary disclosure (parent)</t>
        </is>
      </c>
      <c r="P24" s="11" t="inlineStr">
        <is>
          <t>S13, S14, S15</t>
        </is>
      </c>
      <c r="Q24" s="11" t="inlineStr">
        <is>
          <t>High</t>
        </is>
      </c>
      <c r="R24" s="12" t="inlineStr">
        <is>
          <t>Does not publish full Ind-AS consolidated statements publicly. Fiscal-year figures in this workbook are DERIVED by summing calendar quarters - see Conflict C16. Hazira expanding from 9 to 15 Mtpa; potential further expansion to 24 Mtpa under study; stated long-term pathway to 40 Mt in India.</t>
        </is>
      </c>
    </row>
    <row r="25">
      <c r="A25" s="10" t="n">
        <v>6</v>
      </c>
      <c r="B25" s="11" t="inlineStr">
        <is>
          <t>Jindal Stainless Limited</t>
        </is>
      </c>
      <c r="C25" s="11" t="inlineStr">
        <is>
          <t>Jindal Stainless</t>
        </is>
      </c>
      <c r="D25" s="11" t="inlineStr">
        <is>
          <t>Core</t>
        </is>
      </c>
      <c r="E25" s="11" t="inlineStr">
        <is>
          <t>JSL</t>
        </is>
      </c>
      <c r="F25" s="11" t="inlineStr">
        <is>
          <t>Listed - NSE and BSE</t>
        </is>
      </c>
      <c r="G25" s="11" t="inlineStr">
        <is>
          <t>Jindal Stainless promoter group (Ratan Jindal family)</t>
        </is>
      </c>
      <c r="H25" s="11" t="inlineStr">
        <is>
          <t>EAF with AOD converter - stainless steel melting</t>
        </is>
      </c>
      <c r="I25" s="11" t="inlineStr">
        <is>
          <t>Jajpur (Odisha), Hisar (Haryana); cold rolling at Hisar and Kharagpur; stainless melt shop in Indonesia</t>
        </is>
      </c>
      <c r="J25" s="11" t="inlineStr">
        <is>
          <t>Stainless steel flat products - 200, 300 and 400 series</t>
        </is>
      </c>
      <c r="K25" s="11" t="inlineStr">
        <is>
          <t>Consolidated, Ind-AS</t>
        </is>
      </c>
      <c r="L25" s="11" t="inlineStr">
        <is>
          <t>31-Mar</t>
        </is>
      </c>
      <c r="M25" s="11" t="inlineStr">
        <is>
          <t>INR</t>
        </is>
      </c>
      <c r="N25" s="11" t="inlineStr">
        <is>
          <t>FY2026 (results and call early-May-2026)</t>
        </is>
      </c>
      <c r="O25" s="11" t="inlineStr">
        <is>
          <t>Verified from FY2026 primary disclosure</t>
        </is>
      </c>
      <c r="P25" s="11" t="inlineStr">
        <is>
          <t>S12</t>
        </is>
      </c>
      <c r="Q25" s="11" t="inlineStr">
        <is>
          <t>High</t>
        </is>
      </c>
      <c r="R25" s="12" t="inlineStr">
        <is>
          <t>Total melt capacity 4.2 Mtpa comprising 3.0 Mtpa in India and 1.2 Mtpa in Indonesia, the latter commissioned ahead of schedule in FY2026. Sales volume target of 3.5 Mtpa by FY2029.</t>
        </is>
      </c>
    </row>
    <row r="26">
      <c r="A26" s="10" t="n">
        <v>7</v>
      </c>
      <c r="B26" s="11" t="inlineStr">
        <is>
          <t>Rashtriya Ispat Nigam Limited</t>
        </is>
      </c>
      <c r="C26" s="11" t="inlineStr">
        <is>
          <t>RINL</t>
        </is>
      </c>
      <c r="D26" s="11" t="inlineStr">
        <is>
          <t>Core</t>
        </is>
      </c>
      <c r="E26" s="11" t="inlineStr">
        <is>
          <t>Unlisted</t>
        </is>
      </c>
      <c r="F26" s="11" t="inlineStr">
        <is>
          <t>Unlisted - 100% Government of India</t>
        </is>
      </c>
      <c r="G26" s="11" t="inlineStr">
        <is>
          <t>Government of India</t>
        </is>
      </c>
      <c r="H26" s="11" t="inlineStr">
        <is>
          <t>BF-BOF</t>
        </is>
      </c>
      <c r="I26" s="11" t="inlineStr">
        <is>
          <t>Visakhapatnam Steel Plant (Andhra Pradesh)</t>
        </is>
      </c>
      <c r="J26" s="11" t="inlineStr">
        <is>
          <t>Long products - bars, rounds, wire rod, structurals, forged products</t>
        </is>
      </c>
      <c r="K26" s="11" t="inlineStr">
        <is>
          <t>Not applicable - audited statutory financials not publicly available for FY2026</t>
        </is>
      </c>
      <c r="L26" s="11" t="inlineStr">
        <is>
          <t>31-Mar</t>
        </is>
      </c>
      <c r="M26" s="11" t="inlineStr">
        <is>
          <t>INR</t>
        </is>
      </c>
      <c r="N26" s="11" t="inlineStr">
        <is>
          <t>FY2026 operating and turnover data only (01-Apr-2026 release)</t>
        </is>
      </c>
      <c r="O26" s="11" t="inlineStr">
        <is>
          <t>Operating data verified; capacity indicative</t>
        </is>
      </c>
      <c r="P26" s="11" t="inlineStr">
        <is>
          <t>S16, S01</t>
        </is>
      </c>
      <c r="Q26" s="11" t="inlineStr">
        <is>
          <t>Medium</t>
        </is>
      </c>
      <c r="R26" s="12" t="inlineStr">
        <is>
          <t>Returned to monthly cash profit in Jan-2026 (Rs 54 cr) after sustained Government support. Volumes rose ~51% in FY2026 off a very low FY2025 base. Nameplate liquid steel capacity of 7.3 Mtpa is widely cited but was NOT verified within this research cycle.</t>
        </is>
      </c>
    </row>
    <row r="27">
      <c r="A27" s="10" t="n">
        <v>8</v>
      </c>
      <c r="B27" s="11" t="inlineStr">
        <is>
          <t>Shyam Metalics and Energy Limited</t>
        </is>
      </c>
      <c r="C27" s="11" t="inlineStr">
        <is>
          <t>Shyam Metalics</t>
        </is>
      </c>
      <c r="D27" s="11" t="inlineStr">
        <is>
          <t>Supporting</t>
        </is>
      </c>
      <c r="E27" s="11" t="inlineStr">
        <is>
          <t>SHYAMMETL</t>
        </is>
      </c>
      <c r="F27" s="11" t="inlineStr">
        <is>
          <t>Listed - NSE and BSE</t>
        </is>
      </c>
      <c r="G27" s="11" t="inlineStr">
        <is>
          <t>Promoter group (Agarwal family)</t>
        </is>
      </c>
      <c r="H27" s="11" t="inlineStr">
        <is>
          <t>DRI plus induction and electric arc furnace, with captive power and ferro alloys</t>
        </is>
      </c>
      <c r="I27" s="11" t="inlineStr">
        <is>
          <t>Integrated facilities in West Bengal (including Jamuria) and Odisha; captive power ~357 MW</t>
        </is>
      </c>
      <c r="J27" s="11" t="inlineStr">
        <is>
          <t>Long products, billets, sponge iron, pellets, ferro alloys, aluminium foil, cold rolled products</t>
        </is>
      </c>
      <c r="K27" s="11" t="inlineStr">
        <is>
          <t>Consolidated, Ind-AS</t>
        </is>
      </c>
      <c r="L27" s="11" t="inlineStr">
        <is>
          <t>31-Mar</t>
        </is>
      </c>
      <c r="M27" s="11" t="inlineStr">
        <is>
          <t>INR</t>
        </is>
      </c>
      <c r="N27" s="11" t="inlineStr">
        <is>
          <t>FY2026 audited (board 11-May-2026)</t>
        </is>
      </c>
      <c r="O27" s="11" t="inlineStr">
        <is>
          <t>Indicative - verify against annual report</t>
        </is>
      </c>
      <c r="P27" s="11" t="inlineStr">
        <is>
          <t>S31, S38, S39</t>
        </is>
      </c>
      <c r="Q27" s="11" t="inlineStr">
        <is>
          <t>Medium</t>
        </is>
      </c>
      <c r="R27" s="12" t="inlineStr">
        <is>
          <t>CRITICAL DEFINITION: the company's 'aggregate installed metal capacity' of 15.13 Mtpa (31-Dec-2024) spans intermediate AND final products and therefore double-counts within the value chain. It is NOT crude steel capacity. Announced ~USD 1.1bn expansion to ~27 Mtpa by FY2031. Reported EBITDA includes other income - see Conflict C10.</t>
        </is>
      </c>
    </row>
    <row r="28">
      <c r="A28" s="10" t="n">
        <v>9</v>
      </c>
      <c r="B28" s="11" t="inlineStr">
        <is>
          <t>Godawari Power &amp; Ispat Limited</t>
        </is>
      </c>
      <c r="C28" s="11" t="inlineStr">
        <is>
          <t>Godawari Power</t>
        </is>
      </c>
      <c r="D28" s="11" t="inlineStr">
        <is>
          <t>Supporting</t>
        </is>
      </c>
      <c r="E28" s="11" t="inlineStr">
        <is>
          <t>GPIL</t>
        </is>
      </c>
      <c r="F28" s="11" t="inlineStr">
        <is>
          <t>Listed - NSE and BSE</t>
        </is>
      </c>
      <c r="G28" s="11" t="inlineStr">
        <is>
          <t>Promoter group (Agrawal family)</t>
        </is>
      </c>
      <c r="H28" s="11" t="inlineStr">
        <is>
          <t>DRI-EAF, integrated backwards into captive iron ore and pellets</t>
        </is>
      </c>
      <c r="I28" s="11" t="inlineStr">
        <is>
          <t>Siltara and Raipur (Chhattisgarh), with captive iron ore mining</t>
        </is>
      </c>
      <c r="J28" s="11" t="inlineStr">
        <is>
          <t>Sponge iron, billets, wire rod, HB wire, iron ore pellets, ferro alloys</t>
        </is>
      </c>
      <c r="K28" s="11" t="inlineStr">
        <is>
          <t>Consolidated, Ind-AS</t>
        </is>
      </c>
      <c r="L28" s="11" t="inlineStr">
        <is>
          <t>31-Mar</t>
        </is>
      </c>
      <c r="M28" s="11" t="inlineStr">
        <is>
          <t>INR</t>
        </is>
      </c>
      <c r="N28" s="11" t="inlineStr">
        <is>
          <t>FY2026</t>
        </is>
      </c>
      <c r="O28" s="11" t="inlineStr">
        <is>
          <t>Indicative - verify against annual report</t>
        </is>
      </c>
      <c r="P28" s="11" t="inlineStr">
        <is>
          <t>S30</t>
        </is>
      </c>
      <c r="Q28" s="11" t="inlineStr">
        <is>
          <t>Medium</t>
        </is>
      </c>
      <c r="R28" s="12" t="inlineStr">
        <is>
          <t>Highest operating margin in the supporting set (FY2026 standardised margin ~23%), reflecting captive iron ore. Volumes not disclosed in the sources available, so EBITDA per tonne is not computed.</t>
        </is>
      </c>
    </row>
    <row r="29">
      <c r="A29" s="10" t="n">
        <v>10</v>
      </c>
      <c r="B29" s="11" t="inlineStr">
        <is>
          <t>APL Apollo Tubes Limited</t>
        </is>
      </c>
      <c r="C29" s="11" t="inlineStr">
        <is>
          <t>APL Apollo</t>
        </is>
      </c>
      <c r="D29" s="11" t="inlineStr">
        <is>
          <t>Supporting</t>
        </is>
      </c>
      <c r="E29" s="11" t="inlineStr">
        <is>
          <t>APLAPOLLO</t>
        </is>
      </c>
      <c r="F29" s="11" t="inlineStr">
        <is>
          <t>Listed - NSE and BSE</t>
        </is>
      </c>
      <c r="G29" s="11" t="inlineStr">
        <is>
          <t>Promoter group (Sanjay Gupta family)</t>
        </is>
      </c>
      <c r="H29" s="11" t="inlineStr">
        <is>
          <t>NOT a steelmaker - electric resistance welded structural steel tube converter; a buyer of hot rolled coil</t>
        </is>
      </c>
      <c r="I29" s="11" t="inlineStr">
        <is>
          <t>Multiple ERW tube and hollow-section plants across India</t>
        </is>
      </c>
      <c r="J29" s="11" t="inlineStr">
        <is>
          <t>Structural steel tubes and hollow sections, pre-galvanised and colour-coated tubes</t>
        </is>
      </c>
      <c r="K29" s="11" t="inlineStr">
        <is>
          <t>Consolidated, Ind-AS</t>
        </is>
      </c>
      <c r="L29" s="11" t="inlineStr">
        <is>
          <t>31-Mar</t>
        </is>
      </c>
      <c r="M29" s="11" t="inlineStr">
        <is>
          <t>INR</t>
        </is>
      </c>
      <c r="N29" s="11" t="inlineStr">
        <is>
          <t>FY2026</t>
        </is>
      </c>
      <c r="O29" s="11" t="inlineStr">
        <is>
          <t>Indicative - verify against annual report</t>
        </is>
      </c>
      <c r="P29" s="11" t="inlineStr">
        <is>
          <t>S30</t>
        </is>
      </c>
      <c r="Q29" s="11" t="inlineStr">
        <is>
          <t>Medium</t>
        </is>
      </c>
      <c r="R29" s="12" t="inlineStr">
        <is>
          <t>ANALYTICAL WARNING: a downstream converter, not a crude steel producer. Its input is HRC, so it is a beneficiary of falling steel prices and is inversely exposed to the safeguard duty relative to the integrated mills. EXCLUDE from crude steel capacity, crude steel volume and EBITDA-per-tonne-of-crude-steel comparisons.</t>
        </is>
      </c>
    </row>
    <row r="30">
      <c r="A30" s="10" t="n">
        <v>11</v>
      </c>
      <c r="B30" s="11" t="inlineStr">
        <is>
          <t>Mukand Limited</t>
        </is>
      </c>
      <c r="C30" s="11" t="inlineStr">
        <is>
          <t>Mukand</t>
        </is>
      </c>
      <c r="D30" s="11" t="inlineStr">
        <is>
          <t>Supporting</t>
        </is>
      </c>
      <c r="E30" s="11" t="inlineStr">
        <is>
          <t>MUKANDLTD</t>
        </is>
      </c>
      <c r="F30" s="11" t="inlineStr">
        <is>
          <t>Listed - NSE and BSE</t>
        </is>
      </c>
      <c r="G30" s="11" t="inlineStr">
        <is>
          <t>Bajaj group and Mukand promoter group</t>
        </is>
      </c>
      <c r="H30" s="11" t="inlineStr">
        <is>
          <t>EAF - alloy and specialty steel long products</t>
        </is>
      </c>
      <c r="I30" s="11" t="inlineStr">
        <is>
          <t>Ginigera (Karnataka) and Thane / Kalwe (Maharashtra)</t>
        </is>
      </c>
      <c r="J30" s="11" t="inlineStr">
        <is>
          <t>Alloy and stainless steel bars and wire rods; industrial machinery and cranes</t>
        </is>
      </c>
      <c r="K30" s="11" t="inlineStr">
        <is>
          <t>Consolidated, Ind-AS</t>
        </is>
      </c>
      <c r="L30" s="11" t="inlineStr">
        <is>
          <t>31-Mar</t>
        </is>
      </c>
      <c r="M30" s="11" t="inlineStr">
        <is>
          <t>INR</t>
        </is>
      </c>
      <c r="N30" s="11" t="inlineStr">
        <is>
          <t>FY2026</t>
        </is>
      </c>
      <c r="O30" s="11" t="inlineStr">
        <is>
          <t>Indicative - verify against annual report</t>
        </is>
      </c>
      <c r="P30" s="11" t="inlineStr">
        <is>
          <t>S30</t>
        </is>
      </c>
      <c r="Q30" s="11" t="inlineStr">
        <is>
          <t>Medium</t>
        </is>
      </c>
      <c r="R30" s="12" t="inlineStr">
        <is>
          <t>FY2026 net profit of Rs 604 cr materially exceeds standardised EBITDA of Rs 172 cr, indicating a large non-operating or exceptional item. Do NOT use FY2026 Mukand earnings in operating comparisons - see Conflict C11.</t>
        </is>
      </c>
    </row>
    <row r="31">
      <c r="A31" s="10" t="n">
        <v>12</v>
      </c>
      <c r="B31" s="11" t="inlineStr">
        <is>
          <t>Gallantt Ispat Limited</t>
        </is>
      </c>
      <c r="C31" s="11" t="inlineStr">
        <is>
          <t>Gallantt</t>
        </is>
      </c>
      <c r="D31" s="11" t="inlineStr">
        <is>
          <t>Supporting</t>
        </is>
      </c>
      <c r="E31" s="11" t="inlineStr">
        <is>
          <t>GALLANTT</t>
        </is>
      </c>
      <c r="F31" s="11" t="inlineStr">
        <is>
          <t>Listed - NSE and BSE</t>
        </is>
      </c>
      <c r="G31" s="11" t="inlineStr">
        <is>
          <t>Gallantt promoter group</t>
        </is>
      </c>
      <c r="H31" s="11" t="inlineStr">
        <is>
          <t>Integrated DRI and induction furnace with rolling mills and captive power</t>
        </is>
      </c>
      <c r="I31" s="11" t="inlineStr">
        <is>
          <t>Gorakhpur (Uttar Pradesh) and Gujarat</t>
        </is>
      </c>
      <c r="J31" s="11" t="inlineStr">
        <is>
          <t>TMT bars, billets, sponge iron; also an agri-products (flour) business</t>
        </is>
      </c>
      <c r="K31" s="11" t="inlineStr">
        <is>
          <t>Consolidated, Ind-AS</t>
        </is>
      </c>
      <c r="L31" s="11" t="inlineStr">
        <is>
          <t>31-Mar</t>
        </is>
      </c>
      <c r="M31" s="11" t="inlineStr">
        <is>
          <t>INR</t>
        </is>
      </c>
      <c r="N31" s="11" t="inlineStr">
        <is>
          <t>FY2026</t>
        </is>
      </c>
      <c r="O31" s="11" t="inlineStr">
        <is>
          <t>Indicative - verify against annual report</t>
        </is>
      </c>
      <c r="P31" s="11" t="inlineStr">
        <is>
          <t>S30</t>
        </is>
      </c>
      <c r="Q31" s="11" t="inlineStr">
        <is>
          <t>Medium</t>
        </is>
      </c>
      <c r="R31" s="12" t="inlineStr">
        <is>
          <t>Gallantt Metal was amalgamated into Gallantt Ispat, so pre-merger periods are not like-for-like. FY2026 annual revenue column differs from the sum of quarters by Rs 19 cr - see Conflict C13.</t>
        </is>
      </c>
    </row>
    <row r="32">
      <c r="A32" s="10" t="n">
        <v>13</v>
      </c>
      <c r="B32" s="11" t="inlineStr">
        <is>
          <t>Uttam Galva Steels Limited</t>
        </is>
      </c>
      <c r="C32" s="11" t="inlineStr">
        <is>
          <t>Uttam Galva</t>
        </is>
      </c>
      <c r="D32" s="11" t="inlineStr">
        <is>
          <t>Supporting</t>
        </is>
      </c>
      <c r="E32" s="11" t="inlineStr">
        <is>
          <t>Delisted</t>
        </is>
      </c>
      <c r="F32" s="11" t="inlineStr">
        <is>
          <t>Delisted - trading suspended 17-Oct-2022; delisted 08-Dec-2022</t>
        </is>
      </c>
      <c r="G32" s="11" t="inlineStr">
        <is>
          <t>AM Mining India Private Limited (ArcelorMittal group), following the NCLT-approved resolution plan</t>
        </is>
      </c>
      <c r="H32" s="11" t="inlineStr">
        <is>
          <t>NOT a steelmaker - cold rolling and galvanising converter</t>
        </is>
      </c>
      <c r="I32" s="11" t="inlineStr">
        <is>
          <t>Khopoli (Maharashtra)</t>
        </is>
      </c>
      <c r="J32" s="11" t="inlineStr">
        <is>
          <t>Cold rolled coil, galvanised plain and corrugated (GP/GC) products</t>
        </is>
      </c>
      <c r="K32" s="11" t="inlineStr">
        <is>
          <t>Not applicable - no public financial statements from FY2023 onwards</t>
        </is>
      </c>
      <c r="L32" s="11" t="inlineStr">
        <is>
          <t>31-Mar</t>
        </is>
      </c>
      <c r="M32" s="11" t="inlineStr">
        <is>
          <t>INR</t>
        </is>
      </c>
      <c r="N32" s="11" t="inlineStr">
        <is>
          <t>FY2022 (last publicly available annual period)</t>
        </is>
      </c>
      <c r="O32" s="11" t="inlineStr">
        <is>
          <t>Status verified from insolvency and exchange records</t>
        </is>
      </c>
      <c r="P32" s="11" t="inlineStr">
        <is>
          <t>S36</t>
        </is>
      </c>
      <c r="Q32" s="11" t="inlineStr">
        <is>
          <t>High</t>
        </is>
      </c>
      <c r="R32" s="12" t="inlineStr">
        <is>
          <t>Resolved under the Insolvency and Bankruptcy Code. NCLT Mumbai approved AM Mining India's resolution plan by order delivered 14-Oct-2022; the acquisition completed in Nov-2022. The company now sits inside the ArcelorMittal ownership chain, so it is no longer an independent listed comparable. Retained in the universe for continuity of mandated coverage.</t>
        </is>
      </c>
    </row>
    <row r="33">
      <c r="A33" s="10" t="n">
        <v>14</v>
      </c>
      <c r="B33" s="11" t="inlineStr">
        <is>
          <t>Electrosteel Steels Limited (now ESL Steel Limited)</t>
        </is>
      </c>
      <c r="C33" s="11" t="inlineStr">
        <is>
          <t>Electrosteel / ESL</t>
        </is>
      </c>
      <c r="D33" s="11" t="inlineStr">
        <is>
          <t>Supporting</t>
        </is>
      </c>
      <c r="E33" s="11" t="inlineStr">
        <is>
          <t>Delisted</t>
        </is>
      </c>
      <c r="F33" s="11" t="inlineStr">
        <is>
          <t>Delisted - resolved under the IBC; equity delisted</t>
        </is>
      </c>
      <c r="G33" s="11" t="inlineStr">
        <is>
          <t>Vedanta Limited (steel business placed in Vedanta Iron &amp; Steel on demerger effective 01-May-2026)</t>
        </is>
      </c>
      <c r="H33" s="11" t="inlineStr">
        <is>
          <t>BF-BOF - greenfield integrated plant</t>
        </is>
      </c>
      <c r="I33" s="11" t="inlineStr">
        <is>
          <t>Siyaljori, Chandankyari, Bokaro district (Jharkhand)</t>
        </is>
      </c>
      <c r="J33" s="11" t="inlineStr">
        <is>
          <t>Pig iron, billets, TMT bars, wire rods, ductile iron pipes</t>
        </is>
      </c>
      <c r="K33" s="11" t="inlineStr">
        <is>
          <t>Not applicable - FY2025 and FY2026 statutory financials not publicly available</t>
        </is>
      </c>
      <c r="L33" s="11" t="inlineStr">
        <is>
          <t>31-Mar</t>
        </is>
      </c>
      <c r="M33" s="11" t="inlineStr">
        <is>
          <t>INR</t>
        </is>
      </c>
      <c r="N33" s="11" t="inlineStr">
        <is>
          <t>FY2024 (last annual report located)</t>
        </is>
      </c>
      <c r="O33" s="11" t="inlineStr">
        <is>
          <t>Status and capacity verified from company and parent sources</t>
        </is>
      </c>
      <c r="P33" s="11" t="inlineStr">
        <is>
          <t>S35, S34, S43</t>
        </is>
      </c>
      <c r="Q33" s="11" t="inlineStr">
        <is>
          <t>Medium</t>
        </is>
      </c>
      <c r="R33" s="12" t="inlineStr">
        <is>
          <t>Commissioned capacity 1.5 Mtpa. Vedanta targeting a doubling of Bokaro steelmaking capacity to 3.0 Mtpa by end-CY2026 (single secondary source - indicative). Vedanta's Q4/FY26 press release does NOT disclose a separate ESL revenue, EBITDA or steel production line item, so no FY2026 financials can be sourced.</t>
        </is>
      </c>
    </row>
    <row r="34">
      <c r="A34" s="10" t="n">
        <v>15</v>
      </c>
      <c r="B34" s="11" t="inlineStr">
        <is>
          <t>Kirloskar Ferrous Industries Limited</t>
        </is>
      </c>
      <c r="C34" s="11" t="inlineStr">
        <is>
          <t>Kirloskar Ferrous</t>
        </is>
      </c>
      <c r="D34" s="11" t="inlineStr">
        <is>
          <t>Supporting</t>
        </is>
      </c>
      <c r="E34" s="11" t="inlineStr">
        <is>
          <t>KIRLFER</t>
        </is>
      </c>
      <c r="F34" s="11" t="inlineStr">
        <is>
          <t>Listed - NSE and BSE</t>
        </is>
      </c>
      <c r="G34" s="11" t="inlineStr">
        <is>
          <t>Kirloskar group</t>
        </is>
      </c>
      <c r="H34" s="11" t="inlineStr">
        <is>
          <t>Mini blast furnace pig iron and iron castings; alloy steel and seamless tubes through subsidiary ISMT</t>
        </is>
      </c>
      <c r="I34" s="11" t="inlineStr">
        <is>
          <t>Koppal (Karnataka) and Solapur (Maharashtra); ISMT facilities at Ahmednagar and Baramati</t>
        </is>
      </c>
      <c r="J34" s="11" t="inlineStr">
        <is>
          <t>Pig iron, iron castings, alloy steel, seamless tubes</t>
        </is>
      </c>
      <c r="K34" s="11" t="inlineStr">
        <is>
          <t>Consolidated, Ind-AS</t>
        </is>
      </c>
      <c r="L34" s="11" t="inlineStr">
        <is>
          <t>31-Mar</t>
        </is>
      </c>
      <c r="M34" s="11" t="inlineStr">
        <is>
          <t>INR</t>
        </is>
      </c>
      <c r="N34" s="11" t="inlineStr">
        <is>
          <t>FY2026</t>
        </is>
      </c>
      <c r="O34" s="11" t="inlineStr">
        <is>
          <t>Indicative - verify against annual report</t>
        </is>
      </c>
      <c r="P34" s="11" t="inlineStr">
        <is>
          <t>S30</t>
        </is>
      </c>
      <c r="Q34" s="11" t="inlineStr">
        <is>
          <t>Medium</t>
        </is>
      </c>
      <c r="R34" s="12" t="inlineStr">
        <is>
          <t>Predominantly a pig iron, castings and tubes producer rather than a crude steel producer. FY2026 net profit of Rs 507 cr exceeds profit before tax of Rs 497 cr, indicating a net tax credit - see Conflict C12.</t>
        </is>
      </c>
    </row>
    <row r="36">
      <c r="A36" s="13" t="inlineStr">
        <is>
          <t>APL Apollo Tubes and Uttam Galva Steels are converters, not steelmakers, and are excluded by design from crude steel capacity, crude steel volume and EBITDA per tonne of crude steel comparisons. Kirloskar Ferrous is predominantly a pig iron, castings and tubes producer.</t>
        </is>
      </c>
    </row>
  </sheetData>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tabColor rgb="001F3864"/>
    <outlinePr summaryBelow="1" summaryRight="1"/>
    <pageSetUpPr fitToPage="1"/>
  </sheetPr>
  <dimension ref="A1:M53"/>
  <sheetViews>
    <sheetView showGridLines="0" workbookViewId="0">
      <pane xSplit="1" ySplit="43" topLeftCell="B44"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4" customWidth="1" min="1" max="1"/>
    <col width="13" customWidth="1" min="2" max="2"/>
    <col width="46" customWidth="1" min="3" max="3"/>
    <col width="10" customWidth="1" min="4" max="4"/>
    <col width="16" customWidth="1" min="5" max="5"/>
    <col width="20" customWidth="1" min="6" max="6"/>
    <col width="20" customWidth="1" min="7" max="7"/>
    <col width="30" customWidth="1" min="8" max="8"/>
    <col width="18" customWidth="1" min="9" max="9"/>
    <col width="14" customWidth="1" min="10" max="10"/>
    <col width="22" customWidth="1" min="11" max="11"/>
    <col width="11" customWidth="1" min="12" max="12"/>
    <col width="90" customWidth="1" min="13" max="13"/>
  </cols>
  <sheetData>
    <row r="1" ht="19" customHeight="1">
      <c r="A1" s="1" t="inlineStr">
        <is>
          <t>2. Production Capacity</t>
        </is>
      </c>
    </row>
    <row r="2">
      <c r="A2" s="4" t="inlineStr">
        <is>
          <t>Master Industry Database  |  Indian Steel Industry  |  Data cutoff: 03-Aug-2026</t>
        </is>
      </c>
    </row>
    <row r="3">
      <c r="A3" s="3" t="inlineStr"/>
    </row>
    <row r="4">
      <c r="A4" s="4" t="inlineStr">
        <is>
          <t>OBJECTIVE</t>
        </is>
      </c>
    </row>
    <row r="5">
      <c r="A5" s="3" t="inlineStr">
        <is>
          <t>Establishes installed and pipeline capacity at industry and company level. Capacity is the denominator for utilisation, the anchor for growth-capex modelling and the measure against which the National Steel Policy 2017 target of 300 Mtpa is tracked.</t>
        </is>
      </c>
    </row>
    <row r="6">
      <c r="A6" s="4" t="inlineStr">
        <is>
          <t>UNITS AND CURRENCY</t>
        </is>
      </c>
    </row>
    <row r="7">
      <c r="A7" s="3" t="inlineStr">
        <is>
          <t>Mtpa (million tonnes per annum). Utilisation in per cent.</t>
        </is>
      </c>
    </row>
    <row r="8">
      <c r="A8" s="4" t="inlineStr">
        <is>
          <t>COVERAGE AND HISTORICAL DEPTH</t>
        </is>
      </c>
    </row>
    <row r="9">
      <c r="A9" s="3" t="inlineStr">
        <is>
          <t>Industry: FY2024-FY2026 plus the FY2031 policy target. Company: capacity at FY2026 year-end plus pipeline. All 15 companies are listed even where capacity is not publicly sourced.</t>
        </is>
      </c>
    </row>
    <row r="10">
      <c r="A10" s="4" t="inlineStr">
        <is>
          <t>DATA FREQUENCY</t>
        </is>
      </c>
    </row>
    <row r="11">
      <c r="A11" s="3" t="inlineStr">
        <is>
          <t>Annual, at year-end. Reviewed each quarter for new project approvals.</t>
        </is>
      </c>
    </row>
    <row r="12">
      <c r="A12" s="4" t="inlineStr">
        <is>
          <t>SOURCE HIERARCHY APPLIED</t>
        </is>
      </c>
    </row>
    <row r="13">
      <c r="A13" s="3" t="inlineStr">
        <is>
          <t>Tier 1 first: issuer results releases, exchange-filed investor presentations, audited financial results and exchange-filed earnings call transcripts. Tier 3 aggregators of exchange filings are used only to extend the series backwards and every FY2026 figure so sourced has been reconciled to a Tier 1 or Tier 2 source or to the sum of the four reported quarters.</t>
        </is>
      </c>
    </row>
    <row r="14">
      <c r="A14" s="4" t="inlineStr">
        <is>
          <t>COLUMN RATIONALE</t>
        </is>
      </c>
    </row>
    <row r="15">
      <c r="A15" s="3" t="inlineStr">
        <is>
          <t>Capacity Definition is the most important column on this sheet: companies publish crude steel, liquid steel, hot metal, melt and aggregate installed metal capacity and these are not interchangeable. Approval Status separates in-place earnings capacity from optionality that still requires capital and time, so that a Board-approved tranche is never summed with an aspirational target.</t>
        </is>
      </c>
    </row>
    <row r="16">
      <c r="A16" s="3" t="inlineStr"/>
    </row>
    <row r="17">
      <c r="A17" s="2" t="inlineStr">
        <is>
          <t>SECTION A - INDIA INDUSTRY CAPACITY</t>
        </is>
      </c>
    </row>
    <row r="18" ht="30" customHeight="1">
      <c r="A18" s="8" t="inlineStr">
        <is>
          <t>Metric</t>
        </is>
      </c>
      <c r="B18" s="7" t="inlineStr">
        <is>
          <t>Unit</t>
        </is>
      </c>
      <c r="C18" s="7" t="inlineStr">
        <is>
          <t>FY2024</t>
        </is>
      </c>
      <c r="D18" s="7" t="inlineStr">
        <is>
          <t>FY2025</t>
        </is>
      </c>
      <c r="E18" s="7" t="inlineStr">
        <is>
          <t>FY2026</t>
        </is>
      </c>
      <c r="F18" s="7" t="inlineStr">
        <is>
          <t>FY2031 Target</t>
        </is>
      </c>
      <c r="G18" s="7" t="inlineStr">
        <is>
          <t>Period Type</t>
        </is>
      </c>
      <c r="H18" s="7" t="inlineStr">
        <is>
          <t>Source ID</t>
        </is>
      </c>
      <c r="I18" s="7" t="inlineStr">
        <is>
          <t>Methodology</t>
        </is>
      </c>
      <c r="J18" s="7" t="inlineStr">
        <is>
          <t>Confidence</t>
        </is>
      </c>
      <c r="K18" s="7" t="inlineStr">
        <is>
          <t>Notes</t>
        </is>
      </c>
    </row>
    <row r="19">
      <c r="A19" s="11" t="inlineStr">
        <is>
          <t>India crude steel capacity</t>
        </is>
      </c>
      <c r="B19" s="11" t="inlineStr">
        <is>
          <t>Mtpa</t>
        </is>
      </c>
      <c r="C19" s="14" t="n">
        <v>179.51</v>
      </c>
      <c r="D19" s="14" t="n">
        <v>200.33</v>
      </c>
      <c r="E19" s="14" t="n">
        <v>220.4</v>
      </c>
      <c r="F19" s="14" t="n">
        <v>300</v>
      </c>
      <c r="G19" s="11" t="inlineStr">
        <is>
          <t>Annual (FY), year-end</t>
        </is>
      </c>
      <c r="H19" s="11" t="inlineStr">
        <is>
          <t>S02, S03</t>
        </is>
      </c>
      <c r="I19" s="11" t="inlineStr">
        <is>
          <t>As reported</t>
        </is>
      </c>
      <c r="J19" s="11" t="inlineStr">
        <is>
          <t>High</t>
        </is>
      </c>
      <c r="K19" s="12" t="inlineStr">
        <is>
          <t>JPC data as published by the Ministry of Steel. FY2031 target of 300 Mtpa is the National Steel Policy 2017 aspiration. The Mar-2026 Ministry vintage stated 220.3 Mt - see Conflict C04.</t>
        </is>
      </c>
    </row>
    <row r="20">
      <c r="A20" s="11" t="inlineStr">
        <is>
          <t>Implied capacity utilisation (crude steel)</t>
        </is>
      </c>
      <c r="B20" s="11" t="inlineStr">
        <is>
          <t>%</t>
        </is>
      </c>
      <c r="C20" s="14" t="n">
        <v>0.8038999999999999</v>
      </c>
      <c r="D20" s="14" t="n">
        <v>0.7596000000000001</v>
      </c>
      <c r="E20" s="14" t="n">
        <v>0.7642</v>
      </c>
      <c r="F20" s="15" t="n"/>
      <c r="G20" s="11" t="inlineStr">
        <is>
          <t>Annual (FY)</t>
        </is>
      </c>
      <c r="H20" s="11" t="inlineStr">
        <is>
          <t>S01, S02</t>
        </is>
      </c>
      <c r="I20" s="11" t="inlineStr">
        <is>
          <t>Computed: crude steel production divided by year-end capacity</t>
        </is>
      </c>
      <c r="J20" s="11" t="inlineStr">
        <is>
          <t>High</t>
        </is>
      </c>
      <c r="K20" s="12" t="inlineStr">
        <is>
          <t>Computed in-cell. Uses year-end capacity as the denominator, so it understates true utilisation in years of heavy capacity commissioning. FY2024 144.30/179.51; FY2025 152.18/200.33; FY2026 168.42/220.4.</t>
        </is>
      </c>
    </row>
    <row r="21">
      <c r="A21" s="11" t="inlineStr">
        <is>
          <t>Capacity added during the year</t>
        </is>
      </c>
      <c r="B21" s="11" t="inlineStr">
        <is>
          <t>Mtpa</t>
        </is>
      </c>
      <c r="C21" s="15" t="n"/>
      <c r="D21" s="14" t="n">
        <v>20.82</v>
      </c>
      <c r="E21" s="14" t="n">
        <v>20.07</v>
      </c>
      <c r="F21" s="15" t="n"/>
      <c r="G21" s="11" t="inlineStr">
        <is>
          <t>Annual (FY)</t>
        </is>
      </c>
      <c r="H21" s="11" t="inlineStr">
        <is>
          <t>S02</t>
        </is>
      </c>
      <c r="I21" s="11" t="inlineStr">
        <is>
          <t>Computed: year-on-year change in capacity</t>
        </is>
      </c>
      <c r="J21" s="11" t="inlineStr">
        <is>
          <t>High</t>
        </is>
      </c>
      <c r="K21" s="12" t="inlineStr">
        <is>
          <t>India added roughly 20 Mtpa in each of FY2025 and FY2026 - the fastest sustained capacity build of any steel industry globally over the period.</t>
        </is>
      </c>
    </row>
    <row r="23">
      <c r="A23" s="2" t="inlineStr">
        <is>
          <t>SECTION B - COMPANY CAPACITY</t>
        </is>
      </c>
    </row>
    <row r="24" ht="30" customHeight="1">
      <c r="A24" s="8" t="inlineStr">
        <is>
          <t>Company</t>
        </is>
      </c>
      <c r="B24" s="7" t="inlineStr">
        <is>
          <t>Coverage Tier</t>
        </is>
      </c>
      <c r="C24" s="7" t="inlineStr">
        <is>
          <t>Capacity Definition</t>
        </is>
      </c>
      <c r="D24" s="7" t="inlineStr">
        <is>
          <t>Unit</t>
        </is>
      </c>
      <c r="E24" s="7" t="inlineStr">
        <is>
          <t>Capacity At FY2026 Year-End</t>
        </is>
      </c>
      <c r="F24" s="7" t="inlineStr">
        <is>
          <t>Announced / Approved Growth Pipeline</t>
        </is>
      </c>
      <c r="G24" s="7" t="inlineStr">
        <is>
          <t>Indicative Capacity On Completion</t>
        </is>
      </c>
      <c r="H24" s="7" t="inlineStr">
        <is>
          <t>Approval Status Of Pipeline</t>
        </is>
      </c>
      <c r="I24" s="7" t="inlineStr">
        <is>
          <t>Target Date</t>
        </is>
      </c>
      <c r="J24" s="7" t="inlineStr">
        <is>
          <t>Source ID</t>
        </is>
      </c>
      <c r="K24" s="7" t="inlineStr">
        <is>
          <t>Methodology</t>
        </is>
      </c>
      <c r="L24" s="7" t="inlineStr">
        <is>
          <t>Confidence</t>
        </is>
      </c>
      <c r="M24" s="7" t="inlineStr">
        <is>
          <t>Notes</t>
        </is>
      </c>
    </row>
    <row r="25">
      <c r="A25" s="11" t="inlineStr">
        <is>
          <t>Tata Steel</t>
        </is>
      </c>
      <c r="B25" s="11" t="inlineStr">
        <is>
          <t>Core</t>
        </is>
      </c>
      <c r="C25" s="11" t="inlineStr">
        <is>
          <t>Crude steel capacity, global group</t>
        </is>
      </c>
      <c r="D25" s="11" t="inlineStr">
        <is>
          <t>Mtpa</t>
        </is>
      </c>
      <c r="E25" s="16" t="n">
        <v>35</v>
      </c>
      <c r="F25" s="11" t="inlineStr">
        <is>
          <t>Data Not Publicly Available</t>
        </is>
      </c>
      <c r="G25" s="16" t="n">
        <v>40</v>
      </c>
      <c r="H25" s="11" t="inlineStr">
        <is>
          <t>Announced - India roadmap</t>
        </is>
      </c>
      <c r="I25" s="11" t="inlineStr">
        <is>
          <t>Not specified</t>
        </is>
      </c>
      <c r="J25" s="11" t="inlineStr">
        <is>
          <t>S08, S37</t>
        </is>
      </c>
      <c r="K25" s="11" t="inlineStr">
        <is>
          <t>As reported</t>
        </is>
      </c>
      <c r="L25" s="11" t="inlineStr">
        <is>
          <t>High</t>
        </is>
      </c>
      <c r="M25" s="12" t="inlineStr">
        <is>
          <t>Group crude steel capacity of 35 Mtpa stated in the FY2026 results release. The 40 Mtpa figure is the India expansion roadmap presented with Q1FY2027 results (31-Jul-2026) and is an ambition, not a Board-approved tranche. 0.75 Mtpa scrap-based EAF at Ludhiana commissioned Mar-2026; a 4.8 Mtpa expansion at NINL is proposed.</t>
        </is>
      </c>
    </row>
    <row r="26">
      <c r="A26" s="11" t="inlineStr">
        <is>
          <t>JSW Steel</t>
        </is>
      </c>
      <c r="B26" s="11" t="inlineStr">
        <is>
          <t>Core</t>
        </is>
      </c>
      <c r="C26" s="11" t="inlineStr">
        <is>
          <t>Crude steel capacity, India - JSW Steel entity, existing</t>
        </is>
      </c>
      <c r="D26" s="11" t="inlineStr">
        <is>
          <t>Mtpa</t>
        </is>
      </c>
      <c r="E26" s="16" t="n">
        <v>31.9</v>
      </c>
      <c r="F26" s="16" t="n">
        <v>4.5</v>
      </c>
      <c r="G26" s="16" t="n">
        <v>36.4</v>
      </c>
      <c r="H26" s="11" t="inlineStr">
        <is>
          <t>Under implementation</t>
        </is>
      </c>
      <c r="I26" s="11" t="inlineStr">
        <is>
          <t>Not specified</t>
        </is>
      </c>
      <c r="J26" s="11" t="inlineStr">
        <is>
          <t>S09</t>
        </is>
      </c>
      <c r="K26" s="11" t="inlineStr">
        <is>
          <t>As reported; cross-checked</t>
        </is>
      </c>
      <c r="L26" s="11" t="inlineStr">
        <is>
          <t>High</t>
        </is>
      </c>
      <c r="M26" s="12" t="inlineStr">
        <is>
          <t>Cross-check: FY2026 India production of 29.25 Mt at the stated 92% utilisation implies ~31.8 Mtpa, consistent with 31.9 Mtpa. Vijayanagar BF-3 expansion from 3.0 to 4.5 Mtpa was under testing and commissioning and is excluded from the utilisation calculation.</t>
        </is>
      </c>
    </row>
    <row r="27">
      <c r="A27" s="11" t="inlineStr">
        <is>
          <t>JSW Steel</t>
        </is>
      </c>
      <c r="B27" s="11" t="inlineStr">
        <is>
          <t>Core</t>
        </is>
      </c>
      <c r="C27" s="11" t="inlineStr">
        <is>
          <t>Crude steel capacity, India - including joint ventures, as presented</t>
        </is>
      </c>
      <c r="D27" s="11" t="inlineStr">
        <is>
          <t>Mtpa</t>
        </is>
      </c>
      <c r="E27" s="16" t="n">
        <v>62</v>
      </c>
      <c r="F27" s="16" t="n">
        <v>16</v>
      </c>
      <c r="G27" s="16" t="n">
        <v>78</v>
      </c>
      <c r="H27" s="11" t="inlineStr">
        <is>
          <t>Mixed - existing plus Board-approved plus announced</t>
        </is>
      </c>
      <c r="I27" s="11" t="inlineStr">
        <is>
          <t>Various to 2031</t>
        </is>
      </c>
      <c r="J27" s="11" t="inlineStr">
        <is>
          <t>S09</t>
        </is>
      </c>
      <c r="K27" s="11" t="inlineStr">
        <is>
          <t>As reported</t>
        </is>
      </c>
      <c r="L27" s="11" t="inlineStr">
        <is>
          <t>Medium</t>
        </is>
      </c>
      <c r="M27" s="12" t="inlineStr">
        <is>
          <t>The company presents India capacity of 62.0 Mtpa existing plus a 16.0 Mtpa growth pipeline, totalling 78.0 Mtpa, versus 34.2 plus 15.8 equals 50.0 Mtpa as at Mar-2025. The step-up reflects the inclusion of joint ventures. The split between the JSW Steel entity and the JVs was presented graphically and could not be extracted unambiguously, so Confidence is Medium on the split, High on the 62.0 / 16.0 / 78.0 totals. Includes the announced 50:50 POSCO JV (6 Mtpa greenfield in Odisha by 2031), the JSW JFE JV, BMM Ispat (0.9 Mtpa) and a 5 Mtpa brownfield expansion at JVML-Vijayanagar.</t>
        </is>
      </c>
    </row>
    <row r="28">
      <c r="A28" s="11" t="inlineStr">
        <is>
          <t>SAIL</t>
        </is>
      </c>
      <c r="B28" s="11" t="inlineStr">
        <is>
          <t>Core</t>
        </is>
      </c>
      <c r="C28" s="11" t="inlineStr">
        <is>
          <t>Crude steel operating capacity</t>
        </is>
      </c>
      <c r="D28" s="11" t="inlineStr">
        <is>
          <t>Mtpa</t>
        </is>
      </c>
      <c r="E28" s="16" t="n">
        <v>19.676</v>
      </c>
      <c r="F28" s="16" t="n">
        <v>7.62</v>
      </c>
      <c r="G28" s="16" t="n">
        <v>27.296</v>
      </c>
      <c r="H28" s="11" t="inlineStr">
        <is>
          <t>Board approved</t>
        </is>
      </c>
      <c r="I28" s="11" t="inlineStr">
        <is>
          <t>Not specified</t>
        </is>
      </c>
      <c r="J28" s="11" t="inlineStr">
        <is>
          <t>S26</t>
        </is>
      </c>
      <c r="K28" s="11" t="inlineStr">
        <is>
          <t>As reported</t>
        </is>
      </c>
      <c r="L28" s="11" t="inlineStr">
        <is>
          <t>High</t>
        </is>
      </c>
      <c r="M28" s="12" t="inlineStr">
        <is>
          <t>Plant-wise per Ministry of Steel: Bhilai 6.16, Bokaro 4.6, Rourkela 3.8, IISCO 2.5, Durgapur 2.2, Alloy Steels Plant 0.234, Salem 0.18. Board-approved additions: IISCO greenfield 4.08 Mtpa, Bokaro brownfield 2.65 Mtpa, Durgapur brownfield 0.89 Mtpa. A ~35 Mt ambition by FY2031 at roughly Rs 1 lakh crore has been stated publicly but is not a Board-approved tranche.</t>
        </is>
      </c>
    </row>
    <row r="29">
      <c r="A29" s="11" t="inlineStr">
        <is>
          <t>Jindal Steel</t>
        </is>
      </c>
      <c r="B29" s="11" t="inlineStr">
        <is>
          <t>Core</t>
        </is>
      </c>
      <c r="C29" s="11" t="inlineStr">
        <is>
          <t>Crude steel capacity</t>
        </is>
      </c>
      <c r="D29" s="11" t="inlineStr">
        <is>
          <t>Mtpa</t>
        </is>
      </c>
      <c r="E29" s="16" t="n">
        <v>15.6</v>
      </c>
      <c r="F29" s="11" t="inlineStr">
        <is>
          <t>Data Not Publicly Available</t>
        </is>
      </c>
      <c r="G29" s="11" t="inlineStr">
        <is>
          <t>Data Not Publicly Available</t>
        </is>
      </c>
      <c r="H29" s="11" t="inlineStr">
        <is>
          <t>Commissioned</t>
        </is>
      </c>
      <c r="I29" s="11" t="inlineStr">
        <is>
          <t>Achieved in FY2026</t>
        </is>
      </c>
      <c r="J29" s="11" t="inlineStr">
        <is>
          <t>S11</t>
        </is>
      </c>
      <c r="K29" s="11" t="inlineStr">
        <is>
          <t>As reported</t>
        </is>
      </c>
      <c r="L29" s="11" t="inlineStr">
        <is>
          <t>High</t>
        </is>
      </c>
      <c r="M29" s="12" t="inlineStr">
        <is>
          <t>Capacity rose from 9.6 to 15.6 Mtpa during FY2026, principally the Angul expansion from 6.0 to 12.0 Mtpa. Iron-making capacity is being increased by 6.6 Mtpa, with elements still under construction.</t>
        </is>
      </c>
    </row>
    <row r="30">
      <c r="A30" s="11" t="inlineStr">
        <is>
          <t>AM/NS India</t>
        </is>
      </c>
      <c r="B30" s="11" t="inlineStr">
        <is>
          <t>Core</t>
        </is>
      </c>
      <c r="C30" s="11" t="inlineStr">
        <is>
          <t>Crude steel capacity, Hazira</t>
        </is>
      </c>
      <c r="D30" s="11" t="inlineStr">
        <is>
          <t>Mtpa</t>
        </is>
      </c>
      <c r="E30" s="16" t="n">
        <v>9</v>
      </c>
      <c r="F30" s="16" t="n">
        <v>6</v>
      </c>
      <c r="G30" s="16" t="n">
        <v>15</v>
      </c>
      <c r="H30" s="11" t="inlineStr">
        <is>
          <t>Under implementation</t>
        </is>
      </c>
      <c r="I30" s="11" t="inlineStr">
        <is>
          <t>Not specified</t>
        </is>
      </c>
      <c r="J30" s="11" t="inlineStr">
        <is>
          <t>S13, S14</t>
        </is>
      </c>
      <c r="K30" s="11" t="inlineStr">
        <is>
          <t>As reported</t>
        </is>
      </c>
      <c r="L30" s="11" t="inlineStr">
        <is>
          <t>High</t>
        </is>
      </c>
      <c r="M30" s="12" t="inlineStr">
        <is>
          <t>Hazira expanding from 9 to 15 Mtpa. Detailed engineering under way for a potential further expansion of Hazira to 24 Mtpa. Stated long-term pathway to 40 Mt of Indian steelmaking capacity. Separately, a greenfield integrated plant at Rajayyapeta, Andhra Pradesh with Phase 1 capacity of 8.2 Mtpa was announced on 23-Mar-2026.</t>
        </is>
      </c>
    </row>
    <row r="31">
      <c r="A31" s="11" t="inlineStr">
        <is>
          <t>Jindal Stainless</t>
        </is>
      </c>
      <c r="B31" s="11" t="inlineStr">
        <is>
          <t>Core</t>
        </is>
      </c>
      <c r="C31" s="11" t="inlineStr">
        <is>
          <t>Stainless steel melt capacity, total group</t>
        </is>
      </c>
      <c r="D31" s="11" t="inlineStr">
        <is>
          <t>Mtpa</t>
        </is>
      </c>
      <c r="E31" s="16" t="n">
        <v>4.2</v>
      </c>
      <c r="F31" s="11" t="inlineStr">
        <is>
          <t>Data Not Publicly Available</t>
        </is>
      </c>
      <c r="G31" s="11" t="inlineStr">
        <is>
          <t>Data Not Publicly Available</t>
        </is>
      </c>
      <c r="H31" s="11" t="inlineStr">
        <is>
          <t>Commissioned</t>
        </is>
      </c>
      <c r="I31" s="11" t="inlineStr">
        <is>
          <t>Achieved in FY2026</t>
        </is>
      </c>
      <c r="J31" s="11" t="inlineStr">
        <is>
          <t>S12</t>
        </is>
      </c>
      <c r="K31" s="11" t="inlineStr">
        <is>
          <t>As reported</t>
        </is>
      </c>
      <c r="L31" s="11" t="inlineStr">
        <is>
          <t>High</t>
        </is>
      </c>
      <c r="M31" s="12" t="inlineStr">
        <is>
          <t>Comprises 3.0 Mtpa in India and 1.2 Mtpa in Indonesia, the Indonesian stainless melt shop having been commissioned ahead of schedule in FY2026. Downstream: 1.1 Mtpa HRAP and 0.17 Mtpa CRAP lines at Jajpur upcoming; a further Rs 900 cr committed to cold rolling at Hisar and Kharagpur taking CRAP capacity to 2.67 Mtpa by FY2028.</t>
        </is>
      </c>
    </row>
    <row r="32">
      <c r="A32" s="11" t="inlineStr">
        <is>
          <t>RINL</t>
        </is>
      </c>
      <c r="B32" s="11" t="inlineStr">
        <is>
          <t>Core</t>
        </is>
      </c>
      <c r="C32" s="11" t="inlineStr">
        <is>
          <t>Liquid steel capacity, Visakhapatnam Steel Plant</t>
        </is>
      </c>
      <c r="D32" s="11" t="inlineStr">
        <is>
          <t>Mtpa</t>
        </is>
      </c>
      <c r="E32" s="11" t="inlineStr">
        <is>
          <t>Data Not Publicly Available</t>
        </is>
      </c>
      <c r="F32" s="11" t="inlineStr">
        <is>
          <t>Data Not Publicly Available</t>
        </is>
      </c>
      <c r="G32" s="11" t="inlineStr">
        <is>
          <t>Data Not Publicly Available</t>
        </is>
      </c>
      <c r="H32" s="11" t="inlineStr">
        <is>
          <t>Data Not Publicly Available</t>
        </is>
      </c>
      <c r="I32" s="11" t="inlineStr">
        <is>
          <t>Data Not Publicly Available</t>
        </is>
      </c>
      <c r="J32" s="11" t="inlineStr">
        <is>
          <t>S16</t>
        </is>
      </c>
      <c r="K32" s="11" t="inlineStr">
        <is>
          <t>Not sourced</t>
        </is>
      </c>
      <c r="L32" s="11" t="inlineStr">
        <is>
          <t>Low</t>
        </is>
      </c>
      <c r="M32" s="12" t="inlineStr">
        <is>
          <t>A nameplate liquid steel capacity of 7.3 Mtpa is widely cited but was NOT verified from a primary source within this research cycle and is therefore not asserted. FY2026 liquid steel output of 5.694 Mt provides a hard floor on installed capacity.</t>
        </is>
      </c>
    </row>
    <row r="33">
      <c r="A33" s="11" t="inlineStr">
        <is>
          <t>Shyam Metalics</t>
        </is>
      </c>
      <c r="B33" s="11" t="inlineStr">
        <is>
          <t>Supporting</t>
        </is>
      </c>
      <c r="C33" s="11" t="inlineStr">
        <is>
          <t>Aggregate installed METAL capacity across intermediate and final products - NOT crude steel</t>
        </is>
      </c>
      <c r="D33" s="11" t="inlineStr">
        <is>
          <t>Mtpa</t>
        </is>
      </c>
      <c r="E33" s="11" t="inlineStr">
        <is>
          <t>Data Not Publicly Available</t>
        </is>
      </c>
      <c r="F33" s="11" t="inlineStr">
        <is>
          <t>Data Not Publicly Available</t>
        </is>
      </c>
      <c r="G33" s="16" t="n">
        <v>27</v>
      </c>
      <c r="H33" s="11" t="inlineStr">
        <is>
          <t>Announced</t>
        </is>
      </c>
      <c r="I33" s="11" t="inlineStr">
        <is>
          <t>FY2031</t>
        </is>
      </c>
      <c r="J33" s="11" t="inlineStr">
        <is>
          <t>S38, S39</t>
        </is>
      </c>
      <c r="K33" s="11" t="inlineStr">
        <is>
          <t>As reported</t>
        </is>
      </c>
      <c r="L33" s="11" t="inlineStr">
        <is>
          <t>Medium</t>
        </is>
      </c>
      <c r="M33" s="12" t="inlineStr">
        <is>
          <t>Company-disclosed aggregate installed metal capacity was 13.50 Mtpa at 31-Mar-2024 and 15.13 Mtpa at 31-Dec-2024. A comparable 31-Mar-2026 figure was not located. THIS CONSTRUCT DOUBLE-COUNTS: it sums intermediate products (sponge iron, pellets, billets) and final products, so it must never be compared with a crude steel capacity figure. Announced expansion to ~27 Mtpa by FY2031 with ~USD 1.1bn of capex.</t>
        </is>
      </c>
    </row>
    <row r="34">
      <c r="A34" s="11" t="inlineStr">
        <is>
          <t>Godawari Power</t>
        </is>
      </c>
      <c r="B34" s="11" t="inlineStr">
        <is>
          <t>Supporting</t>
        </is>
      </c>
      <c r="C34" s="11" t="inlineStr">
        <is>
          <t>Crude steel capacity</t>
        </is>
      </c>
      <c r="D34" s="11" t="inlineStr">
        <is>
          <t>Mtpa</t>
        </is>
      </c>
      <c r="E34" s="11" t="inlineStr">
        <is>
          <t>Data Not Publicly Available</t>
        </is>
      </c>
      <c r="F34" s="11" t="inlineStr">
        <is>
          <t>Data Not Publicly Available</t>
        </is>
      </c>
      <c r="G34" s="11" t="inlineStr">
        <is>
          <t>Data Not Publicly Available</t>
        </is>
      </c>
      <c r="H34" s="11" t="inlineStr">
        <is>
          <t>Data Not Publicly Available</t>
        </is>
      </c>
      <c r="I34" s="11" t="inlineStr">
        <is>
          <t>Data Not Publicly Available</t>
        </is>
      </c>
      <c r="J34" s="11" t="inlineStr">
        <is>
          <t>S30</t>
        </is>
      </c>
      <c r="K34" s="11" t="inlineStr">
        <is>
          <t>Not sourced</t>
        </is>
      </c>
      <c r="L34" s="11" t="inlineStr">
        <is>
          <t>Low</t>
        </is>
      </c>
      <c r="M34" s="12" t="inlineStr">
        <is>
          <t>Capacity not disclosed in the sources available within this research cycle. Obtain from the FY2026 annual report.</t>
        </is>
      </c>
    </row>
    <row r="35">
      <c r="A35" s="11" t="inlineStr">
        <is>
          <t>APL Apollo</t>
        </is>
      </c>
      <c r="B35" s="11" t="inlineStr">
        <is>
          <t>Supporting</t>
        </is>
      </c>
      <c r="C35" s="11" t="inlineStr">
        <is>
          <t>Structural steel tube capacity - NOT crude steel</t>
        </is>
      </c>
      <c r="D35" s="11" t="inlineStr">
        <is>
          <t>Mtpa</t>
        </is>
      </c>
      <c r="E35" s="11" t="inlineStr">
        <is>
          <t>Data Not Publicly Available</t>
        </is>
      </c>
      <c r="F35" s="11" t="inlineStr">
        <is>
          <t>Data Not Publicly Available</t>
        </is>
      </c>
      <c r="G35" s="11" t="inlineStr">
        <is>
          <t>Data Not Publicly Available</t>
        </is>
      </c>
      <c r="H35" s="11" t="inlineStr">
        <is>
          <t>Data Not Publicly Available</t>
        </is>
      </c>
      <c r="I35" s="11" t="inlineStr">
        <is>
          <t>Data Not Publicly Available</t>
        </is>
      </c>
      <c r="J35" s="11" t="inlineStr">
        <is>
          <t>S30</t>
        </is>
      </c>
      <c r="K35" s="11" t="inlineStr">
        <is>
          <t>Not sourced</t>
        </is>
      </c>
      <c r="L35" s="11" t="inlineStr">
        <is>
          <t>Low</t>
        </is>
      </c>
      <c r="M35" s="12" t="inlineStr">
        <is>
          <t>Not a crude steel producer. Tube capacity not sourced within this research cycle. Excluded from all crude steel capacity aggregation by design.</t>
        </is>
      </c>
    </row>
    <row r="36">
      <c r="A36" s="11" t="inlineStr">
        <is>
          <t>Mukand</t>
        </is>
      </c>
      <c r="B36" s="11" t="inlineStr">
        <is>
          <t>Supporting</t>
        </is>
      </c>
      <c r="C36" s="11" t="inlineStr">
        <is>
          <t>Alloy and specialty steel capacity</t>
        </is>
      </c>
      <c r="D36" s="11" t="inlineStr">
        <is>
          <t>Mtpa</t>
        </is>
      </c>
      <c r="E36" s="11" t="inlineStr">
        <is>
          <t>Data Not Publicly Available</t>
        </is>
      </c>
      <c r="F36" s="11" t="inlineStr">
        <is>
          <t>Data Not Publicly Available</t>
        </is>
      </c>
      <c r="G36" s="11" t="inlineStr">
        <is>
          <t>Data Not Publicly Available</t>
        </is>
      </c>
      <c r="H36" s="11" t="inlineStr">
        <is>
          <t>Data Not Publicly Available</t>
        </is>
      </c>
      <c r="I36" s="11" t="inlineStr">
        <is>
          <t>Data Not Publicly Available</t>
        </is>
      </c>
      <c r="J36" s="11" t="inlineStr">
        <is>
          <t>S30</t>
        </is>
      </c>
      <c r="K36" s="11" t="inlineStr">
        <is>
          <t>Not sourced</t>
        </is>
      </c>
      <c r="L36" s="11" t="inlineStr">
        <is>
          <t>Low</t>
        </is>
      </c>
      <c r="M36" s="12" t="inlineStr">
        <is>
          <t>Capacity not disclosed in the sources available within this research cycle.</t>
        </is>
      </c>
    </row>
    <row r="37">
      <c r="A37" s="11" t="inlineStr">
        <is>
          <t>Gallantt</t>
        </is>
      </c>
      <c r="B37" s="11" t="inlineStr">
        <is>
          <t>Supporting</t>
        </is>
      </c>
      <c r="C37" s="11" t="inlineStr">
        <is>
          <t>Crude steel / billet capacity</t>
        </is>
      </c>
      <c r="D37" s="11" t="inlineStr">
        <is>
          <t>Mtpa</t>
        </is>
      </c>
      <c r="E37" s="11" t="inlineStr">
        <is>
          <t>Data Not Publicly Available</t>
        </is>
      </c>
      <c r="F37" s="11" t="inlineStr">
        <is>
          <t>Data Not Publicly Available</t>
        </is>
      </c>
      <c r="G37" s="11" t="inlineStr">
        <is>
          <t>Data Not Publicly Available</t>
        </is>
      </c>
      <c r="H37" s="11" t="inlineStr">
        <is>
          <t>Data Not Publicly Available</t>
        </is>
      </c>
      <c r="I37" s="11" t="inlineStr">
        <is>
          <t>Data Not Publicly Available</t>
        </is>
      </c>
      <c r="J37" s="11" t="inlineStr">
        <is>
          <t>S30</t>
        </is>
      </c>
      <c r="K37" s="11" t="inlineStr">
        <is>
          <t>Not sourced</t>
        </is>
      </c>
      <c r="L37" s="11" t="inlineStr">
        <is>
          <t>Low</t>
        </is>
      </c>
      <c r="M37" s="12" t="inlineStr">
        <is>
          <t>Capacity not disclosed in the sources available within this research cycle.</t>
        </is>
      </c>
    </row>
    <row r="38">
      <c r="A38" s="11" t="inlineStr">
        <is>
          <t>Uttam Galva</t>
        </is>
      </c>
      <c r="B38" s="11" t="inlineStr">
        <is>
          <t>Supporting</t>
        </is>
      </c>
      <c r="C38" s="11" t="inlineStr">
        <is>
          <t>Cold rolling and galvanising capacity - NOT crude steel</t>
        </is>
      </c>
      <c r="D38" s="11" t="inlineStr">
        <is>
          <t>Mtpa</t>
        </is>
      </c>
      <c r="E38" s="11" t="inlineStr">
        <is>
          <t>Data Not Publicly Available</t>
        </is>
      </c>
      <c r="F38" s="11" t="inlineStr">
        <is>
          <t>Data Not Publicly Available</t>
        </is>
      </c>
      <c r="G38" s="11" t="inlineStr">
        <is>
          <t>Data Not Publicly Available</t>
        </is>
      </c>
      <c r="H38" s="11" t="inlineStr">
        <is>
          <t>Data Not Publicly Available</t>
        </is>
      </c>
      <c r="I38" s="11" t="inlineStr">
        <is>
          <t>Data Not Publicly Available</t>
        </is>
      </c>
      <c r="J38" s="11" t="inlineStr">
        <is>
          <t>S36</t>
        </is>
      </c>
      <c r="K38" s="11" t="inlineStr">
        <is>
          <t>Not applicable</t>
        </is>
      </c>
      <c r="L38" s="11" t="inlineStr">
        <is>
          <t>High</t>
        </is>
      </c>
      <c r="M38" s="12" t="inlineStr">
        <is>
          <t>Delisted 08-Dec-2022. No current public capacity disclosure. Not a steelmaker.</t>
        </is>
      </c>
    </row>
    <row r="39">
      <c r="A39" s="11" t="inlineStr">
        <is>
          <t>Electrosteel / ESL</t>
        </is>
      </c>
      <c r="B39" s="11" t="inlineStr">
        <is>
          <t>Supporting</t>
        </is>
      </c>
      <c r="C39" s="11" t="inlineStr">
        <is>
          <t>Crude steel capacity</t>
        </is>
      </c>
      <c r="D39" s="11" t="inlineStr">
        <is>
          <t>Mtpa</t>
        </is>
      </c>
      <c r="E39" s="16" t="n">
        <v>1.5</v>
      </c>
      <c r="F39" s="16" t="n">
        <v>1.5</v>
      </c>
      <c r="G39" s="16" t="n">
        <v>3</v>
      </c>
      <c r="H39" s="11" t="inlineStr">
        <is>
          <t>Announced by parent</t>
        </is>
      </c>
      <c r="I39" s="11" t="inlineStr">
        <is>
          <t>End-CY2026</t>
        </is>
      </c>
      <c r="J39" s="11" t="inlineStr">
        <is>
          <t>S35, S43</t>
        </is>
      </c>
      <c r="K39" s="11" t="inlineStr">
        <is>
          <t>As reported</t>
        </is>
      </c>
      <c r="L39" s="11" t="inlineStr">
        <is>
          <t>Medium</t>
        </is>
      </c>
      <c r="M39" s="12" t="inlineStr">
        <is>
          <t>Commissioned capacity of 1.5 Mtpa per the company website. The doubling to 3.0 Mtpa by end-CY2026 rests on a single secondary source and should be treated as indicative. Parent group has articulated a 15 Mtpa long-run iron and steel ambition across Bokaro and Goa.</t>
        </is>
      </c>
    </row>
    <row r="40">
      <c r="A40" s="11" t="inlineStr">
        <is>
          <t>Kirloskar Ferrous</t>
        </is>
      </c>
      <c r="B40" s="11" t="inlineStr">
        <is>
          <t>Supporting</t>
        </is>
      </c>
      <c r="C40" s="11" t="inlineStr">
        <is>
          <t>Pig iron and castings capacity - NOT crude steel</t>
        </is>
      </c>
      <c r="D40" s="11" t="inlineStr">
        <is>
          <t>Mtpa</t>
        </is>
      </c>
      <c r="E40" s="11" t="inlineStr">
        <is>
          <t>Data Not Publicly Available</t>
        </is>
      </c>
      <c r="F40" s="11" t="inlineStr">
        <is>
          <t>Data Not Publicly Available</t>
        </is>
      </c>
      <c r="G40" s="11" t="inlineStr">
        <is>
          <t>Data Not Publicly Available</t>
        </is>
      </c>
      <c r="H40" s="11" t="inlineStr">
        <is>
          <t>Data Not Publicly Available</t>
        </is>
      </c>
      <c r="I40" s="11" t="inlineStr">
        <is>
          <t>Data Not Publicly Available</t>
        </is>
      </c>
      <c r="J40" s="11" t="inlineStr">
        <is>
          <t>S30</t>
        </is>
      </c>
      <c r="K40" s="11" t="inlineStr">
        <is>
          <t>Not sourced</t>
        </is>
      </c>
      <c r="L40" s="11" t="inlineStr">
        <is>
          <t>Low</t>
        </is>
      </c>
      <c r="M40" s="12" t="inlineStr">
        <is>
          <t>Predominantly pig iron, castings, alloy steel and seamless tubes. Capacity not sourced within this research cycle.</t>
        </is>
      </c>
    </row>
    <row r="42">
      <c r="A42" s="2" t="inlineStr">
        <is>
          <t>SECTION C - SAIL PLANT-WISE CAPACITY AND UTILISATION</t>
        </is>
      </c>
    </row>
    <row r="43" ht="30" customHeight="1">
      <c r="A43" s="8" t="inlineStr">
        <is>
          <t>SAIL Plant</t>
        </is>
      </c>
      <c r="B43" s="7" t="inlineStr">
        <is>
          <t>State</t>
        </is>
      </c>
      <c r="C43" s="7" t="inlineStr">
        <is>
          <t>Capacity (Mtpa)</t>
        </is>
      </c>
      <c r="D43" s="7" t="inlineStr">
        <is>
          <t>Average Capacity Utilisation FY2021-FY2025 (%)</t>
        </is>
      </c>
      <c r="E43" s="7" t="inlineStr">
        <is>
          <t>Source ID</t>
        </is>
      </c>
      <c r="F43" s="7" t="inlineStr">
        <is>
          <t>Confidence</t>
        </is>
      </c>
      <c r="G43" s="7" t="inlineStr">
        <is>
          <t>Notes</t>
        </is>
      </c>
    </row>
    <row r="44">
      <c r="A44" s="11" t="inlineStr">
        <is>
          <t>Bhilai Steel Plant (BSP)</t>
        </is>
      </c>
      <c r="B44" s="11" t="inlineStr">
        <is>
          <t>Chhattisgarh</t>
        </is>
      </c>
      <c r="C44" s="16" t="n">
        <v>6.16</v>
      </c>
      <c r="D44" s="17" t="n">
        <v>0.832</v>
      </c>
      <c r="E44" s="11" t="inlineStr">
        <is>
          <t>S26</t>
        </is>
      </c>
      <c r="F44" s="11" t="inlineStr">
        <is>
          <t>High</t>
        </is>
      </c>
      <c r="G44" s="12" t="inlineStr"/>
    </row>
    <row r="45">
      <c r="A45" s="11" t="inlineStr">
        <is>
          <t>Bokaro Steel Plant (BSL)</t>
        </is>
      </c>
      <c r="B45" s="11" t="inlineStr">
        <is>
          <t>Jharkhand</t>
        </is>
      </c>
      <c r="C45" s="16" t="n">
        <v>4.6</v>
      </c>
      <c r="D45" s="17" t="n">
        <v>0.878</v>
      </c>
      <c r="E45" s="11" t="inlineStr">
        <is>
          <t>S26</t>
        </is>
      </c>
      <c r="F45" s="11" t="inlineStr">
        <is>
          <t>High</t>
        </is>
      </c>
      <c r="G45" s="12" t="inlineStr"/>
    </row>
    <row r="46">
      <c r="A46" s="11" t="inlineStr">
        <is>
          <t>Rourkela Steel Plant (RSP)</t>
        </is>
      </c>
      <c r="B46" s="11" t="inlineStr">
        <is>
          <t>Odisha</t>
        </is>
      </c>
      <c r="C46" s="16" t="n">
        <v>3.8</v>
      </c>
      <c r="D46" s="17" t="n">
        <v>1.038</v>
      </c>
      <c r="E46" s="11" t="inlineStr">
        <is>
          <t>S26</t>
        </is>
      </c>
      <c r="F46" s="11" t="inlineStr">
        <is>
          <t>High</t>
        </is>
      </c>
      <c r="G46" s="12" t="inlineStr"/>
    </row>
    <row r="47">
      <c r="A47" s="11" t="inlineStr">
        <is>
          <t>IISCO Steel Plant (ISP), Burnpur</t>
        </is>
      </c>
      <c r="B47" s="11" t="inlineStr">
        <is>
          <t>West Bengal</t>
        </is>
      </c>
      <c r="C47" s="16" t="n">
        <v>2.5</v>
      </c>
      <c r="D47" s="17" t="n">
        <v>0.916</v>
      </c>
      <c r="E47" s="11" t="inlineStr">
        <is>
          <t>S26</t>
        </is>
      </c>
      <c r="F47" s="11" t="inlineStr">
        <is>
          <t>High</t>
        </is>
      </c>
      <c r="G47" s="12" t="inlineStr"/>
    </row>
    <row r="48">
      <c r="A48" s="11" t="inlineStr">
        <is>
          <t>Durgapur Steel Plant (DSP)</t>
        </is>
      </c>
      <c r="B48" s="11" t="inlineStr">
        <is>
          <t>West Bengal</t>
        </is>
      </c>
      <c r="C48" s="16" t="n">
        <v>2.2</v>
      </c>
      <c r="D48" s="17" t="n">
        <v>1.016</v>
      </c>
      <c r="E48" s="11" t="inlineStr">
        <is>
          <t>S26</t>
        </is>
      </c>
      <c r="F48" s="11" t="inlineStr">
        <is>
          <t>High</t>
        </is>
      </c>
      <c r="G48" s="12" t="inlineStr"/>
    </row>
    <row r="49">
      <c r="A49" s="11" t="inlineStr">
        <is>
          <t>Alloy Steels Plant (ASP), Durgapur</t>
        </is>
      </c>
      <c r="B49" s="11" t="inlineStr">
        <is>
          <t>West Bengal</t>
        </is>
      </c>
      <c r="C49" s="16" t="n">
        <v>0.234</v>
      </c>
      <c r="D49" s="17" t="n">
        <v>0.398</v>
      </c>
      <c r="E49" s="11" t="inlineStr">
        <is>
          <t>S26</t>
        </is>
      </c>
      <c r="F49" s="11" t="inlineStr">
        <is>
          <t>High</t>
        </is>
      </c>
      <c r="G49" s="12" t="inlineStr"/>
    </row>
    <row r="50">
      <c r="A50" s="11" t="inlineStr">
        <is>
          <t>Salem Steel Plant (SSP)</t>
        </is>
      </c>
      <c r="B50" s="11" t="inlineStr">
        <is>
          <t>Tamil Nadu</t>
        </is>
      </c>
      <c r="C50" s="16" t="n">
        <v>0.18</v>
      </c>
      <c r="D50" s="17" t="n">
        <v>0.73</v>
      </c>
      <c r="E50" s="11" t="inlineStr">
        <is>
          <t>S26</t>
        </is>
      </c>
      <c r="F50" s="11" t="inlineStr">
        <is>
          <t>High</t>
        </is>
      </c>
      <c r="G50" s="12" t="inlineStr"/>
    </row>
    <row r="51">
      <c r="A51" s="11" t="inlineStr">
        <is>
          <t>TOTAL</t>
        </is>
      </c>
      <c r="B51" s="11" t="inlineStr"/>
      <c r="C51" s="16" t="n">
        <v>19.676</v>
      </c>
      <c r="D51" s="17" t="n">
        <v>0.908</v>
      </c>
      <c r="E51" s="11" t="inlineStr">
        <is>
          <t>S26</t>
        </is>
      </c>
      <c r="F51" s="11" t="inlineStr">
        <is>
          <t>High</t>
        </is>
      </c>
      <c r="G51" s="12" t="inlineStr">
        <is>
          <t>Plant capacities sum to 19.674 Mtpa against the stated total of 19.676 Mtpa - a rounding difference of 0.002 Mtpa. Rourkela and Durgapur ran ABOVE nameplate on a five-year average, while the Alloy Steels Plant averaged 39.8% and Salem 73%, i.e. SAIL's utilisation problem is concentrated in its two small specialty plants, not its five integrated works. Board-approved additions of 7.62 Mtpa comprise IISCO greenfield 4.08, Bokaro brownfield 2.65 and Durgapur brownfield 0.89.</t>
        </is>
      </c>
    </row>
    <row r="53">
      <c r="A53" s="13" t="inlineStr">
        <is>
          <t>Do NOT sum Section B. It mixes crude steel, melt and aggregate installed metal capacity definitions across companies, and Tata Steel's 35 Mtpa is global while other figures are India-only. Use Section A for any India total.</t>
        </is>
      </c>
    </row>
  </sheetData>
  <printOptions horizontalCentered="1"/>
  <pageMargins left="0.75" right="0.75" top="1" bottom="1" header="0.5" footer="0.5"/>
  <pageSetup orientation="landscape" fitToHeight="0" fitToWidth="1"/>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tabColor rgb="001F3864"/>
    <outlinePr summaryBelow="1" summaryRight="1"/>
    <pageSetUpPr fitToPage="1"/>
  </sheetPr>
  <dimension ref="A1:M64"/>
  <sheetViews>
    <sheetView showGridLines="0" workbookViewId="0">
      <pane xSplit="2" ySplit="30" topLeftCell="C31" activePane="bottomRight" state="frozen"/>
      <selection pane="topRight"/>
      <selection pane="bottomLeft"/>
      <selection pane="bottomRight"/>
      <selection pane="bottomLeft"/>
      <selection pane="bottomRight" activeCell="A1" sqref="A1"/>
    </sheetView>
  </sheetViews>
  <sheetFormatPr baseColWidth="8" defaultRowHeight="15"/>
  <cols>
    <col width="42" customWidth="1" min="1" max="1"/>
    <col width="46" customWidth="1" min="2" max="2"/>
    <col width="10" customWidth="1" min="3" max="3"/>
    <col width="34" customWidth="1" min="4" max="4"/>
    <col width="12" customWidth="1" min="5" max="5"/>
    <col width="12" customWidth="1" min="6" max="6"/>
    <col width="12" customWidth="1" min="7" max="7"/>
    <col width="12" customWidth="1" min="8" max="8"/>
    <col width="12" customWidth="1" min="9" max="9"/>
    <col width="18" customWidth="1" min="10" max="10"/>
    <col width="34" customWidth="1" min="11" max="11"/>
    <col width="11" customWidth="1" min="12" max="12"/>
    <col width="90" customWidth="1" min="13" max="13"/>
  </cols>
  <sheetData>
    <row r="1" ht="19" customHeight="1">
      <c r="A1" s="1" t="inlineStr">
        <is>
          <t>3. Production Volume</t>
        </is>
      </c>
    </row>
    <row r="2">
      <c r="A2" s="4" t="inlineStr">
        <is>
          <t>Master Industry Database  |  Indian Steel Industry  |  Data cutoff: 03-Aug-2026</t>
        </is>
      </c>
    </row>
    <row r="3">
      <c r="A3" s="3" t="inlineStr"/>
    </row>
    <row r="4">
      <c r="A4" s="4" t="inlineStr">
        <is>
          <t>OBJECTIVE</t>
        </is>
      </c>
    </row>
    <row r="5">
      <c r="A5" s="3" t="inlineStr">
        <is>
          <t>Records crude steel, finished steel, DRI and pig iron output at industry level, and production and sales or delivery volumes at company level. Volume is the quantity line in every revenue build and the denominator for EBITDA per tonne.</t>
        </is>
      </c>
    </row>
    <row r="6">
      <c r="A6" s="4" t="inlineStr">
        <is>
          <t>UNITS AND CURRENCY</t>
        </is>
      </c>
    </row>
    <row r="7">
      <c r="A7" s="3" t="inlineStr">
        <is>
          <t>Mt and mn t (million tonnes). Both denote the same unit; the label follows the source.</t>
        </is>
      </c>
    </row>
    <row r="8">
      <c r="A8" s="4" t="inlineStr">
        <is>
          <t>COVERAGE AND HISTORICAL DEPTH</t>
        </is>
      </c>
    </row>
    <row r="9">
      <c r="A9" s="3" t="inlineStr">
        <is>
          <t>Industry: FY2022-FY2026 where published. Company: FY2025-FY2026, the periods for which primary volume disclosure was obtained. All 15 companies are listed.</t>
        </is>
      </c>
    </row>
    <row r="10">
      <c r="A10" s="4" t="inlineStr">
        <is>
          <t>DATA FREQUENCY</t>
        </is>
      </c>
    </row>
    <row r="11">
      <c r="A11" s="3" t="inlineStr">
        <is>
          <t>Annual (fiscal year). Industry data is also published monthly by the Joint Plant Committee.</t>
        </is>
      </c>
    </row>
    <row r="12">
      <c r="A12" s="4" t="inlineStr">
        <is>
          <t>SOURCE HIERARCHY APPLIED</t>
        </is>
      </c>
    </row>
    <row r="13">
      <c r="A13" s="3" t="inlineStr">
        <is>
          <t>Tier 1 only: Ministry of Steel and Joint Plant Committee publications, Parliamentary answers, and the World Steel Association as reproduced by the Ministry. No secondary source is relied upon for any figure on this sheet. Company rows follow the issuer hierarchy.</t>
        </is>
      </c>
    </row>
    <row r="14">
      <c r="A14" s="4" t="inlineStr">
        <is>
          <t>COLUMN RATIONALE</t>
        </is>
      </c>
    </row>
    <row r="15">
      <c r="A15" s="3" t="inlineStr">
        <is>
          <t>Production and sales are shown as separate rows, never blended, because they differ by inventory movement and because different issuers strike EBITDA per tonne on different denominators. Reporting Basis distinguishes consolidated global figures from India-only and from 100%-basis joint venture disclosure. Period Type is carried because the World Steel Association rows are CALENDAR years while all others are Indian fiscal years - conflating the two is a common and material error (Conflict C06).</t>
        </is>
      </c>
    </row>
    <row r="16">
      <c r="A16" s="3" t="inlineStr"/>
    </row>
    <row r="17">
      <c r="A17" s="2" t="inlineStr">
        <is>
          <t>SECTION A - INDIA AND WORLD INDUSTRY VOLUMES</t>
        </is>
      </c>
    </row>
    <row r="18" ht="30" customHeight="1">
      <c r="A18" s="8" t="inlineStr">
        <is>
          <t>Series</t>
        </is>
      </c>
      <c r="B18" s="7" t="inlineStr">
        <is>
          <t>Unit</t>
        </is>
      </c>
      <c r="C18" s="7" t="inlineStr">
        <is>
          <t>FY2022</t>
        </is>
      </c>
      <c r="D18" s="7" t="inlineStr">
        <is>
          <t>FY2023</t>
        </is>
      </c>
      <c r="E18" s="7" t="inlineStr">
        <is>
          <t>FY2024</t>
        </is>
      </c>
      <c r="F18" s="7" t="inlineStr">
        <is>
          <t>FY2025</t>
        </is>
      </c>
      <c r="G18" s="7" t="inlineStr">
        <is>
          <t>FY2026</t>
        </is>
      </c>
      <c r="H18" s="7" t="inlineStr">
        <is>
          <t>Period Type</t>
        </is>
      </c>
      <c r="I18" s="7" t="inlineStr">
        <is>
          <t>Compiler</t>
        </is>
      </c>
      <c r="J18" s="7" t="inlineStr">
        <is>
          <t>Source ID</t>
        </is>
      </c>
      <c r="K18" s="7" t="inlineStr">
        <is>
          <t>Methodology</t>
        </is>
      </c>
      <c r="L18" s="7" t="inlineStr">
        <is>
          <t>Confidence</t>
        </is>
      </c>
      <c r="M18" s="7" t="inlineStr">
        <is>
          <t>Notes</t>
        </is>
      </c>
    </row>
    <row r="19">
      <c r="A19" s="11" t="inlineStr">
        <is>
          <t>India crude steel production</t>
        </is>
      </c>
      <c r="B19" s="11" t="inlineStr">
        <is>
          <t>Mt</t>
        </is>
      </c>
      <c r="C19" s="11" t="inlineStr">
        <is>
          <t>Data Not Publicly Available</t>
        </is>
      </c>
      <c r="D19" s="18" t="n">
        <v>127.2</v>
      </c>
      <c r="E19" s="18" t="n">
        <v>144.3</v>
      </c>
      <c r="F19" s="18" t="n">
        <v>152.18</v>
      </c>
      <c r="G19" s="18" t="n">
        <v>168.42</v>
      </c>
      <c r="H19" s="11" t="inlineStr">
        <is>
          <t>Annual (FY)</t>
        </is>
      </c>
      <c r="I19" s="11" t="inlineStr">
        <is>
          <t>Joint Plant Committee</t>
        </is>
      </c>
      <c r="J19" s="11" t="inlineStr">
        <is>
          <t>S01</t>
        </is>
      </c>
      <c r="K19" s="11" t="inlineStr">
        <is>
          <t>As reported</t>
        </is>
      </c>
      <c r="L19" s="11" t="inlineStr">
        <is>
          <t>High</t>
        </is>
      </c>
      <c r="M19" s="12" t="inlineStr">
        <is>
          <t>FY2026 provisional. FY2025 of 152.180 Mt independently confirmed in the Ministry of Steel Annual Report 2025-26 [S06].</t>
        </is>
      </c>
    </row>
    <row r="20">
      <c r="A20" s="11" t="inlineStr">
        <is>
          <t>India total finished steel production</t>
        </is>
      </c>
      <c r="B20" s="11" t="inlineStr">
        <is>
          <t>Mt</t>
        </is>
      </c>
      <c r="C20" s="18" t="n">
        <v>113.6</v>
      </c>
      <c r="D20" s="18" t="n">
        <v>123.2</v>
      </c>
      <c r="E20" s="18" t="n">
        <v>139.15</v>
      </c>
      <c r="F20" s="18" t="n">
        <v>146.69</v>
      </c>
      <c r="G20" s="18" t="n">
        <v>161.74</v>
      </c>
      <c r="H20" s="11" t="inlineStr">
        <is>
          <t>Annual (FY)</t>
        </is>
      </c>
      <c r="I20" s="11" t="inlineStr">
        <is>
          <t>Joint Plant Committee</t>
        </is>
      </c>
      <c r="J20" s="11" t="inlineStr">
        <is>
          <t>S02</t>
        </is>
      </c>
      <c r="K20" s="11" t="inlineStr">
        <is>
          <t>As reported</t>
        </is>
      </c>
      <c r="L20" s="11" t="inlineStr">
        <is>
          <t>High</t>
        </is>
      </c>
      <c r="M20" s="12" t="inlineStr">
        <is>
          <t>Alloy/stainless plus non-alloy. June-2026 vintage. The April-2026 vintage shows 160.94 Mt for FY2026 - see Conflict C03.</t>
        </is>
      </c>
    </row>
    <row r="21">
      <c r="A21" s="11" t="inlineStr">
        <is>
          <t>of which: SAIL, RINL, NMDC Steel, Tata Steel group, AM/NS, JSW group and Jindal Steel</t>
        </is>
      </c>
      <c r="B21" s="11" t="inlineStr">
        <is>
          <t>Mt</t>
        </is>
      </c>
      <c r="C21" s="18" t="n">
        <v>65.06</v>
      </c>
      <c r="D21" s="18" t="n">
        <v>72.27</v>
      </c>
      <c r="E21" s="18" t="n">
        <v>77.7</v>
      </c>
      <c r="F21" s="18" t="n">
        <v>80.08</v>
      </c>
      <c r="G21" s="18" t="n">
        <v>88.72</v>
      </c>
      <c r="H21" s="11" t="inlineStr">
        <is>
          <t>Annual (FY)</t>
        </is>
      </c>
      <c r="I21" s="11" t="inlineStr">
        <is>
          <t>Joint Plant Committee</t>
        </is>
      </c>
      <c r="J21" s="11" t="inlineStr">
        <is>
          <t>S02</t>
        </is>
      </c>
      <c r="K21" s="11" t="inlineStr">
        <is>
          <t>As reported</t>
        </is>
      </c>
      <c r="L21" s="11" t="inlineStr">
        <is>
          <t>High</t>
        </is>
      </c>
      <c r="M21" s="12" t="inlineStr">
        <is>
          <t>The integrated majors' share of total finished steel production was 54.9% in FY2026 versus 57.3% in FY2022, i.e. the secondary sector has been growing faster.</t>
        </is>
      </c>
    </row>
    <row r="22">
      <c r="A22" s="11" t="inlineStr">
        <is>
          <t>of which: other producers</t>
        </is>
      </c>
      <c r="B22" s="11" t="inlineStr">
        <is>
          <t>Mt</t>
        </is>
      </c>
      <c r="C22" s="18" t="n">
        <v>48.54</v>
      </c>
      <c r="D22" s="18" t="n">
        <v>50.93</v>
      </c>
      <c r="E22" s="18" t="n">
        <v>61.46</v>
      </c>
      <c r="F22" s="18" t="n">
        <v>66.61</v>
      </c>
      <c r="G22" s="18" t="n">
        <v>73.02</v>
      </c>
      <c r="H22" s="11" t="inlineStr">
        <is>
          <t>Annual (FY)</t>
        </is>
      </c>
      <c r="I22" s="11" t="inlineStr">
        <is>
          <t>Joint Plant Committee</t>
        </is>
      </c>
      <c r="J22" s="11" t="inlineStr">
        <is>
          <t>S02</t>
        </is>
      </c>
      <c r="K22" s="11" t="inlineStr">
        <is>
          <t>As reported</t>
        </is>
      </c>
      <c r="L22" s="11" t="inlineStr">
        <is>
          <t>High</t>
        </is>
      </c>
      <c r="M22" s="12" t="inlineStr">
        <is>
          <t>The secondary and mid-tier sector. Grew at a 10.7% CAGR over FY2022-FY2026 versus 8.1% for the integrated majors.</t>
        </is>
      </c>
    </row>
    <row r="23">
      <c r="A23" s="11" t="inlineStr">
        <is>
          <t>India sponge iron (DRI) production</t>
        </is>
      </c>
      <c r="B23" s="11" t="inlineStr">
        <is>
          <t>Mt</t>
        </is>
      </c>
      <c r="C23" s="18" t="n">
        <v>39.2</v>
      </c>
      <c r="D23" s="18" t="n">
        <v>43.62</v>
      </c>
      <c r="E23" s="18" t="n">
        <v>51.56</v>
      </c>
      <c r="F23" s="18" t="n">
        <v>55.76</v>
      </c>
      <c r="G23" s="18" t="n">
        <v>60.3</v>
      </c>
      <c r="H23" s="11" t="inlineStr">
        <is>
          <t>Annual (FY)</t>
        </is>
      </c>
      <c r="I23" s="11" t="inlineStr">
        <is>
          <t>Joint Plant Committee</t>
        </is>
      </c>
      <c r="J23" s="11" t="inlineStr">
        <is>
          <t>S02</t>
        </is>
      </c>
      <c r="K23" s="11" t="inlineStr">
        <is>
          <t>As reported</t>
        </is>
      </c>
      <c r="L23" s="11" t="inlineStr">
        <is>
          <t>High</t>
        </is>
      </c>
      <c r="M23" s="12" t="inlineStr">
        <is>
          <t>India is the world's largest DRI producer. Up 148.8% from 24.24 Mt in FY2015. Structurally important: DRI-EAF is coal-and-gas exposed rather than coking-coal exposed.</t>
        </is>
      </c>
    </row>
    <row r="24">
      <c r="A24" s="11" t="inlineStr">
        <is>
          <t>India pig iron production</t>
        </is>
      </c>
      <c r="B24" s="11" t="inlineStr">
        <is>
          <t>Mt</t>
        </is>
      </c>
      <c r="C24" s="18" t="n">
        <v>6.26</v>
      </c>
      <c r="D24" s="18" t="n">
        <v>5.86</v>
      </c>
      <c r="E24" s="18" t="n">
        <v>7.36</v>
      </c>
      <c r="F24" s="18" t="n">
        <v>8.33</v>
      </c>
      <c r="G24" s="18" t="n">
        <v>8.369999999999999</v>
      </c>
      <c r="H24" s="11" t="inlineStr">
        <is>
          <t>Annual (FY)</t>
        </is>
      </c>
      <c r="I24" s="11" t="inlineStr">
        <is>
          <t>Joint Plant Committee</t>
        </is>
      </c>
      <c r="J24" s="11" t="inlineStr">
        <is>
          <t>S02</t>
        </is>
      </c>
      <c r="K24" s="11" t="inlineStr">
        <is>
          <t>As reported</t>
        </is>
      </c>
      <c r="L24" s="11" t="inlineStr">
        <is>
          <t>High</t>
        </is>
      </c>
      <c r="M24" s="12" t="inlineStr">
        <is>
          <t>Volatile and structurally declining as a share of steelmaking. Peaked around 10.34 Mt in FY2017.</t>
        </is>
      </c>
    </row>
    <row r="25">
      <c r="A25" s="11" t="inlineStr">
        <is>
          <t>World crude steel production</t>
        </is>
      </c>
      <c r="B25" s="11" t="inlineStr">
        <is>
          <t>Mt</t>
        </is>
      </c>
      <c r="C25" s="11" t="inlineStr">
        <is>
          <t>Data Not Publicly Available</t>
        </is>
      </c>
      <c r="D25" s="11" t="inlineStr">
        <is>
          <t>Data Not Publicly Available</t>
        </is>
      </c>
      <c r="E25" s="11" t="inlineStr">
        <is>
          <t>Data Not Publicly Available</t>
        </is>
      </c>
      <c r="F25" s="18" t="n">
        <v>1886.76</v>
      </c>
      <c r="G25" s="18" t="n">
        <v>1850.21</v>
      </c>
      <c r="H25" s="11" t="inlineStr">
        <is>
          <t>Calendar Year</t>
        </is>
      </c>
      <c r="I25" s="11" t="inlineStr">
        <is>
          <t>World Steel Association</t>
        </is>
      </c>
      <c r="J25" s="11" t="inlineStr">
        <is>
          <t>S07</t>
        </is>
      </c>
      <c r="K25" s="11" t="inlineStr">
        <is>
          <t>As reported</t>
        </is>
      </c>
      <c r="L25" s="11" t="inlineStr">
        <is>
          <t>High</t>
        </is>
      </c>
      <c r="M25" s="12" t="inlineStr">
        <is>
          <t>CALENDAR YEARS: the FY2025 column holds CY2024 and the FY2026 column holds CY2025. CY2025 is provisional. Do not compare directly with the fiscal-year rows above - see Conflict C06.</t>
        </is>
      </c>
    </row>
    <row r="26">
      <c r="A26" s="11" t="inlineStr">
        <is>
          <t>China crude steel production</t>
        </is>
      </c>
      <c r="B26" s="11" t="inlineStr">
        <is>
          <t>Mt</t>
        </is>
      </c>
      <c r="C26" s="11" t="inlineStr">
        <is>
          <t>Data Not Publicly Available</t>
        </is>
      </c>
      <c r="D26" s="11" t="inlineStr">
        <is>
          <t>Data Not Publicly Available</t>
        </is>
      </c>
      <c r="E26" s="11" t="inlineStr">
        <is>
          <t>Data Not Publicly Available</t>
        </is>
      </c>
      <c r="F26" s="18" t="n">
        <v>1005.09</v>
      </c>
      <c r="G26" s="18" t="n">
        <v>960.8099999999999</v>
      </c>
      <c r="H26" s="11" t="inlineStr">
        <is>
          <t>Calendar Year</t>
        </is>
      </c>
      <c r="I26" s="11" t="inlineStr">
        <is>
          <t>World Steel Association</t>
        </is>
      </c>
      <c r="J26" s="11" t="inlineStr">
        <is>
          <t>S07</t>
        </is>
      </c>
      <c r="K26" s="11" t="inlineStr">
        <is>
          <t>As reported</t>
        </is>
      </c>
      <c r="L26" s="11" t="inlineStr">
        <is>
          <t>High</t>
        </is>
      </c>
      <c r="M26" s="12" t="inlineStr">
        <is>
          <t>CALENDAR YEARS as above. China fell 4.4% in CY2025 while India rose 10.4% - the central supply dynamic for global trade flows and for Indian import pressure.</t>
        </is>
      </c>
    </row>
    <row r="27">
      <c r="A27" s="11" t="inlineStr">
        <is>
          <t>India crude steel production (calendar year basis)</t>
        </is>
      </c>
      <c r="B27" s="11" t="inlineStr">
        <is>
          <t>Mt</t>
        </is>
      </c>
      <c r="C27" s="11" t="inlineStr">
        <is>
          <t>Data Not Publicly Available</t>
        </is>
      </c>
      <c r="D27" s="11" t="inlineStr">
        <is>
          <t>Data Not Publicly Available</t>
        </is>
      </c>
      <c r="E27" s="11" t="inlineStr">
        <is>
          <t>Data Not Publicly Available</t>
        </is>
      </c>
      <c r="F27" s="18" t="n">
        <v>149.42</v>
      </c>
      <c r="G27" s="18" t="n">
        <v>164.89</v>
      </c>
      <c r="H27" s="11" t="inlineStr">
        <is>
          <t>Calendar Year</t>
        </is>
      </c>
      <c r="I27" s="11" t="inlineStr">
        <is>
          <t>World Steel Association</t>
        </is>
      </c>
      <c r="J27" s="11" t="inlineStr">
        <is>
          <t>S07</t>
        </is>
      </c>
      <c r="K27" s="11" t="inlineStr">
        <is>
          <t>As reported</t>
        </is>
      </c>
      <c r="L27" s="11" t="inlineStr">
        <is>
          <t>High</t>
        </is>
      </c>
      <c r="M27" s="12" t="inlineStr">
        <is>
          <t>CALENDAR YEARS as above. Presented alongside the fiscal-year series purely so that the two are never conflated - see Conflict C06.</t>
        </is>
      </c>
    </row>
    <row r="29">
      <c r="A29" s="2" t="inlineStr">
        <is>
          <t>SECTION B - COMPANY VOLUMES</t>
        </is>
      </c>
    </row>
    <row r="30" ht="30" customHeight="1">
      <c r="A30" s="8" t="inlineStr">
        <is>
          <t>Company</t>
        </is>
      </c>
      <c r="B30" s="8" t="inlineStr">
        <is>
          <t>Metric</t>
        </is>
      </c>
      <c r="C30" s="7" t="inlineStr">
        <is>
          <t>Unit</t>
        </is>
      </c>
      <c r="D30" s="7" t="inlineStr">
        <is>
          <t>Reporting Basis</t>
        </is>
      </c>
      <c r="E30" s="7" t="inlineStr">
        <is>
          <t>FY2022</t>
        </is>
      </c>
      <c r="F30" s="7" t="inlineStr">
        <is>
          <t>FY2023</t>
        </is>
      </c>
      <c r="G30" s="7" t="inlineStr">
        <is>
          <t>FY2024</t>
        </is>
      </c>
      <c r="H30" s="7" t="inlineStr">
        <is>
          <t>FY2025</t>
        </is>
      </c>
      <c r="I30" s="7" t="inlineStr">
        <is>
          <t>FY2026</t>
        </is>
      </c>
      <c r="J30" s="7" t="inlineStr">
        <is>
          <t>Source ID</t>
        </is>
      </c>
      <c r="K30" s="7" t="inlineStr">
        <is>
          <t>Methodology</t>
        </is>
      </c>
      <c r="L30" s="7" t="inlineStr">
        <is>
          <t>Confidence</t>
        </is>
      </c>
      <c r="M30" s="7" t="inlineStr">
        <is>
          <t>Notes</t>
        </is>
      </c>
    </row>
    <row r="31">
      <c r="A31" s="11" t="inlineStr">
        <is>
          <t>Tata Steel</t>
        </is>
      </c>
      <c r="B31" s="11" t="inlineStr">
        <is>
          <t>Crude / liquid / saleable steel production</t>
        </is>
      </c>
      <c r="C31" s="11" t="inlineStr">
        <is>
          <t>mn t</t>
        </is>
      </c>
      <c r="D31" s="11" t="inlineStr">
        <is>
          <t>Consolidated (global)</t>
        </is>
      </c>
      <c r="E31" s="11" t="inlineStr">
        <is>
          <t>Data Not Publicly Available</t>
        </is>
      </c>
      <c r="F31" s="11" t="inlineStr">
        <is>
          <t>Data Not Publicly Available</t>
        </is>
      </c>
      <c r="G31" s="11" t="inlineStr">
        <is>
          <t>Data Not Publicly Available</t>
        </is>
      </c>
      <c r="H31" s="16" t="n">
        <v>30.92</v>
      </c>
      <c r="I31" s="16" t="n">
        <v>31.67</v>
      </c>
      <c r="J31" s="11" t="inlineStr">
        <is>
          <t>S08</t>
        </is>
      </c>
      <c r="K31" s="11" t="inlineStr">
        <is>
          <t>As reported</t>
        </is>
      </c>
      <c r="L31" s="11" t="inlineStr">
        <is>
          <t>High</t>
        </is>
      </c>
      <c r="M31" s="12" t="inlineStr">
        <is>
          <t>Consolidated production is a composite: crude steel for India, liquid steel for UK and Netherlands, saleable steel for South East Asia. Not a like-for-like crude steel figure.</t>
        </is>
      </c>
    </row>
    <row r="32">
      <c r="A32" s="11" t="inlineStr">
        <is>
          <t>Tata Steel</t>
        </is>
      </c>
      <c r="B32" s="11" t="inlineStr">
        <is>
          <t>Crude steel production</t>
        </is>
      </c>
      <c r="C32" s="11" t="inlineStr">
        <is>
          <t>mn t</t>
        </is>
      </c>
      <c r="D32" s="11" t="inlineStr">
        <is>
          <t>India (proforma, incl. NINL)</t>
        </is>
      </c>
      <c r="E32" s="11" t="inlineStr">
        <is>
          <t>Data Not Publicly Available</t>
        </is>
      </c>
      <c r="F32" s="11" t="inlineStr">
        <is>
          <t>Data Not Publicly Available</t>
        </is>
      </c>
      <c r="G32" s="11" t="inlineStr">
        <is>
          <t>Data Not Publicly Available</t>
        </is>
      </c>
      <c r="H32" s="16" t="n">
        <v>21.68</v>
      </c>
      <c r="I32" s="16" t="n">
        <v>23.43</v>
      </c>
      <c r="J32" s="11" t="inlineStr">
        <is>
          <t>S08</t>
        </is>
      </c>
      <c r="K32" s="11" t="inlineStr">
        <is>
          <t>As reported</t>
        </is>
      </c>
      <c r="L32" s="11" t="inlineStr">
        <is>
          <t>High</t>
        </is>
      </c>
      <c r="M32" s="12" t="inlineStr">
        <is>
          <t>'Best ever' India crude steel production in FY2026, aided by full commissioning of Kalinganagar Phase II.</t>
        </is>
      </c>
    </row>
    <row r="33">
      <c r="A33" s="11" t="inlineStr">
        <is>
          <t>Tata Steel</t>
        </is>
      </c>
      <c r="B33" s="11" t="inlineStr">
        <is>
          <t>Deliveries</t>
        </is>
      </c>
      <c r="C33" s="11" t="inlineStr">
        <is>
          <t>mn t</t>
        </is>
      </c>
      <c r="D33" s="11" t="inlineStr">
        <is>
          <t>Consolidated (global)</t>
        </is>
      </c>
      <c r="E33" s="11" t="inlineStr">
        <is>
          <t>Data Not Publicly Available</t>
        </is>
      </c>
      <c r="F33" s="11" t="inlineStr">
        <is>
          <t>Data Not Publicly Available</t>
        </is>
      </c>
      <c r="G33" s="11" t="inlineStr">
        <is>
          <t>Data Not Publicly Available</t>
        </is>
      </c>
      <c r="H33" s="16" t="n">
        <v>30.96</v>
      </c>
      <c r="I33" s="16" t="n">
        <v>31.97</v>
      </c>
      <c r="J33" s="11" t="inlineStr">
        <is>
          <t>S08</t>
        </is>
      </c>
      <c r="K33" s="11" t="inlineStr">
        <is>
          <t>As reported</t>
        </is>
      </c>
      <c r="L33" s="11" t="inlineStr">
        <is>
          <t>High</t>
        </is>
      </c>
      <c r="M33" s="12" t="inlineStr">
        <is>
          <t>The denominator Tata Steel uses for its EBITDA per tonne.</t>
        </is>
      </c>
    </row>
    <row r="34">
      <c r="A34" s="11" t="inlineStr">
        <is>
          <t>Tata Steel</t>
        </is>
      </c>
      <c r="B34" s="11" t="inlineStr">
        <is>
          <t>Deliveries</t>
        </is>
      </c>
      <c r="C34" s="11" t="inlineStr">
        <is>
          <t>mn t</t>
        </is>
      </c>
      <c r="D34" s="11" t="inlineStr">
        <is>
          <t>India (proforma, incl. NINL)</t>
        </is>
      </c>
      <c r="E34" s="11" t="inlineStr">
        <is>
          <t>Data Not Publicly Available</t>
        </is>
      </c>
      <c r="F34" s="11" t="inlineStr">
        <is>
          <t>Data Not Publicly Available</t>
        </is>
      </c>
      <c r="G34" s="11" t="inlineStr">
        <is>
          <t>Data Not Publicly Available</t>
        </is>
      </c>
      <c r="H34" s="16" t="n">
        <v>20.94</v>
      </c>
      <c r="I34" s="16" t="n">
        <v>22.53</v>
      </c>
      <c r="J34" s="11" t="inlineStr">
        <is>
          <t>S08</t>
        </is>
      </c>
      <c r="K34" s="11" t="inlineStr">
        <is>
          <t>As reported</t>
        </is>
      </c>
      <c r="L34" s="11" t="inlineStr">
        <is>
          <t>High</t>
        </is>
      </c>
      <c r="M34" s="12" t="inlineStr">
        <is>
          <t>'Best ever' India deliveries of ~22.5 mn t in FY2026.</t>
        </is>
      </c>
    </row>
    <row r="35">
      <c r="A35" s="11" t="inlineStr">
        <is>
          <t>JSW Steel</t>
        </is>
      </c>
      <c r="B35" s="11" t="inlineStr">
        <is>
          <t>Crude steel production</t>
        </is>
      </c>
      <c r="C35" s="11" t="inlineStr">
        <is>
          <t>mn t</t>
        </is>
      </c>
      <c r="D35" s="11" t="inlineStr">
        <is>
          <t>Combined operations</t>
        </is>
      </c>
      <c r="E35" s="11" t="inlineStr">
        <is>
          <t>Data Not Publicly Available</t>
        </is>
      </c>
      <c r="F35" s="11" t="inlineStr">
        <is>
          <t>Data Not Publicly Available</t>
        </is>
      </c>
      <c r="G35" s="11" t="inlineStr">
        <is>
          <t>Data Not Publicly Available</t>
        </is>
      </c>
      <c r="H35" s="16" t="n">
        <v>27.79</v>
      </c>
      <c r="I35" s="16" t="n">
        <v>30.14</v>
      </c>
      <c r="J35" s="11" t="inlineStr">
        <is>
          <t>S09</t>
        </is>
      </c>
      <c r="K35" s="11" t="inlineStr">
        <is>
          <t>As reported</t>
        </is>
      </c>
      <c r="L35" s="11" t="inlineStr">
        <is>
          <t>High</t>
        </is>
      </c>
      <c r="M35" s="12" t="inlineStr">
        <is>
          <t>'Combined' includes JSW JFE Steel Ltd volumes for 27-31 Mar 2026 only (0.06 mn t). FY2025 includes trial-run production of 0.33 mn t. Consolidated operations excluding the JV were 30.08 mn t in FY2026.</t>
        </is>
      </c>
    </row>
    <row r="36">
      <c r="A36" s="11" t="inlineStr">
        <is>
          <t>JSW Steel</t>
        </is>
      </c>
      <c r="B36" s="11" t="inlineStr">
        <is>
          <t>Crude steel production</t>
        </is>
      </c>
      <c r="C36" s="11" t="inlineStr">
        <is>
          <t>mn t</t>
        </is>
      </c>
      <c r="D36" s="11" t="inlineStr">
        <is>
          <t>India operations</t>
        </is>
      </c>
      <c r="E36" s="11" t="inlineStr">
        <is>
          <t>Data Not Publicly Available</t>
        </is>
      </c>
      <c r="F36" s="11" t="inlineStr">
        <is>
          <t>Data Not Publicly Available</t>
        </is>
      </c>
      <c r="G36" s="11" t="inlineStr">
        <is>
          <t>Data Not Publicly Available</t>
        </is>
      </c>
      <c r="H36" s="16" t="n">
        <v>26.98</v>
      </c>
      <c r="I36" s="16" t="n">
        <v>29.31</v>
      </c>
      <c r="J36" s="11" t="inlineStr">
        <is>
          <t>S09</t>
        </is>
      </c>
      <c r="K36" s="11" t="inlineStr">
        <is>
          <t>As reported</t>
        </is>
      </c>
      <c r="L36" s="11" t="inlineStr">
        <is>
          <t>High</t>
        </is>
      </c>
      <c r="M36" s="12" t="inlineStr">
        <is>
          <t>India operations = JSW Steel standalone plus Indian subsidiaries plus JVs after eliminations. The separately presented 'Consolidated India Operations' figure is 29.25 mn t.</t>
        </is>
      </c>
    </row>
    <row r="37">
      <c r="A37" s="11" t="inlineStr">
        <is>
          <t>JSW Steel</t>
        </is>
      </c>
      <c r="B37" s="11" t="inlineStr">
        <is>
          <t>Saleable steel sales</t>
        </is>
      </c>
      <c r="C37" s="11" t="inlineStr">
        <is>
          <t>mn t</t>
        </is>
      </c>
      <c r="D37" s="11" t="inlineStr">
        <is>
          <t>Combined operations</t>
        </is>
      </c>
      <c r="E37" s="11" t="inlineStr">
        <is>
          <t>Data Not Publicly Available</t>
        </is>
      </c>
      <c r="F37" s="11" t="inlineStr">
        <is>
          <t>Data Not Publicly Available</t>
        </is>
      </c>
      <c r="G37" s="11" t="inlineStr">
        <is>
          <t>Data Not Publicly Available</t>
        </is>
      </c>
      <c r="H37" s="16" t="n">
        <v>26.45</v>
      </c>
      <c r="I37" s="16" t="n">
        <v>29.63</v>
      </c>
      <c r="J37" s="11" t="inlineStr">
        <is>
          <t>S09</t>
        </is>
      </c>
      <c r="K37" s="11" t="inlineStr">
        <is>
          <t>As reported</t>
        </is>
      </c>
      <c r="L37" s="11" t="inlineStr">
        <is>
          <t>High</t>
        </is>
      </c>
      <c r="M37" s="12" t="inlineStr">
        <is>
          <t>Up 12.0% year on year; highest ever. Q4FY2026 sales of 7.97 mn t were a record quarter.</t>
        </is>
      </c>
    </row>
    <row r="38">
      <c r="A38" s="11" t="inlineStr">
        <is>
          <t>JSW Steel</t>
        </is>
      </c>
      <c r="B38" s="11" t="inlineStr">
        <is>
          <t>Crude steel production - FY2027 guidance</t>
        </is>
      </c>
      <c r="C38" s="11" t="inlineStr">
        <is>
          <t>mn t</t>
        </is>
      </c>
      <c r="D38" s="11" t="inlineStr">
        <is>
          <t>Consolidated operations (excl. JSW JFE JV)</t>
        </is>
      </c>
      <c r="E38" s="11" t="inlineStr">
        <is>
          <t>Data Not Publicly Available</t>
        </is>
      </c>
      <c r="F38" s="11" t="inlineStr">
        <is>
          <t>Data Not Publicly Available</t>
        </is>
      </c>
      <c r="G38" s="11" t="inlineStr">
        <is>
          <t>Data Not Publicly Available</t>
        </is>
      </c>
      <c r="H38" s="11" t="inlineStr">
        <is>
          <t>Data Not Publicly Available</t>
        </is>
      </c>
      <c r="I38" s="16" t="n">
        <v>29.75</v>
      </c>
      <c r="J38" s="11" t="inlineStr">
        <is>
          <t>S09</t>
        </is>
      </c>
      <c r="K38" s="11" t="inlineStr">
        <is>
          <t>As reported (guidance for FY2027)</t>
        </is>
      </c>
      <c r="L38" s="11" t="inlineStr">
        <is>
          <t>High</t>
        </is>
      </c>
      <c r="M38" s="12" t="inlineStr">
        <is>
          <t>GUIDANCE FOR FY2027, shown in the FY2026 column for adjacency. Comprises India 28.75 and USA Ohio 1.00. Includes BMM Ispat production of 0.75 mn t; excludes the JSW JFE JV. FY2027 sales guidance is 28.60 mn t.</t>
        </is>
      </c>
    </row>
    <row r="39">
      <c r="A39" s="11" t="inlineStr">
        <is>
          <t>SAIL</t>
        </is>
      </c>
      <c r="B39" s="11" t="inlineStr">
        <is>
          <t>Crude steel production</t>
        </is>
      </c>
      <c r="C39" s="11" t="inlineStr">
        <is>
          <t>mn t</t>
        </is>
      </c>
      <c r="D39" s="11" t="inlineStr">
        <is>
          <t>Standalone</t>
        </is>
      </c>
      <c r="E39" s="11" t="inlineStr">
        <is>
          <t>Data Not Publicly Available</t>
        </is>
      </c>
      <c r="F39" s="11" t="inlineStr">
        <is>
          <t>Data Not Publicly Available</t>
        </is>
      </c>
      <c r="G39" s="11" t="inlineStr">
        <is>
          <t>Data Not Publicly Available</t>
        </is>
      </c>
      <c r="H39" s="16" t="n">
        <v>19.17</v>
      </c>
      <c r="I39" s="16" t="n">
        <v>19.43</v>
      </c>
      <c r="J39" s="11" t="inlineStr">
        <is>
          <t>S10</t>
        </is>
      </c>
      <c r="K39" s="11" t="inlineStr">
        <is>
          <t>As reported</t>
        </is>
      </c>
      <c r="L39" s="11" t="inlineStr">
        <is>
          <t>High</t>
        </is>
      </c>
      <c r="M39" s="12" t="inlineStr">
        <is>
          <t>JPC's CPSE series shows 19.174 Mt for FY2025 and 19.433 Mt for FY2026, consistent with the company. Implied utilisation on 19.676 Mtpa capacity is 98.8%.</t>
        </is>
      </c>
    </row>
    <row r="40">
      <c r="A40" s="11" t="inlineStr">
        <is>
          <t>SAIL</t>
        </is>
      </c>
      <c r="B40" s="11" t="inlineStr">
        <is>
          <t>Saleable steel production</t>
        </is>
      </c>
      <c r="C40" s="11" t="inlineStr">
        <is>
          <t>mn t</t>
        </is>
      </c>
      <c r="D40" s="11" t="inlineStr">
        <is>
          <t>Standalone</t>
        </is>
      </c>
      <c r="E40" s="11" t="inlineStr">
        <is>
          <t>Data Not Publicly Available</t>
        </is>
      </c>
      <c r="F40" s="11" t="inlineStr">
        <is>
          <t>Data Not Publicly Available</t>
        </is>
      </c>
      <c r="G40" s="11" t="inlineStr">
        <is>
          <t>Data Not Publicly Available</t>
        </is>
      </c>
      <c r="H40" s="16" t="n">
        <v>17.94</v>
      </c>
      <c r="I40" s="16" t="n">
        <v>19.18</v>
      </c>
      <c r="J40" s="11" t="inlineStr">
        <is>
          <t>S01</t>
        </is>
      </c>
      <c r="K40" s="11" t="inlineStr">
        <is>
          <t>As reported (JPC CPSE series)</t>
        </is>
      </c>
      <c r="L40" s="11" t="inlineStr">
        <is>
          <t>High</t>
        </is>
      </c>
      <c r="M40" s="12" t="inlineStr">
        <is>
          <t>From the Ministry of Steel's CPSE annexure, in lakh tonnes: 179.40 for FY2025 and 191.77 for FY2026, converted to Mt.</t>
        </is>
      </c>
    </row>
    <row r="41">
      <c r="A41" s="11" t="inlineStr">
        <is>
          <t>SAIL</t>
        </is>
      </c>
      <c r="B41" s="11" t="inlineStr">
        <is>
          <t>Sales volume</t>
        </is>
      </c>
      <c r="C41" s="11" t="inlineStr">
        <is>
          <t>mn t</t>
        </is>
      </c>
      <c r="D41" s="11" t="inlineStr">
        <is>
          <t>Standalone</t>
        </is>
      </c>
      <c r="E41" s="11" t="inlineStr">
        <is>
          <t>Data Not Publicly Available</t>
        </is>
      </c>
      <c r="F41" s="11" t="inlineStr">
        <is>
          <t>Data Not Publicly Available</t>
        </is>
      </c>
      <c r="G41" s="11" t="inlineStr">
        <is>
          <t>Data Not Publicly Available</t>
        </is>
      </c>
      <c r="H41" s="16" t="n">
        <v>17.89</v>
      </c>
      <c r="I41" s="16" t="n">
        <v>19.93</v>
      </c>
      <c r="J41" s="11" t="inlineStr">
        <is>
          <t>S10</t>
        </is>
      </c>
      <c r="K41" s="11" t="inlineStr">
        <is>
          <t>As reported</t>
        </is>
      </c>
      <c r="L41" s="11" t="inlineStr">
        <is>
          <t>High</t>
        </is>
      </c>
      <c r="M41" s="12" t="inlineStr">
        <is>
          <t>Company-reported, up 11.4% year on year - 'best ever'. NOTE: the JPC CPSE annexure shows sales of saleable steel of 18.06 Mt for FY2025 and 20.10 Mt for FY2026, a slightly wider basis. The company figure is used here as it is the audited-filing basis.</t>
        </is>
      </c>
    </row>
    <row r="42">
      <c r="A42" s="11" t="inlineStr">
        <is>
          <t>Jindal Steel</t>
        </is>
      </c>
      <c r="B42" s="11" t="inlineStr">
        <is>
          <t>Steel production</t>
        </is>
      </c>
      <c r="C42" s="11" t="inlineStr">
        <is>
          <t>mn t</t>
        </is>
      </c>
      <c r="D42" s="11" t="inlineStr">
        <is>
          <t>Consolidated</t>
        </is>
      </c>
      <c r="E42" s="11" t="inlineStr">
        <is>
          <t>Data Not Publicly Available</t>
        </is>
      </c>
      <c r="F42" s="11" t="inlineStr">
        <is>
          <t>Data Not Publicly Available</t>
        </is>
      </c>
      <c r="G42" s="11" t="inlineStr">
        <is>
          <t>Data Not Publicly Available</t>
        </is>
      </c>
      <c r="H42" s="16" t="n">
        <v>8.119999999999999</v>
      </c>
      <c r="I42" s="16" t="n">
        <v>9.25</v>
      </c>
      <c r="J42" s="11" t="inlineStr">
        <is>
          <t>S11</t>
        </is>
      </c>
      <c r="K42" s="11" t="inlineStr">
        <is>
          <t>As reported</t>
        </is>
      </c>
      <c r="L42" s="11" t="inlineStr">
        <is>
          <t>High</t>
        </is>
      </c>
      <c r="M42" s="12" t="inlineStr">
        <is>
          <t>Met FY2026 guidance. Strong ramp-up at Angul. FY2027 guidance is 11.0-11.5 mn t.</t>
        </is>
      </c>
    </row>
    <row r="43">
      <c r="A43" s="11" t="inlineStr">
        <is>
          <t>Jindal Steel</t>
        </is>
      </c>
      <c r="B43" s="11" t="inlineStr">
        <is>
          <t>Steel sales</t>
        </is>
      </c>
      <c r="C43" s="11" t="inlineStr">
        <is>
          <t>mn t</t>
        </is>
      </c>
      <c r="D43" s="11" t="inlineStr">
        <is>
          <t>Consolidated</t>
        </is>
      </c>
      <c r="E43" s="11" t="inlineStr">
        <is>
          <t>Data Not Publicly Available</t>
        </is>
      </c>
      <c r="F43" s="11" t="inlineStr">
        <is>
          <t>Data Not Publicly Available</t>
        </is>
      </c>
      <c r="G43" s="11" t="inlineStr">
        <is>
          <t>Data Not Publicly Available</t>
        </is>
      </c>
      <c r="H43" s="16" t="n">
        <v>7.97</v>
      </c>
      <c r="I43" s="16" t="n">
        <v>8.68</v>
      </c>
      <c r="J43" s="11" t="inlineStr">
        <is>
          <t>S11</t>
        </is>
      </c>
      <c r="K43" s="11" t="inlineStr">
        <is>
          <t>As reported</t>
        </is>
      </c>
      <c r="L43" s="11" t="inlineStr">
        <is>
          <t>High</t>
        </is>
      </c>
      <c r="M43" s="12" t="inlineStr">
        <is>
          <t>The denominator for the company's EBITDA per tonne. FY2027 guidance is 10.5-11.0 mn t. Value-added share was 61% of sales in Q4FY2026; flats were 52%.</t>
        </is>
      </c>
    </row>
    <row r="44">
      <c r="A44" s="11" t="inlineStr">
        <is>
          <t>AM/NS India</t>
        </is>
      </c>
      <c r="B44" s="11" t="inlineStr">
        <is>
          <t>Crude steel production</t>
        </is>
      </c>
      <c r="C44" s="11" t="inlineStr">
        <is>
          <t>mn t</t>
        </is>
      </c>
      <c r="D44" s="11" t="inlineStr">
        <is>
          <t>100% basis, calendar year</t>
        </is>
      </c>
      <c r="E44" s="11" t="inlineStr">
        <is>
          <t>Data Not Publicly Available</t>
        </is>
      </c>
      <c r="F44" s="11" t="inlineStr">
        <is>
          <t>Data Not Publicly Available</t>
        </is>
      </c>
      <c r="G44" s="11" t="inlineStr">
        <is>
          <t>Data Not Publicly Available</t>
        </is>
      </c>
      <c r="H44" s="16" t="n">
        <v>7.544</v>
      </c>
      <c r="I44" s="16" t="n">
        <v>7.219</v>
      </c>
      <c r="J44" s="11" t="inlineStr">
        <is>
          <t>S13</t>
        </is>
      </c>
      <c r="K44" s="11" t="inlineStr">
        <is>
          <t>As reported</t>
        </is>
      </c>
      <c r="L44" s="11" t="inlineStr">
        <is>
          <t>High</t>
        </is>
      </c>
      <c r="M44" s="12" t="inlineStr">
        <is>
          <t>CALENDAR YEARS: FY2025 column holds CY2024, FY2026 column holds CY2025.</t>
        </is>
      </c>
    </row>
    <row r="45">
      <c r="A45" s="11" t="inlineStr">
        <is>
          <t>AM/NS India</t>
        </is>
      </c>
      <c r="B45" s="11" t="inlineStr">
        <is>
          <t>Crude steel production</t>
        </is>
      </c>
      <c r="C45" s="11" t="inlineStr">
        <is>
          <t>mn t</t>
        </is>
      </c>
      <c r="D45" s="11" t="inlineStr">
        <is>
          <t>100% basis, derived fiscal year</t>
        </is>
      </c>
      <c r="E45" s="11" t="inlineStr">
        <is>
          <t>Data Not Publicly Available</t>
        </is>
      </c>
      <c r="F45" s="11" t="inlineStr">
        <is>
          <t>Data Not Publicly Available</t>
        </is>
      </c>
      <c r="G45" s="11" t="inlineStr">
        <is>
          <t>Data Not Publicly Available</t>
        </is>
      </c>
      <c r="H45" s="11" t="inlineStr">
        <is>
          <t>Data Not Publicly Available</t>
        </is>
      </c>
      <c r="I45" s="16" t="n">
        <v>7.367</v>
      </c>
      <c r="J45" s="11" t="inlineStr">
        <is>
          <t>S13, S14</t>
        </is>
      </c>
      <c r="K45" s="11" t="inlineStr">
        <is>
          <t>Derived - sum of calendar quarters</t>
        </is>
      </c>
      <c r="L45" s="11" t="inlineStr">
        <is>
          <t>Medium</t>
        </is>
      </c>
      <c r="M45" s="12" t="inlineStr">
        <is>
          <t>FY2026 derived as 2Q25 + 3Q25 + 4Q25 + 1Q26 = 1.827 + 1.832 + 1.876 + 1.832. A derived FY2025 equivalent is deliberately NOT shown because the 2Q24 and 3Q24 disclosures were not retrieved - see Conflict C16.</t>
        </is>
      </c>
    </row>
    <row r="46">
      <c r="A46" s="11" t="inlineStr">
        <is>
          <t>AM/NS India</t>
        </is>
      </c>
      <c r="B46" s="11" t="inlineStr">
        <is>
          <t>Shipments</t>
        </is>
      </c>
      <c r="C46" s="11" t="inlineStr">
        <is>
          <t>mn t</t>
        </is>
      </c>
      <c r="D46" s="11" t="inlineStr">
        <is>
          <t>100% basis, calendar year</t>
        </is>
      </c>
      <c r="E46" s="11" t="inlineStr">
        <is>
          <t>Data Not Publicly Available</t>
        </is>
      </c>
      <c r="F46" s="11" t="inlineStr">
        <is>
          <t>Data Not Publicly Available</t>
        </is>
      </c>
      <c r="G46" s="11" t="inlineStr">
        <is>
          <t>Data Not Publicly Available</t>
        </is>
      </c>
      <c r="H46" s="16" t="n">
        <v>7.933</v>
      </c>
      <c r="I46" s="16" t="n">
        <v>7.863</v>
      </c>
      <c r="J46" s="11" t="inlineStr">
        <is>
          <t>S13</t>
        </is>
      </c>
      <c r="K46" s="11" t="inlineStr">
        <is>
          <t>As reported</t>
        </is>
      </c>
      <c r="L46" s="11" t="inlineStr">
        <is>
          <t>High</t>
        </is>
      </c>
      <c r="M46" s="12" t="inlineStr">
        <is>
          <t>CALENDAR YEARS as above.</t>
        </is>
      </c>
    </row>
    <row r="47">
      <c r="A47" s="11" t="inlineStr">
        <is>
          <t>AM/NS India</t>
        </is>
      </c>
      <c r="B47" s="11" t="inlineStr">
        <is>
          <t>Shipments</t>
        </is>
      </c>
      <c r="C47" s="11" t="inlineStr">
        <is>
          <t>mn t</t>
        </is>
      </c>
      <c r="D47" s="11" t="inlineStr">
        <is>
          <t>100% basis, derived fiscal year</t>
        </is>
      </c>
      <c r="E47" s="11" t="inlineStr">
        <is>
          <t>Data Not Publicly Available</t>
        </is>
      </c>
      <c r="F47" s="11" t="inlineStr">
        <is>
          <t>Data Not Publicly Available</t>
        </is>
      </c>
      <c r="G47" s="11" t="inlineStr">
        <is>
          <t>Data Not Publicly Available</t>
        </is>
      </c>
      <c r="H47" s="11" t="inlineStr">
        <is>
          <t>Data Not Publicly Available</t>
        </is>
      </c>
      <c r="I47" s="16" t="n">
        <v>7.975</v>
      </c>
      <c r="J47" s="11" t="inlineStr">
        <is>
          <t>S13, S14</t>
        </is>
      </c>
      <c r="K47" s="11" t="inlineStr">
        <is>
          <t>Derived - sum of calendar quarters</t>
        </is>
      </c>
      <c r="L47" s="11" t="inlineStr">
        <is>
          <t>Medium</t>
        </is>
      </c>
      <c r="M47" s="12" t="inlineStr">
        <is>
          <t>FY2026 derived as 1.775 + 1.939 + 2.267 + 1.994. 2Q CY2026 shipments of 1.93 Mt represent an ~8 Mt annualised run rate, a record for the JV.</t>
        </is>
      </c>
    </row>
    <row r="48">
      <c r="A48" s="11" t="inlineStr">
        <is>
          <t>Jindal Stainless</t>
        </is>
      </c>
      <c r="B48" s="11" t="inlineStr">
        <is>
          <t>Deliveries</t>
        </is>
      </c>
      <c r="C48" s="11" t="inlineStr">
        <is>
          <t>mn t</t>
        </is>
      </c>
      <c r="D48" s="11" t="inlineStr">
        <is>
          <t>Consolidated</t>
        </is>
      </c>
      <c r="E48" s="11" t="inlineStr">
        <is>
          <t>Data Not Publicly Available</t>
        </is>
      </c>
      <c r="F48" s="11" t="inlineStr">
        <is>
          <t>Data Not Publicly Available</t>
        </is>
      </c>
      <c r="G48" s="11" t="inlineStr">
        <is>
          <t>Data Not Publicly Available</t>
        </is>
      </c>
      <c r="H48" s="16" t="n">
        <v>2.38</v>
      </c>
      <c r="I48" s="16" t="n">
        <v>2.57</v>
      </c>
      <c r="J48" s="11" t="inlineStr">
        <is>
          <t>S12</t>
        </is>
      </c>
      <c r="K48" s="11" t="inlineStr">
        <is>
          <t>FY2026 as reported; FY2025 derived from the stated +8% growth</t>
        </is>
      </c>
      <c r="L48" s="11" t="inlineStr">
        <is>
          <t>High</t>
        </is>
      </c>
      <c r="M48" s="12" t="inlineStr">
        <is>
          <t>FY2026 deliveries of 2.57 mn t, up ~8%. Q4FY2026 was 0.64 mn t, flat year on year. Q4FY2026 grade mix: 200-series ~38%, 300-series ~43%, 400-series ~19%. Exports were 8% of FY2026 sales.</t>
        </is>
      </c>
    </row>
    <row r="49">
      <c r="A49" s="11" t="inlineStr">
        <is>
          <t>RINL</t>
        </is>
      </c>
      <c r="B49" s="11" t="inlineStr">
        <is>
          <t>Crude steel production</t>
        </is>
      </c>
      <c r="C49" s="11" t="inlineStr">
        <is>
          <t>mn t</t>
        </is>
      </c>
      <c r="D49" s="11" t="inlineStr">
        <is>
          <t>Standalone</t>
        </is>
      </c>
      <c r="E49" s="11" t="inlineStr">
        <is>
          <t>Data Not Publicly Available</t>
        </is>
      </c>
      <c r="F49" s="11" t="inlineStr">
        <is>
          <t>Data Not Publicly Available</t>
        </is>
      </c>
      <c r="G49" s="11" t="inlineStr">
        <is>
          <t>Data Not Publicly Available</t>
        </is>
      </c>
      <c r="H49" s="16" t="n">
        <v>3.584</v>
      </c>
      <c r="I49" s="16" t="n">
        <v>5.429</v>
      </c>
      <c r="J49" s="11" t="inlineStr">
        <is>
          <t>S01</t>
        </is>
      </c>
      <c r="K49" s="11" t="inlineStr">
        <is>
          <t>As reported (JPC CPSE series)</t>
        </is>
      </c>
      <c r="L49" s="11" t="inlineStr">
        <is>
          <t>High</t>
        </is>
      </c>
      <c r="M49" s="12" t="inlineStr">
        <is>
          <t>Up 51% off a depressed FY2025 base as the Government revival package restored operations. The company's own release rounds these to 3.5 and 5.4 Mt.</t>
        </is>
      </c>
    </row>
    <row r="50">
      <c r="A50" s="11" t="inlineStr">
        <is>
          <t>RINL</t>
        </is>
      </c>
      <c r="B50" s="11" t="inlineStr">
        <is>
          <t>Liquid steel production</t>
        </is>
      </c>
      <c r="C50" s="11" t="inlineStr">
        <is>
          <t>mn t</t>
        </is>
      </c>
      <c r="D50" s="11" t="inlineStr">
        <is>
          <t>Standalone</t>
        </is>
      </c>
      <c r="E50" s="11" t="inlineStr">
        <is>
          <t>Data Not Publicly Available</t>
        </is>
      </c>
      <c r="F50" s="11" t="inlineStr">
        <is>
          <t>Data Not Publicly Available</t>
        </is>
      </c>
      <c r="G50" s="11" t="inlineStr">
        <is>
          <t>Data Not Publicly Available</t>
        </is>
      </c>
      <c r="H50" s="16" t="n">
        <v>3.749</v>
      </c>
      <c r="I50" s="16" t="n">
        <v>5.694</v>
      </c>
      <c r="J50" s="11" t="inlineStr">
        <is>
          <t>S01</t>
        </is>
      </c>
      <c r="K50" s="11" t="inlineStr">
        <is>
          <t>As reported (JPC CPSE series)</t>
        </is>
      </c>
      <c r="L50" s="11" t="inlineStr">
        <is>
          <t>High</t>
        </is>
      </c>
      <c r="M50" s="12" t="inlineStr">
        <is>
          <t>Up 52%.</t>
        </is>
      </c>
    </row>
    <row r="51">
      <c r="A51" s="11" t="inlineStr">
        <is>
          <t>RINL</t>
        </is>
      </c>
      <c r="B51" s="11" t="inlineStr">
        <is>
          <t>Hot metal production</t>
        </is>
      </c>
      <c r="C51" s="11" t="inlineStr">
        <is>
          <t>mn t</t>
        </is>
      </c>
      <c r="D51" s="11" t="inlineStr">
        <is>
          <t>Standalone</t>
        </is>
      </c>
      <c r="E51" s="11" t="inlineStr">
        <is>
          <t>Data Not Publicly Available</t>
        </is>
      </c>
      <c r="F51" s="11" t="inlineStr">
        <is>
          <t>Data Not Publicly Available</t>
        </is>
      </c>
      <c r="G51" s="11" t="inlineStr">
        <is>
          <t>Data Not Publicly Available</t>
        </is>
      </c>
      <c r="H51" s="16" t="n">
        <v>3.913</v>
      </c>
      <c r="I51" s="16" t="n">
        <v>5.955</v>
      </c>
      <c r="J51" s="11" t="inlineStr">
        <is>
          <t>S01</t>
        </is>
      </c>
      <c r="K51" s="11" t="inlineStr">
        <is>
          <t>As reported (JPC CPSE series)</t>
        </is>
      </c>
      <c r="L51" s="11" t="inlineStr">
        <is>
          <t>High</t>
        </is>
      </c>
      <c r="M51" s="12" t="inlineStr">
        <is>
          <t>Up 52%.</t>
        </is>
      </c>
    </row>
    <row r="52">
      <c r="A52" s="11" t="inlineStr">
        <is>
          <t>RINL</t>
        </is>
      </c>
      <c r="B52" s="11" t="inlineStr">
        <is>
          <t>Saleable steel production</t>
        </is>
      </c>
      <c r="C52" s="11" t="inlineStr">
        <is>
          <t>mn t</t>
        </is>
      </c>
      <c r="D52" s="11" t="inlineStr">
        <is>
          <t>Standalone</t>
        </is>
      </c>
      <c r="E52" s="11" t="inlineStr">
        <is>
          <t>Data Not Publicly Available</t>
        </is>
      </c>
      <c r="F52" s="11" t="inlineStr">
        <is>
          <t>Data Not Publicly Available</t>
        </is>
      </c>
      <c r="G52" s="11" t="inlineStr">
        <is>
          <t>Data Not Publicly Available</t>
        </is>
      </c>
      <c r="H52" s="16" t="n">
        <v>3.459</v>
      </c>
      <c r="I52" s="16" t="n">
        <v>4.501</v>
      </c>
      <c r="J52" s="11" t="inlineStr">
        <is>
          <t>S01</t>
        </is>
      </c>
      <c r="K52" s="11" t="inlineStr">
        <is>
          <t>As reported (JPC CPSE series)</t>
        </is>
      </c>
      <c r="L52" s="11" t="inlineStr">
        <is>
          <t>High</t>
        </is>
      </c>
      <c r="M52" s="12" t="inlineStr">
        <is>
          <t>Up 30%.</t>
        </is>
      </c>
    </row>
    <row r="53">
      <c r="A53" s="11" t="inlineStr">
        <is>
          <t>RINL</t>
        </is>
      </c>
      <c r="B53" s="11" t="inlineStr">
        <is>
          <t>Sales volume</t>
        </is>
      </c>
      <c r="C53" s="11" t="inlineStr">
        <is>
          <t>mn t</t>
        </is>
      </c>
      <c r="D53" s="11" t="inlineStr">
        <is>
          <t>Standalone</t>
        </is>
      </c>
      <c r="E53" s="11" t="inlineStr">
        <is>
          <t>Data Not Publicly Available</t>
        </is>
      </c>
      <c r="F53" s="11" t="inlineStr">
        <is>
          <t>Data Not Publicly Available</t>
        </is>
      </c>
      <c r="G53" s="11" t="inlineStr">
        <is>
          <t>Data Not Publicly Available</t>
        </is>
      </c>
      <c r="H53" s="16" t="n">
        <v>3.4</v>
      </c>
      <c r="I53" s="16" t="n">
        <v>4.4</v>
      </c>
      <c r="J53" s="11" t="inlineStr">
        <is>
          <t>S16</t>
        </is>
      </c>
      <c r="K53" s="11" t="inlineStr">
        <is>
          <t>As reported (rounded by the company)</t>
        </is>
      </c>
      <c r="L53" s="11" t="inlineStr">
        <is>
          <t>Medium</t>
        </is>
      </c>
      <c r="M53" s="12" t="inlineStr">
        <is>
          <t>Company release states approximately 4.4 mn t in FY2026 against 3.4 mn t in FY2025, up 27%.</t>
        </is>
      </c>
    </row>
    <row r="54">
      <c r="A54" s="11" t="inlineStr">
        <is>
          <t>NMDC Steel (context, not in coverage)</t>
        </is>
      </c>
      <c r="B54" s="11" t="inlineStr">
        <is>
          <t>Crude steel production</t>
        </is>
      </c>
      <c r="C54" s="11" t="inlineStr">
        <is>
          <t>mn t</t>
        </is>
      </c>
      <c r="D54" s="11" t="inlineStr">
        <is>
          <t>Standalone</t>
        </is>
      </c>
      <c r="E54" s="11" t="inlineStr">
        <is>
          <t>Data Not Publicly Available</t>
        </is>
      </c>
      <c r="F54" s="11" t="inlineStr">
        <is>
          <t>Data Not Publicly Available</t>
        </is>
      </c>
      <c r="G54" s="11" t="inlineStr">
        <is>
          <t>Data Not Publicly Available</t>
        </is>
      </c>
      <c r="H54" s="16" t="n">
        <v>1.471</v>
      </c>
      <c r="I54" s="16" t="n">
        <v>2.382</v>
      </c>
      <c r="J54" s="11" t="inlineStr">
        <is>
          <t>S01</t>
        </is>
      </c>
      <c r="K54" s="11" t="inlineStr">
        <is>
          <t>As reported (JPC CPSE series)</t>
        </is>
      </c>
      <c r="L54" s="11" t="inlineStr">
        <is>
          <t>High</t>
        </is>
      </c>
      <c r="M54" s="12" t="inlineStr">
        <is>
          <t>Included for completeness of India supply. The 3 Mtpa Nagarnar greenfield CPSE ramped up 61.9% in FY2026; hot rolled coil output was 2.325 Mt.</t>
        </is>
      </c>
    </row>
    <row r="55">
      <c r="A55" s="11" t="inlineStr">
        <is>
          <t>Shyam Metalics</t>
        </is>
      </c>
      <c r="B55" s="11" t="inlineStr">
        <is>
          <t>Steel production / sales volume</t>
        </is>
      </c>
      <c r="C55" s="11" t="inlineStr">
        <is>
          <t>mn t</t>
        </is>
      </c>
      <c r="D55" s="11" t="inlineStr">
        <is>
          <t>Consolidated</t>
        </is>
      </c>
      <c r="E55" s="11" t="inlineStr">
        <is>
          <t>Data Not Publicly Available</t>
        </is>
      </c>
      <c r="F55" s="11" t="inlineStr">
        <is>
          <t>Data Not Publicly Available</t>
        </is>
      </c>
      <c r="G55" s="11" t="inlineStr">
        <is>
          <t>Data Not Publicly Available</t>
        </is>
      </c>
      <c r="H55" s="11" t="inlineStr">
        <is>
          <t>Data Not Publicly Available</t>
        </is>
      </c>
      <c r="I55" s="11" t="inlineStr">
        <is>
          <t>Data Not Publicly Available</t>
        </is>
      </c>
      <c r="J55" s="11" t="inlineStr">
        <is>
          <t>S31</t>
        </is>
      </c>
      <c r="K55" s="11" t="inlineStr">
        <is>
          <t>Not sourced</t>
        </is>
      </c>
      <c r="L55" s="11" t="inlineStr">
        <is>
          <t>Low</t>
        </is>
      </c>
      <c r="M55" s="12" t="inlineStr">
        <is>
          <t>Volumes were not disclosed in the sources available within this research cycle. Obtain from the FY2026 investor presentation or annual report.</t>
        </is>
      </c>
    </row>
    <row r="56">
      <c r="A56" s="11" t="inlineStr">
        <is>
          <t>Godawari Power</t>
        </is>
      </c>
      <c r="B56" s="11" t="inlineStr">
        <is>
          <t>Steel production / sales volume</t>
        </is>
      </c>
      <c r="C56" s="11" t="inlineStr">
        <is>
          <t>mn t</t>
        </is>
      </c>
      <c r="D56" s="11" t="inlineStr">
        <is>
          <t>Consolidated</t>
        </is>
      </c>
      <c r="E56" s="11" t="inlineStr">
        <is>
          <t>Data Not Publicly Available</t>
        </is>
      </c>
      <c r="F56" s="11" t="inlineStr">
        <is>
          <t>Data Not Publicly Available</t>
        </is>
      </c>
      <c r="G56" s="11" t="inlineStr">
        <is>
          <t>Data Not Publicly Available</t>
        </is>
      </c>
      <c r="H56" s="11" t="inlineStr">
        <is>
          <t>Data Not Publicly Available</t>
        </is>
      </c>
      <c r="I56" s="11" t="inlineStr">
        <is>
          <t>Data Not Publicly Available</t>
        </is>
      </c>
      <c r="J56" s="11" t="inlineStr">
        <is>
          <t>S30</t>
        </is>
      </c>
      <c r="K56" s="11" t="inlineStr">
        <is>
          <t>Not sourced</t>
        </is>
      </c>
      <c r="L56" s="11" t="inlineStr">
        <is>
          <t>Low</t>
        </is>
      </c>
      <c r="M56" s="12" t="inlineStr">
        <is>
          <t>Volumes not sourced within this research cycle.</t>
        </is>
      </c>
    </row>
    <row r="57">
      <c r="A57" s="11" t="inlineStr">
        <is>
          <t>APL Apollo</t>
        </is>
      </c>
      <c r="B57" s="11" t="inlineStr">
        <is>
          <t>Tube sales volume</t>
        </is>
      </c>
      <c r="C57" s="11" t="inlineStr">
        <is>
          <t>mn t</t>
        </is>
      </c>
      <c r="D57" s="11" t="inlineStr">
        <is>
          <t>Consolidated</t>
        </is>
      </c>
      <c r="E57" s="11" t="inlineStr">
        <is>
          <t>Data Not Publicly Available</t>
        </is>
      </c>
      <c r="F57" s="11" t="inlineStr">
        <is>
          <t>Data Not Publicly Available</t>
        </is>
      </c>
      <c r="G57" s="11" t="inlineStr">
        <is>
          <t>Data Not Publicly Available</t>
        </is>
      </c>
      <c r="H57" s="11" t="inlineStr">
        <is>
          <t>Data Not Publicly Available</t>
        </is>
      </c>
      <c r="I57" s="11" t="inlineStr">
        <is>
          <t>Data Not Publicly Available</t>
        </is>
      </c>
      <c r="J57" s="11" t="inlineStr">
        <is>
          <t>S30</t>
        </is>
      </c>
      <c r="K57" s="11" t="inlineStr">
        <is>
          <t>Not sourced</t>
        </is>
      </c>
      <c r="L57" s="11" t="inlineStr">
        <is>
          <t>Low</t>
        </is>
      </c>
      <c r="M57" s="12" t="inlineStr">
        <is>
          <t>Not a crude steel producer. Tube volumes not sourced within this research cycle.</t>
        </is>
      </c>
    </row>
    <row r="58">
      <c r="A58" s="11" t="inlineStr">
        <is>
          <t>Mukand</t>
        </is>
      </c>
      <c r="B58" s="11" t="inlineStr">
        <is>
          <t>Steel sales volume</t>
        </is>
      </c>
      <c r="C58" s="11" t="inlineStr">
        <is>
          <t>mn t</t>
        </is>
      </c>
      <c r="D58" s="11" t="inlineStr">
        <is>
          <t>Consolidated</t>
        </is>
      </c>
      <c r="E58" s="11" t="inlineStr">
        <is>
          <t>Data Not Publicly Available</t>
        </is>
      </c>
      <c r="F58" s="11" t="inlineStr">
        <is>
          <t>Data Not Publicly Available</t>
        </is>
      </c>
      <c r="G58" s="11" t="inlineStr">
        <is>
          <t>Data Not Publicly Available</t>
        </is>
      </c>
      <c r="H58" s="11" t="inlineStr">
        <is>
          <t>Data Not Publicly Available</t>
        </is>
      </c>
      <c r="I58" s="11" t="inlineStr">
        <is>
          <t>Data Not Publicly Available</t>
        </is>
      </c>
      <c r="J58" s="11" t="inlineStr">
        <is>
          <t>S30</t>
        </is>
      </c>
      <c r="K58" s="11" t="inlineStr">
        <is>
          <t>Not sourced</t>
        </is>
      </c>
      <c r="L58" s="11" t="inlineStr">
        <is>
          <t>Low</t>
        </is>
      </c>
      <c r="M58" s="12" t="inlineStr">
        <is>
          <t>Volumes not sourced within this research cycle.</t>
        </is>
      </c>
    </row>
    <row r="59">
      <c r="A59" s="11" t="inlineStr">
        <is>
          <t>Gallantt</t>
        </is>
      </c>
      <c r="B59" s="11" t="inlineStr">
        <is>
          <t>Steel sales volume</t>
        </is>
      </c>
      <c r="C59" s="11" t="inlineStr">
        <is>
          <t>mn t</t>
        </is>
      </c>
      <c r="D59" s="11" t="inlineStr">
        <is>
          <t>Consolidated</t>
        </is>
      </c>
      <c r="E59" s="11" t="inlineStr">
        <is>
          <t>Data Not Publicly Available</t>
        </is>
      </c>
      <c r="F59" s="11" t="inlineStr">
        <is>
          <t>Data Not Publicly Available</t>
        </is>
      </c>
      <c r="G59" s="11" t="inlineStr">
        <is>
          <t>Data Not Publicly Available</t>
        </is>
      </c>
      <c r="H59" s="11" t="inlineStr">
        <is>
          <t>Data Not Publicly Available</t>
        </is>
      </c>
      <c r="I59" s="11" t="inlineStr">
        <is>
          <t>Data Not Publicly Available</t>
        </is>
      </c>
      <c r="J59" s="11" t="inlineStr">
        <is>
          <t>S30</t>
        </is>
      </c>
      <c r="K59" s="11" t="inlineStr">
        <is>
          <t>Not sourced</t>
        </is>
      </c>
      <c r="L59" s="11" t="inlineStr">
        <is>
          <t>Low</t>
        </is>
      </c>
      <c r="M59" s="12" t="inlineStr">
        <is>
          <t>Volumes not sourced within this research cycle.</t>
        </is>
      </c>
    </row>
    <row r="60">
      <c r="A60" s="11" t="inlineStr">
        <is>
          <t>Uttam Galva</t>
        </is>
      </c>
      <c r="B60" s="11" t="inlineStr">
        <is>
          <t>Sales volume</t>
        </is>
      </c>
      <c r="C60" s="11" t="inlineStr">
        <is>
          <t>mn t</t>
        </is>
      </c>
      <c r="D60" s="11" t="inlineStr">
        <is>
          <t>Not applicable</t>
        </is>
      </c>
      <c r="E60" s="11" t="inlineStr">
        <is>
          <t>Data Not Publicly Available</t>
        </is>
      </c>
      <c r="F60" s="11" t="inlineStr">
        <is>
          <t>Data Not Publicly Available</t>
        </is>
      </c>
      <c r="G60" s="11" t="inlineStr">
        <is>
          <t>Data Not Publicly Available</t>
        </is>
      </c>
      <c r="H60" s="11" t="inlineStr">
        <is>
          <t>Data Not Publicly Available</t>
        </is>
      </c>
      <c r="I60" s="11" t="inlineStr">
        <is>
          <t>Data Not Publicly Available</t>
        </is>
      </c>
      <c r="J60" s="11" t="inlineStr">
        <is>
          <t>S36</t>
        </is>
      </c>
      <c r="K60" s="11" t="inlineStr">
        <is>
          <t>Not applicable</t>
        </is>
      </c>
      <c r="L60" s="11" t="inlineStr">
        <is>
          <t>High</t>
        </is>
      </c>
      <c r="M60" s="12" t="inlineStr">
        <is>
          <t>Delisted 08-Dec-2022; no public disclosure.</t>
        </is>
      </c>
    </row>
    <row r="61">
      <c r="A61" s="11" t="inlineStr">
        <is>
          <t>Electrosteel / ESL</t>
        </is>
      </c>
      <c r="B61" s="11" t="inlineStr">
        <is>
          <t>Crude steel production</t>
        </is>
      </c>
      <c r="C61" s="11" t="inlineStr">
        <is>
          <t>mn t</t>
        </is>
      </c>
      <c r="D61" s="11" t="inlineStr">
        <is>
          <t>Not applicable</t>
        </is>
      </c>
      <c r="E61" s="11" t="inlineStr">
        <is>
          <t>Data Not Publicly Available</t>
        </is>
      </c>
      <c r="F61" s="11" t="inlineStr">
        <is>
          <t>Data Not Publicly Available</t>
        </is>
      </c>
      <c r="G61" s="11" t="inlineStr">
        <is>
          <t>Data Not Publicly Available</t>
        </is>
      </c>
      <c r="H61" s="11" t="inlineStr">
        <is>
          <t>Data Not Publicly Available</t>
        </is>
      </c>
      <c r="I61" s="11" t="inlineStr">
        <is>
          <t>Data Not Publicly Available</t>
        </is>
      </c>
      <c r="J61" s="11" t="inlineStr">
        <is>
          <t>S34</t>
        </is>
      </c>
      <c r="K61" s="11" t="inlineStr">
        <is>
          <t>Not applicable</t>
        </is>
      </c>
      <c r="L61" s="11" t="inlineStr">
        <is>
          <t>High</t>
        </is>
      </c>
      <c r="M61" s="12" t="inlineStr">
        <is>
          <t>Vedanta's Q4/FY26 press release does not disclose an ESL steel production line item.</t>
        </is>
      </c>
    </row>
    <row r="62">
      <c r="A62" s="11" t="inlineStr">
        <is>
          <t>Kirloskar Ferrous</t>
        </is>
      </c>
      <c r="B62" s="11" t="inlineStr">
        <is>
          <t>Pig iron / castings volume</t>
        </is>
      </c>
      <c r="C62" s="11" t="inlineStr">
        <is>
          <t>mn t</t>
        </is>
      </c>
      <c r="D62" s="11" t="inlineStr">
        <is>
          <t>Consolidated</t>
        </is>
      </c>
      <c r="E62" s="11" t="inlineStr">
        <is>
          <t>Data Not Publicly Available</t>
        </is>
      </c>
      <c r="F62" s="11" t="inlineStr">
        <is>
          <t>Data Not Publicly Available</t>
        </is>
      </c>
      <c r="G62" s="11" t="inlineStr">
        <is>
          <t>Data Not Publicly Available</t>
        </is>
      </c>
      <c r="H62" s="11" t="inlineStr">
        <is>
          <t>Data Not Publicly Available</t>
        </is>
      </c>
      <c r="I62" s="11" t="inlineStr">
        <is>
          <t>Data Not Publicly Available</t>
        </is>
      </c>
      <c r="J62" s="11" t="inlineStr">
        <is>
          <t>S30</t>
        </is>
      </c>
      <c r="K62" s="11" t="inlineStr">
        <is>
          <t>Not sourced</t>
        </is>
      </c>
      <c r="L62" s="11" t="inlineStr">
        <is>
          <t>Low</t>
        </is>
      </c>
      <c r="M62" s="12" t="inlineStr">
        <is>
          <t>Volumes not sourced within this research cycle.</t>
        </is>
      </c>
    </row>
    <row r="64">
      <c r="A64" s="13" t="inlineStr">
        <is>
          <t>Tata Steel's consolidated production is a composite of crude steel for India, liquid steel for the UK and Netherlands and saleable steel for South East Asia, and is not a like-for-like crude steel figure. JSW Steel's 'Combined operations' includes JSW JFE Steel Ltd for 27-31 March 2026 only. AM/NS India fiscal-year rows are derived by summing calendar quarters - see Conflict C16.</t>
        </is>
      </c>
    </row>
  </sheetData>
  <printOptions horizontalCentered="1"/>
  <pageMargins left="0.75" right="0.75" top="1" bottom="1" header="0.5" footer="0.5"/>
  <pageSetup orientation="landscape" fitToHeight="0" fitToWidth="1"/>
  <tableParts count="2">
    <tablePart xmlns:r="http://schemas.openxmlformats.org/officeDocument/2006/relationships" r:id="rId1"/>
    <tablePart xmlns:r="http://schemas.openxmlformats.org/officeDocument/2006/relationships" r:id="rId2"/>
  </tableParts>
</worksheet>
</file>

<file path=xl/worksheets/sheet6.xml><?xml version="1.0" encoding="utf-8"?>
<worksheet xmlns="http://schemas.openxmlformats.org/spreadsheetml/2006/main">
  <sheetPr>
    <tabColor rgb="001F3864"/>
    <outlinePr summaryBelow="1" summaryRight="1"/>
    <pageSetUpPr fitToPage="1"/>
  </sheetPr>
  <dimension ref="A1:Q39"/>
  <sheetViews>
    <sheetView showGridLines="0" workbookViewId="0">
      <pane xSplit="3" ySplit="35" topLeftCell="D36" activePane="bottomRight" state="frozen"/>
      <selection pane="topRight"/>
      <selection pane="bottomLeft"/>
      <selection pane="bottomRight"/>
      <selection pane="bottomLeft"/>
      <selection pane="bottomRight" activeCell="A1" sqref="A1"/>
    </sheetView>
  </sheetViews>
  <sheetFormatPr baseColWidth="8" defaultRowHeight="15"/>
  <cols>
    <col width="24" customWidth="1" min="1" max="1"/>
    <col width="13" customWidth="1" min="2" max="2"/>
    <col width="26" customWidth="1" min="3" max="3"/>
    <col width="11" customWidth="1" min="4" max="4"/>
    <col width="10" customWidth="1" min="5" max="5"/>
    <col width="40" customWidth="1" min="6" max="6"/>
    <col width="13" customWidth="1" min="7" max="7"/>
    <col width="13" customWidth="1" min="8" max="8"/>
    <col width="13" customWidth="1" min="9" max="9"/>
    <col width="13" customWidth="1" min="10" max="10"/>
    <col width="13" customWidth="1" min="11" max="11"/>
    <col width="20" customWidth="1" min="12" max="12"/>
    <col width="12" customWidth="1" min="13" max="13"/>
    <col width="40" customWidth="1" min="14" max="14"/>
    <col width="40" customWidth="1" min="15" max="15"/>
    <col width="11" customWidth="1" min="16" max="16"/>
    <col width="90" customWidth="1" min="17" max="17"/>
  </cols>
  <sheetData>
    <row r="1" ht="19" customHeight="1">
      <c r="A1" s="1" t="inlineStr">
        <is>
          <t>4. Revenue</t>
        </is>
      </c>
    </row>
    <row r="2">
      <c r="A2" s="4" t="inlineStr">
        <is>
          <t>Master Industry Database  |  Indian Steel Industry  |  Data cutoff: 03-Aug-2026</t>
        </is>
      </c>
    </row>
    <row r="3">
      <c r="A3" s="3" t="inlineStr"/>
    </row>
    <row r="4">
      <c r="A4" s="4" t="inlineStr">
        <is>
          <t>OBJECTIVE</t>
        </is>
      </c>
    </row>
    <row r="5">
      <c r="A5" s="3" t="inlineStr">
        <is>
          <t>Consolidated revenue from operations for the coverage universe on a consistent, peer-comparable basis, with each issuer's own headline measure carried separately where it differs.</t>
        </is>
      </c>
    </row>
    <row r="6">
      <c r="A6" s="4" t="inlineStr">
        <is>
          <t>UNITS AND CURRENCY</t>
        </is>
      </c>
    </row>
    <row r="7">
      <c r="A7" s="3" t="inlineStr">
        <is>
          <t>Rs crore (Rs 10 million) for Indian reporters; US$ million for AM/NS India, which reports in dollars. The two are shown in separate blocks and are never summed.</t>
        </is>
      </c>
    </row>
    <row r="8">
      <c r="A8" s="4" t="inlineStr">
        <is>
          <t>COVERAGE AND HISTORICAL DEPTH</t>
        </is>
      </c>
    </row>
    <row r="9">
      <c r="A9" s="3" t="inlineStr">
        <is>
          <t>FY2022 to FY2026 for all 15 companies. FY2026 is the latest audited or filed year.</t>
        </is>
      </c>
    </row>
    <row r="10">
      <c r="A10" s="4" t="inlineStr">
        <is>
          <t>DATA FREQUENCY</t>
        </is>
      </c>
    </row>
    <row r="11">
      <c r="A11" s="3" t="inlineStr">
        <is>
          <t>Annual (fiscal year ending 31 March), except AM/NS India which is calendar.</t>
        </is>
      </c>
    </row>
    <row r="12">
      <c r="A12" s="4" t="inlineStr">
        <is>
          <t>SOURCE HIERARCHY APPLIED</t>
        </is>
      </c>
    </row>
    <row r="13">
      <c r="A13" s="3" t="inlineStr">
        <is>
          <t>Tier 1 first: issuer results releases, exchange-filed investor presentations, audited financial results and exchange-filed earnings call transcripts. Tier 3 aggregators of exchange filings are used only to extend the series backwards and every FY2026 figure so sourced has been reconciled to a Tier 1 or Tier 2 source or to the sum of the four reported quarters.</t>
        </is>
      </c>
    </row>
    <row r="14">
      <c r="A14" s="4" t="inlineStr">
        <is>
          <t>COLUMN RATIONALE</t>
        </is>
      </c>
    </row>
    <row r="15">
      <c r="A15" s="3" t="inlineStr">
        <is>
          <t>Revenue from Operations is the only construct comparable across the peer set: statutory, net of GST, per the audited or filed statement. Company-Headline Revenue exists because Jindal Steel leads with a 'Gross Revenue' measure that includes GST and other income; carrying both prevents an analyst reconciling to the wrong number (Conflict C02). The CAGR column is a live formula, not a hard-coded value, so it recalculates when a year is appended.</t>
        </is>
      </c>
    </row>
    <row r="16">
      <c r="A16" s="3" t="inlineStr"/>
    </row>
    <row r="17">
      <c r="A17" s="2" t="inlineStr">
        <is>
          <t>SECTION A - INDIAN RUPEE REPORTERS</t>
        </is>
      </c>
    </row>
    <row r="18" ht="30" customHeight="1">
      <c r="A18" s="8" t="inlineStr">
        <is>
          <t>Company</t>
        </is>
      </c>
      <c r="B18" s="7" t="inlineStr">
        <is>
          <t>Coverage Tier</t>
        </is>
      </c>
      <c r="C18" s="8" t="inlineStr">
        <is>
          <t>Metric</t>
        </is>
      </c>
      <c r="D18" s="7" t="inlineStr">
        <is>
          <t>Unit</t>
        </is>
      </c>
      <c r="E18" s="7" t="inlineStr">
        <is>
          <t>Currency</t>
        </is>
      </c>
      <c r="F18" s="7" t="inlineStr">
        <is>
          <t>Reporting Basis</t>
        </is>
      </c>
      <c r="G18" s="7" t="inlineStr">
        <is>
          <t>FY2022</t>
        </is>
      </c>
      <c r="H18" s="7" t="inlineStr">
        <is>
          <t>FY2023</t>
        </is>
      </c>
      <c r="I18" s="7" t="inlineStr">
        <is>
          <t>FY2024</t>
        </is>
      </c>
      <c r="J18" s="7" t="inlineStr">
        <is>
          <t>FY2025</t>
        </is>
      </c>
      <c r="K18" s="7" t="inlineStr">
        <is>
          <t>FY2026</t>
        </is>
      </c>
      <c r="L18" s="7" t="inlineStr">
        <is>
          <t>FY2026 Company-Headline Revenue (if different)</t>
        </is>
      </c>
      <c r="M18" s="7" t="inlineStr">
        <is>
          <t>FY22-FY26 CAGR</t>
        </is>
      </c>
      <c r="N18" s="7" t="inlineStr">
        <is>
          <t>Source ID</t>
        </is>
      </c>
      <c r="O18" s="7" t="inlineStr">
        <is>
          <t>Methodology</t>
        </is>
      </c>
      <c r="P18" s="7" t="inlineStr">
        <is>
          <t>Confidence</t>
        </is>
      </c>
      <c r="Q18" s="7" t="inlineStr">
        <is>
          <t>Notes</t>
        </is>
      </c>
    </row>
    <row r="19">
      <c r="A19" s="11" t="inlineStr">
        <is>
          <t>Tata Steel</t>
        </is>
      </c>
      <c r="B19" s="11" t="inlineStr">
        <is>
          <t>Core</t>
        </is>
      </c>
      <c r="C19" s="11" t="inlineStr">
        <is>
          <t>Revenue from operations</t>
        </is>
      </c>
      <c r="D19" s="11" t="inlineStr">
        <is>
          <t>Rs crore</t>
        </is>
      </c>
      <c r="E19" s="11" t="inlineStr">
        <is>
          <t>INR</t>
        </is>
      </c>
      <c r="F19" s="11" t="inlineStr">
        <is>
          <t>Consolidated</t>
        </is>
      </c>
      <c r="G19" s="14" t="n">
        <v>243959</v>
      </c>
      <c r="H19" s="14" t="n">
        <v>243353</v>
      </c>
      <c r="I19" s="14" t="n">
        <v>229171</v>
      </c>
      <c r="J19" s="14" t="n">
        <v>218543</v>
      </c>
      <c r="K19" s="14" t="n">
        <v>232140</v>
      </c>
      <c r="L19" s="15" t="n"/>
      <c r="M19" s="17">
        <f>IFERROR(IF(AND(ISNUMBER(G19),ISNUMBER(K19),G19&gt;0),(K19/G19)^(1/4)-1,""),"")</f>
        <v/>
      </c>
      <c r="N19" s="11" t="inlineStr">
        <is>
          <t>As reported; FY2026 verified against the issuer press release</t>
        </is>
      </c>
      <c r="O19" s="11" t="inlineStr">
        <is>
          <t>High</t>
        </is>
      </c>
      <c r="P19" s="11" t="inlineStr">
        <is>
          <t>FY2026 revenue of Rs 2,32,140 cr ties exactly to the issuer press release. Group turnover was ~USD 26bn. India revenue was Rs 1,40,302 cr; Netherlands EUR 6,028m; UK GBP 1,978m.</t>
        </is>
      </c>
    </row>
    <row r="20">
      <c r="A20" s="11" t="inlineStr">
        <is>
          <t>JSW Steel</t>
        </is>
      </c>
      <c r="B20" s="11" t="inlineStr">
        <is>
          <t>Core</t>
        </is>
      </c>
      <c r="C20" s="11" t="inlineStr">
        <is>
          <t>Revenue from operations</t>
        </is>
      </c>
      <c r="D20" s="11" t="inlineStr">
        <is>
          <t>Rs crore</t>
        </is>
      </c>
      <c r="E20" s="11" t="inlineStr">
        <is>
          <t>INR</t>
        </is>
      </c>
      <c r="F20" s="11" t="inlineStr">
        <is>
          <t>Consolidated</t>
        </is>
      </c>
      <c r="G20" s="14" t="n">
        <v>146371</v>
      </c>
      <c r="H20" s="14" t="n">
        <v>165960</v>
      </c>
      <c r="I20" s="14" t="n">
        <v>175006</v>
      </c>
      <c r="J20" s="14" t="n">
        <v>168824</v>
      </c>
      <c r="K20" s="14" t="n">
        <v>185470</v>
      </c>
      <c r="L20" s="15" t="n"/>
      <c r="M20" s="17">
        <f>IFERROR(IF(AND(ISNUMBER(G20),ISNUMBER(K20),G20&gt;0),(K20/G20)^(1/4)-1,""),"")</f>
        <v/>
      </c>
      <c r="N20" s="11" t="inlineStr">
        <is>
          <t>As reported; FY2026 verified against the issuer presentation</t>
        </is>
      </c>
      <c r="O20" s="11" t="inlineStr">
        <is>
          <t>High</t>
        </is>
      </c>
      <c r="P20" s="11" t="inlineStr">
        <is>
          <t>FY2026 of Rs 1,85,470 cr ties exactly. India operations contributed Rs 1,74,854 cr. Q4FY2026 revenue of Rs 51,180 cr was the highest ever quarter.</t>
        </is>
      </c>
    </row>
    <row r="21">
      <c r="A21" s="11" t="inlineStr">
        <is>
          <t>SAIL</t>
        </is>
      </c>
      <c r="B21" s="11" t="inlineStr">
        <is>
          <t>Core</t>
        </is>
      </c>
      <c r="C21" s="11" t="inlineStr">
        <is>
          <t>Revenue from operations</t>
        </is>
      </c>
      <c r="D21" s="11" t="inlineStr">
        <is>
          <t>Rs crore</t>
        </is>
      </c>
      <c r="E21" s="11" t="inlineStr">
        <is>
          <t>INR</t>
        </is>
      </c>
      <c r="F21" s="11" t="inlineStr">
        <is>
          <t>Consolidated</t>
        </is>
      </c>
      <c r="G21" s="14" t="n">
        <v>103477</v>
      </c>
      <c r="H21" s="14" t="n">
        <v>104448</v>
      </c>
      <c r="I21" s="14" t="n">
        <v>105378</v>
      </c>
      <c r="J21" s="14" t="n">
        <v>102479</v>
      </c>
      <c r="K21" s="14" t="n">
        <v>110811</v>
      </c>
      <c r="L21" s="15" t="n"/>
      <c r="M21" s="17">
        <f>IFERROR(IF(AND(ISNUMBER(G21),ISNUMBER(K21),G21&gt;0),(K21/G21)^(1/4)-1,""),"")</f>
        <v/>
      </c>
      <c r="N21" s="11" t="inlineStr">
        <is>
          <t>As reported; FY2026 verified against the audited consolidated statement</t>
        </is>
      </c>
      <c r="O21" s="11" t="inlineStr">
        <is>
          <t>High</t>
        </is>
      </c>
      <c r="P21" s="11" t="inlineStr">
        <is>
          <t>FY2026 of Rs 1,10,810.84 cr - highest ever. Standalone was Rs 1,10,810 cr, i.e. subsidiaries are immaterial to revenue. See Conflict C09 regarding the Ministry of Steel's Rs 1,01,716 cr FY2025 turnover measure.</t>
        </is>
      </c>
    </row>
    <row r="22">
      <c r="A22" s="11" t="inlineStr">
        <is>
          <t>Jindal Steel</t>
        </is>
      </c>
      <c r="B22" s="11" t="inlineStr">
        <is>
          <t>Core</t>
        </is>
      </c>
      <c r="C22" s="11" t="inlineStr">
        <is>
          <t>Revenue from operations</t>
        </is>
      </c>
      <c r="D22" s="11" t="inlineStr">
        <is>
          <t>Rs crore</t>
        </is>
      </c>
      <c r="E22" s="11" t="inlineStr">
        <is>
          <t>INR</t>
        </is>
      </c>
      <c r="F22" s="11" t="inlineStr">
        <is>
          <t>Consolidated</t>
        </is>
      </c>
      <c r="G22" s="14" t="n">
        <v>51166</v>
      </c>
      <c r="H22" s="14" t="n">
        <v>53212</v>
      </c>
      <c r="I22" s="14" t="n">
        <v>50354</v>
      </c>
      <c r="J22" s="14" t="n">
        <v>50129</v>
      </c>
      <c r="K22" s="14" t="n">
        <v>53225</v>
      </c>
      <c r="L22" s="14" t="n">
        <v>62412</v>
      </c>
      <c r="M22" s="17">
        <f>IFERROR(IF(AND(ISNUMBER(G22),ISNUMBER(K22),G22&gt;0),(K22/G22)^(1/4)-1,""),"")</f>
        <v/>
      </c>
      <c r="N22" s="11" t="inlineStr">
        <is>
          <t>As reported; FY2026 verified by summing the four reported quarters</t>
        </is>
      </c>
      <c r="O22" s="11" t="inlineStr">
        <is>
          <t>High</t>
        </is>
      </c>
      <c r="P22" s="11" t="inlineStr">
        <is>
          <t>COMPARABILITY WARNING: the company headlines 'Gross Revenue' of Rs 62,412 cr which INCLUDES GST and other income. The comparable statutory figure is Rs 53,225 cr, verified as 12,294 + 11,686 + 13,027 + 16,218. See Conflict C02.</t>
        </is>
      </c>
    </row>
    <row r="23">
      <c r="A23" s="11" t="inlineStr">
        <is>
          <t>Jindal Stainless</t>
        </is>
      </c>
      <c r="B23" s="11" t="inlineStr">
        <is>
          <t>Core</t>
        </is>
      </c>
      <c r="C23" s="11" t="inlineStr">
        <is>
          <t>Revenue from operations</t>
        </is>
      </c>
      <c r="D23" s="11" t="inlineStr">
        <is>
          <t>Rs crore</t>
        </is>
      </c>
      <c r="E23" s="11" t="inlineStr">
        <is>
          <t>INR</t>
        </is>
      </c>
      <c r="F23" s="11" t="inlineStr">
        <is>
          <t>Consolidated</t>
        </is>
      </c>
      <c r="G23" s="14" t="n">
        <v>32733</v>
      </c>
      <c r="H23" s="14" t="n">
        <v>35697</v>
      </c>
      <c r="I23" s="14" t="n">
        <v>38562</v>
      </c>
      <c r="J23" s="14" t="n">
        <v>39312</v>
      </c>
      <c r="K23" s="14" t="n">
        <v>42955</v>
      </c>
      <c r="L23" s="15" t="n"/>
      <c r="M23" s="17">
        <f>IFERROR(IF(AND(ISNUMBER(G23),ISNUMBER(K23),G23&gt;0),(K23/G23)^(1/4)-1,""),"")</f>
        <v/>
      </c>
      <c r="N23" s="11" t="inlineStr">
        <is>
          <t>As reported; FY2026 verified by summing the four reported quarters</t>
        </is>
      </c>
      <c r="O23" s="11" t="inlineStr">
        <is>
          <t>High</t>
        </is>
      </c>
      <c r="P23" s="11" t="inlineStr">
        <is>
          <t>FY2026 of Rs 42,955 cr verified as 10,207 + 10,893 + 10,518 + 11,337. Up 9% year on year on 8% volume growth.</t>
        </is>
      </c>
    </row>
    <row r="24">
      <c r="A24" s="11" t="inlineStr">
        <is>
          <t>RINL</t>
        </is>
      </c>
      <c r="B24" s="11" t="inlineStr">
        <is>
          <t>Core</t>
        </is>
      </c>
      <c r="C24" s="11" t="inlineStr">
        <is>
          <t>Turnover</t>
        </is>
      </c>
      <c r="D24" s="11" t="inlineStr">
        <is>
          <t>Rs crore</t>
        </is>
      </c>
      <c r="E24" s="11" t="inlineStr">
        <is>
          <t>INR</t>
        </is>
      </c>
      <c r="F24" s="11" t="inlineStr">
        <is>
          <t>Standalone (basis not specified by issuer)</t>
        </is>
      </c>
      <c r="G24" s="11" t="inlineStr">
        <is>
          <t>Data Not Publicly Available</t>
        </is>
      </c>
      <c r="H24" s="11" t="inlineStr">
        <is>
          <t>Data Not Publicly Available</t>
        </is>
      </c>
      <c r="I24" s="11" t="inlineStr">
        <is>
          <t>Data Not Publicly Available</t>
        </is>
      </c>
      <c r="J24" s="14" t="n">
        <v>18280</v>
      </c>
      <c r="K24" s="14" t="n">
        <v>22300</v>
      </c>
      <c r="L24" s="15" t="n"/>
      <c r="M24" s="17">
        <f>IFERROR(IF(AND(ISNUMBER(G24),ISNUMBER(K24),G24&gt;0),(K24/G24)^(1/4)-1,""),"")</f>
        <v/>
      </c>
      <c r="N24" s="11" t="inlineStr">
        <is>
          <t>As reported (approximate, rounded by the issuer)</t>
        </is>
      </c>
      <c r="O24" s="11" t="inlineStr">
        <is>
          <t>Medium</t>
        </is>
      </c>
      <c r="P24" s="11" t="inlineStr">
        <is>
          <t>The issuer release states turnover of 'over Rs 22,300 cr' in FY2026 against 'around Rs 18,280 cr' in FY2025, up 22%. Whether this is revenue from operations or a gross measure is not specified. Audited FY2026 statutory financials were not publicly available at the cutoff.</t>
        </is>
      </c>
    </row>
    <row r="25">
      <c r="A25" s="11" t="inlineStr">
        <is>
          <t>Shyam Metalics</t>
        </is>
      </c>
      <c r="B25" s="11" t="inlineStr">
        <is>
          <t>Supporting</t>
        </is>
      </c>
      <c r="C25" s="11" t="inlineStr">
        <is>
          <t>Revenue from operations</t>
        </is>
      </c>
      <c r="D25" s="11" t="inlineStr">
        <is>
          <t>Rs crore</t>
        </is>
      </c>
      <c r="E25" s="11" t="inlineStr">
        <is>
          <t>INR</t>
        </is>
      </c>
      <c r="F25" s="11" t="inlineStr">
        <is>
          <t>Consolidated</t>
        </is>
      </c>
      <c r="G25" s="14" t="n">
        <v>10394</v>
      </c>
      <c r="H25" s="14" t="n">
        <v>12658</v>
      </c>
      <c r="I25" s="14" t="n">
        <v>13195</v>
      </c>
      <c r="J25" s="14" t="n">
        <v>15138</v>
      </c>
      <c r="K25" s="14" t="n">
        <v>18552</v>
      </c>
      <c r="L25" s="15" t="n"/>
      <c r="M25" s="17">
        <f>IFERROR(IF(AND(ISNUMBER(G25),ISNUMBER(K25),G25&gt;0),(K25/G25)^(1/4)-1,""),"")</f>
        <v/>
      </c>
      <c r="N25" s="11" t="inlineStr">
        <is>
          <t>As reported; FY2026 cross-checked against reporting of the audited filing</t>
        </is>
      </c>
      <c r="O25" s="11" t="inlineStr">
        <is>
          <t>High</t>
        </is>
      </c>
      <c r="P25" s="11" t="inlineStr">
        <is>
          <t>FY2026 of Rs 18,552 cr, up 22%, confirmed by reporting of the 11-May-2026 audited results. Fastest revenue growth in the coverage universe in FY2026.</t>
        </is>
      </c>
    </row>
    <row r="26">
      <c r="A26" s="11" t="inlineStr">
        <is>
          <t>Godawari Power</t>
        </is>
      </c>
      <c r="B26" s="11" t="inlineStr">
        <is>
          <t>Supporting</t>
        </is>
      </c>
      <c r="C26" s="11" t="inlineStr">
        <is>
          <t>Revenue from operations</t>
        </is>
      </c>
      <c r="D26" s="11" t="inlineStr">
        <is>
          <t>Rs crore</t>
        </is>
      </c>
      <c r="E26" s="11" t="inlineStr">
        <is>
          <t>INR</t>
        </is>
      </c>
      <c r="F26" s="11" t="inlineStr">
        <is>
          <t>Consolidated</t>
        </is>
      </c>
      <c r="G26" s="14" t="n">
        <v>5397</v>
      </c>
      <c r="H26" s="14" t="n">
        <v>5745</v>
      </c>
      <c r="I26" s="14" t="n">
        <v>5445</v>
      </c>
      <c r="J26" s="14" t="n">
        <v>5370</v>
      </c>
      <c r="K26" s="14" t="n">
        <v>5381</v>
      </c>
      <c r="L26" s="15" t="n"/>
      <c r="M26" s="17">
        <f>IFERROR(IF(AND(ISNUMBER(G26),ISNUMBER(K26),G26&gt;0),(K26/G26)^(1/4)-1,""),"")</f>
        <v/>
      </c>
      <c r="N26" s="11" t="inlineStr">
        <is>
          <t>As reported (aggregator of filings)</t>
        </is>
      </c>
      <c r="O26" s="11" t="inlineStr">
        <is>
          <t>Medium</t>
        </is>
      </c>
      <c r="P26" s="11" t="inlineStr">
        <is>
          <t>FY2026 quarterly sum of 1,323 + 1,308 + 1,139 + 1,610 = 5,380 reconciles to the annual column of 5,381. Revenue has been broadly flat for four years while margins stayed above 20%.</t>
        </is>
      </c>
    </row>
    <row r="27">
      <c r="A27" s="11" t="inlineStr">
        <is>
          <t>APL Apollo</t>
        </is>
      </c>
      <c r="B27" s="11" t="inlineStr">
        <is>
          <t>Supporting</t>
        </is>
      </c>
      <c r="C27" s="11" t="inlineStr">
        <is>
          <t>Revenue from operations</t>
        </is>
      </c>
      <c r="D27" s="11" t="inlineStr">
        <is>
          <t>Rs crore</t>
        </is>
      </c>
      <c r="E27" s="11" t="inlineStr">
        <is>
          <t>INR</t>
        </is>
      </c>
      <c r="F27" s="11" t="inlineStr">
        <is>
          <t>Consolidated</t>
        </is>
      </c>
      <c r="G27" s="14" t="n">
        <v>13063</v>
      </c>
      <c r="H27" s="14" t="n">
        <v>16166</v>
      </c>
      <c r="I27" s="14" t="n">
        <v>18119</v>
      </c>
      <c r="J27" s="14" t="n">
        <v>20690</v>
      </c>
      <c r="K27" s="14" t="n">
        <v>23079</v>
      </c>
      <c r="L27" s="15" t="n"/>
      <c r="M27" s="17">
        <f>IFERROR(IF(AND(ISNUMBER(G27),ISNUMBER(K27),G27&gt;0),(K27/G27)^(1/4)-1,""),"")</f>
        <v/>
      </c>
      <c r="N27" s="11" t="inlineStr">
        <is>
          <t>As reported (aggregator of filings)</t>
        </is>
      </c>
      <c r="O27" s="11" t="inlineStr">
        <is>
          <t>Medium</t>
        </is>
      </c>
      <c r="P27" s="11" t="inlineStr">
        <is>
          <t>Downstream tube converter, not a steelmaker. Grew revenue every year across FY2022-FY2026, the only company in the universe to do so.</t>
        </is>
      </c>
    </row>
    <row r="28">
      <c r="A28" s="11" t="inlineStr">
        <is>
          <t>Mukand</t>
        </is>
      </c>
      <c r="B28" s="11" t="inlineStr">
        <is>
          <t>Supporting</t>
        </is>
      </c>
      <c r="C28" s="11" t="inlineStr">
        <is>
          <t>Revenue from operations</t>
        </is>
      </c>
      <c r="D28" s="11" t="inlineStr">
        <is>
          <t>Rs crore</t>
        </is>
      </c>
      <c r="E28" s="11" t="inlineStr">
        <is>
          <t>INR</t>
        </is>
      </c>
      <c r="F28" s="11" t="inlineStr">
        <is>
          <t>Consolidated</t>
        </is>
      </c>
      <c r="G28" s="14" t="n">
        <v>4643</v>
      </c>
      <c r="H28" s="14" t="n">
        <v>5568</v>
      </c>
      <c r="I28" s="14" t="n">
        <v>5175</v>
      </c>
      <c r="J28" s="14" t="n">
        <v>4890</v>
      </c>
      <c r="K28" s="14" t="n">
        <v>4890</v>
      </c>
      <c r="L28" s="15" t="n"/>
      <c r="M28" s="17">
        <f>IFERROR(IF(AND(ISNUMBER(G28),ISNUMBER(K28),G28&gt;0),(K28/G28)^(1/4)-1,""),"")</f>
        <v/>
      </c>
      <c r="N28" s="11" t="inlineStr">
        <is>
          <t>As reported (aggregator of filings)</t>
        </is>
      </c>
      <c r="O28" s="11" t="inlineStr">
        <is>
          <t>Medium</t>
        </is>
      </c>
      <c r="P28" s="11" t="inlineStr">
        <is>
          <t>FY2026 quarterly sum of 1,129 + 1,161 + 1,329 + 1,269 = 4,888 reconciles to the annual column. FY2025 and FY2026 revenue are coincidentally identical.</t>
        </is>
      </c>
    </row>
    <row r="29">
      <c r="A29" s="11" t="inlineStr">
        <is>
          <t>Gallantt</t>
        </is>
      </c>
      <c r="B29" s="11" t="inlineStr">
        <is>
          <t>Supporting</t>
        </is>
      </c>
      <c r="C29" s="11" t="inlineStr">
        <is>
          <t>Revenue from operations</t>
        </is>
      </c>
      <c r="D29" s="11" t="inlineStr">
        <is>
          <t>Rs crore</t>
        </is>
      </c>
      <c r="E29" s="11" t="inlineStr">
        <is>
          <t>INR</t>
        </is>
      </c>
      <c r="F29" s="11" t="inlineStr">
        <is>
          <t>Consolidated</t>
        </is>
      </c>
      <c r="G29" s="14" t="n">
        <v>3017</v>
      </c>
      <c r="H29" s="14" t="n">
        <v>4057</v>
      </c>
      <c r="I29" s="14" t="n">
        <v>4227</v>
      </c>
      <c r="J29" s="14" t="n">
        <v>4293</v>
      </c>
      <c r="K29" s="14" t="n">
        <v>4419</v>
      </c>
      <c r="L29" s="15" t="n"/>
      <c r="M29" s="17">
        <f>IFERROR(IF(AND(ISNUMBER(G29),ISNUMBER(K29),G29&gt;0),(K29/G29)^(1/4)-1,""),"")</f>
        <v/>
      </c>
      <c r="N29" s="11" t="inlineStr">
        <is>
          <t>As reported (aggregator of filings)</t>
        </is>
      </c>
      <c r="O29" s="11" t="inlineStr">
        <is>
          <t>Medium</t>
        </is>
      </c>
      <c r="P29" s="11" t="inlineStr">
        <is>
          <t>Annual column used. The sum of the four FY2026 quarters is Rs 4,438 cr, a Rs 19 cr difference - see Conflict C13. Pre-merger periods are not like-for-like.</t>
        </is>
      </c>
    </row>
    <row r="30">
      <c r="A30" s="11" t="inlineStr">
        <is>
          <t>Uttam Galva</t>
        </is>
      </c>
      <c r="B30" s="11" t="inlineStr">
        <is>
          <t>Supporting</t>
        </is>
      </c>
      <c r="C30" s="11" t="inlineStr">
        <is>
          <t>Revenue from operations</t>
        </is>
      </c>
      <c r="D30" s="11" t="inlineStr">
        <is>
          <t>Rs crore</t>
        </is>
      </c>
      <c r="E30" s="11" t="inlineStr">
        <is>
          <t>INR</t>
        </is>
      </c>
      <c r="F30" s="11" t="inlineStr">
        <is>
          <t>Not applicable - delisted</t>
        </is>
      </c>
      <c r="G30" s="14" t="n">
        <v>840</v>
      </c>
      <c r="H30" s="11" t="inlineStr">
        <is>
          <t>Data Not Publicly Available</t>
        </is>
      </c>
      <c r="I30" s="11" t="inlineStr">
        <is>
          <t>Data Not Publicly Available</t>
        </is>
      </c>
      <c r="J30" s="11" t="inlineStr">
        <is>
          <t>Data Not Publicly Available</t>
        </is>
      </c>
      <c r="K30" s="11" t="inlineStr">
        <is>
          <t>Data Not Publicly Available</t>
        </is>
      </c>
      <c r="L30" s="15" t="n"/>
      <c r="M30" s="17">
        <f>IFERROR(IF(AND(ISNUMBER(G30),ISNUMBER(K30),G30&gt;0),(K30/G30)^(1/4)-1,""),"")</f>
        <v/>
      </c>
      <c r="N30" s="11" t="inlineStr">
        <is>
          <t>Not applicable</t>
        </is>
      </c>
      <c r="O30" s="11" t="inlineStr">
        <is>
          <t>High</t>
        </is>
      </c>
      <c r="P30" s="11" t="inlineStr">
        <is>
          <t>Delisted 08-Dec-2022 following the NCLT-approved resolution plan of 14-Oct-2022. No public financial statements from FY2023 onwards. FY2022 shown as the last publicly available period.</t>
        </is>
      </c>
    </row>
    <row r="31">
      <c r="A31" s="11" t="inlineStr">
        <is>
          <t>Electrosteel / ESL</t>
        </is>
      </c>
      <c r="B31" s="11" t="inlineStr">
        <is>
          <t>Supporting</t>
        </is>
      </c>
      <c r="C31" s="11" t="inlineStr">
        <is>
          <t>Revenue from operations</t>
        </is>
      </c>
      <c r="D31" s="11" t="inlineStr">
        <is>
          <t>Rs crore</t>
        </is>
      </c>
      <c r="E31" s="11" t="inlineStr">
        <is>
          <t>INR</t>
        </is>
      </c>
      <c r="F31" s="11" t="inlineStr">
        <is>
          <t>Not applicable - delisted</t>
        </is>
      </c>
      <c r="G31" s="11" t="inlineStr">
        <is>
          <t>Data Not Publicly Available</t>
        </is>
      </c>
      <c r="H31" s="11" t="inlineStr">
        <is>
          <t>Data Not Publicly Available</t>
        </is>
      </c>
      <c r="I31" s="11" t="inlineStr">
        <is>
          <t>Data Not Publicly Available</t>
        </is>
      </c>
      <c r="J31" s="11" t="inlineStr">
        <is>
          <t>Data Not Publicly Available</t>
        </is>
      </c>
      <c r="K31" s="11" t="inlineStr">
        <is>
          <t>Data Not Publicly Available</t>
        </is>
      </c>
      <c r="L31" s="15" t="n"/>
      <c r="M31" s="17">
        <f>IFERROR(IF(AND(ISNUMBER(G31),ISNUMBER(K31),G31&gt;0),(K31/G31)^(1/4)-1,""),"")</f>
        <v/>
      </c>
      <c r="N31" s="11" t="inlineStr">
        <is>
          <t>Not applicable</t>
        </is>
      </c>
      <c r="O31" s="11" t="inlineStr">
        <is>
          <t>High</t>
        </is>
      </c>
      <c r="P31" s="11" t="inlineStr">
        <is>
          <t>Equity delisted following IBC resolution; now a Vedanta subsidiary. Vedanta's Q4/FY26 press release does not disclose a separate ESL revenue line. The FY2026 ESL annual report was not publicly available at the cutoff.</t>
        </is>
      </c>
    </row>
    <row r="32">
      <c r="A32" s="11" t="inlineStr">
        <is>
          <t>Kirloskar Ferrous</t>
        </is>
      </c>
      <c r="B32" s="11" t="inlineStr">
        <is>
          <t>Supporting</t>
        </is>
      </c>
      <c r="C32" s="11" t="inlineStr">
        <is>
          <t>Revenue from operations</t>
        </is>
      </c>
      <c r="D32" s="11" t="inlineStr">
        <is>
          <t>Rs crore</t>
        </is>
      </c>
      <c r="E32" s="11" t="inlineStr">
        <is>
          <t>INR</t>
        </is>
      </c>
      <c r="F32" s="11" t="inlineStr">
        <is>
          <t>Consolidated</t>
        </is>
      </c>
      <c r="G32" s="14" t="n">
        <v>3748</v>
      </c>
      <c r="H32" s="14" t="n">
        <v>6417</v>
      </c>
      <c r="I32" s="14" t="n">
        <v>6146</v>
      </c>
      <c r="J32" s="14" t="n">
        <v>6564</v>
      </c>
      <c r="K32" s="14" t="n">
        <v>6889</v>
      </c>
      <c r="L32" s="15" t="n"/>
      <c r="M32" s="17">
        <f>IFERROR(IF(AND(ISNUMBER(G32),ISNUMBER(K32),G32&gt;0),(K32/G32)^(1/4)-1,""),"")</f>
        <v/>
      </c>
      <c r="N32" s="11" t="inlineStr">
        <is>
          <t>As reported (aggregator of filings)</t>
        </is>
      </c>
      <c r="O32" s="11" t="inlineStr">
        <is>
          <t>Medium</t>
        </is>
      </c>
      <c r="P32" s="11" t="inlineStr">
        <is>
          <t>FY2026 quarterly sum of 1,698 + 1,755 + 1,618 + 1,817 = 6,888 reconciles to the annual column. The FY2022 to FY2023 step-up reflects the ISMT consolidation.</t>
        </is>
      </c>
    </row>
    <row r="34">
      <c r="A34" s="2" t="inlineStr">
        <is>
          <t>SECTION B - US DOLLAR REPORTER (AM/NS INDIA)</t>
        </is>
      </c>
    </row>
    <row r="35" ht="30" customHeight="1">
      <c r="A35" s="8" t="inlineStr">
        <is>
          <t>Company</t>
        </is>
      </c>
      <c r="B35" s="7" t="inlineStr">
        <is>
          <t>Coverage Tier</t>
        </is>
      </c>
      <c r="C35" s="8" t="inlineStr">
        <is>
          <t>Metric</t>
        </is>
      </c>
      <c r="D35" s="7" t="inlineStr">
        <is>
          <t>Unit</t>
        </is>
      </c>
      <c r="E35" s="7" t="inlineStr">
        <is>
          <t>Currency</t>
        </is>
      </c>
      <c r="F35" s="7" t="inlineStr">
        <is>
          <t>Reporting Basis</t>
        </is>
      </c>
      <c r="G35" s="7" t="inlineStr">
        <is>
          <t>FY2022</t>
        </is>
      </c>
      <c r="H35" s="7" t="inlineStr">
        <is>
          <t>FY2023</t>
        </is>
      </c>
      <c r="I35" s="7" t="inlineStr">
        <is>
          <t>FY2024</t>
        </is>
      </c>
      <c r="J35" s="7" t="inlineStr">
        <is>
          <t>FY2025</t>
        </is>
      </c>
      <c r="K35" s="7" t="inlineStr">
        <is>
          <t>FY2026</t>
        </is>
      </c>
      <c r="L35" s="7" t="inlineStr">
        <is>
          <t>FY2026 Company-Headline Revenue (if different)</t>
        </is>
      </c>
      <c r="M35" s="7" t="inlineStr">
        <is>
          <t>FY22-FY26 CAGR</t>
        </is>
      </c>
      <c r="N35" s="7" t="inlineStr">
        <is>
          <t>Source ID</t>
        </is>
      </c>
      <c r="O35" s="7" t="inlineStr">
        <is>
          <t>Methodology</t>
        </is>
      </c>
      <c r="P35" s="7" t="inlineStr">
        <is>
          <t>Confidence</t>
        </is>
      </c>
      <c r="Q35" s="7" t="inlineStr">
        <is>
          <t>Notes</t>
        </is>
      </c>
    </row>
    <row r="36">
      <c r="A36" s="11" t="inlineStr">
        <is>
          <t>AM/NS India</t>
        </is>
      </c>
      <c r="B36" s="11" t="inlineStr">
        <is>
          <t>Core</t>
        </is>
      </c>
      <c r="C36" s="11" t="inlineStr">
        <is>
          <t>Sales</t>
        </is>
      </c>
      <c r="D36" s="11" t="inlineStr">
        <is>
          <t>US$ m</t>
        </is>
      </c>
      <c r="E36" s="11" t="inlineStr">
        <is>
          <t>USD</t>
        </is>
      </c>
      <c r="F36" s="11" t="inlineStr">
        <is>
          <t>100% basis, calendar year</t>
        </is>
      </c>
      <c r="G36" s="11" t="inlineStr">
        <is>
          <t>Data Not Publicly Available</t>
        </is>
      </c>
      <c r="H36" s="11" t="inlineStr">
        <is>
          <t>Data Not Publicly Available</t>
        </is>
      </c>
      <c r="I36" s="11" t="inlineStr">
        <is>
          <t>Data Not Publicly Available</t>
        </is>
      </c>
      <c r="J36" s="14" t="n">
        <v>6515</v>
      </c>
      <c r="K36" s="14" t="n">
        <v>6026</v>
      </c>
      <c r="L36" s="15" t="n"/>
      <c r="M36" s="11" t="inlineStr">
        <is>
          <t>S13</t>
        </is>
      </c>
      <c r="N36" s="11" t="inlineStr">
        <is>
          <t>As reported</t>
        </is>
      </c>
      <c r="O36" s="11" t="inlineStr">
        <is>
          <t>High</t>
        </is>
      </c>
      <c r="P36" s="11" t="inlineStr">
        <is>
          <t>CALENDAR YEARS: the FY2025 column holds CY2024 and the FY2026 column holds CY2025. Sales fell 7.5% in CY2025 on lower average selling prices despite broadly flat shipments.</t>
        </is>
      </c>
    </row>
    <row r="37">
      <c r="A37" s="11" t="inlineStr">
        <is>
          <t>AM/NS India</t>
        </is>
      </c>
      <c r="B37" s="11" t="inlineStr">
        <is>
          <t>Core</t>
        </is>
      </c>
      <c r="C37" s="11" t="inlineStr">
        <is>
          <t>Sales</t>
        </is>
      </c>
      <c r="D37" s="11" t="inlineStr">
        <is>
          <t>US$ m</t>
        </is>
      </c>
      <c r="E37" s="11" t="inlineStr">
        <is>
          <t>USD</t>
        </is>
      </c>
      <c r="F37" s="11" t="inlineStr">
        <is>
          <t>100% basis, derived fiscal year</t>
        </is>
      </c>
      <c r="G37" s="11" t="inlineStr">
        <is>
          <t>Data Not Publicly Available</t>
        </is>
      </c>
      <c r="H37" s="11" t="inlineStr">
        <is>
          <t>Data Not Publicly Available</t>
        </is>
      </c>
      <c r="I37" s="11" t="inlineStr">
        <is>
          <t>Data Not Publicly Available</t>
        </is>
      </c>
      <c r="J37" s="11" t="inlineStr">
        <is>
          <t>Data Not Publicly Available</t>
        </is>
      </c>
      <c r="K37" s="14" t="n">
        <v>6196</v>
      </c>
      <c r="L37" s="15" t="n"/>
      <c r="M37" s="11" t="inlineStr">
        <is>
          <t>S13, S14</t>
        </is>
      </c>
      <c r="N37" s="11" t="inlineStr">
        <is>
          <t>Derived - sum of calendar quarters</t>
        </is>
      </c>
      <c r="O37" s="11" t="inlineStr">
        <is>
          <t>Medium</t>
        </is>
      </c>
      <c r="P37" s="11" t="inlineStr">
        <is>
          <t>FY2026 derived as 1,489 + 1,496 + 1,593 + 1,618. Not a company-reported fiscal-year figure - see Conflict C16. 2Q CY2026 sales were USD 1.66bn, up 11.3% year on year.</t>
        </is>
      </c>
    </row>
    <row r="39">
      <c r="A39" s="13" t="inlineStr">
        <is>
          <t>FY2026 revenue for Tata Steel, JSW Steel and SAIL ties exactly to the issuer results release. Jindal Steel and Jindal Stainless FY2026 revenue was verified by summing the four reported quarters. Do not add Section A and Section B: different currencies and, for AM/NS India, a different twelve-month period.</t>
        </is>
      </c>
    </row>
  </sheetData>
  <printOptions horizontalCentered="1"/>
  <pageMargins left="0.75" right="0.75" top="1" bottom="1" header="0.5" footer="0.5"/>
  <pageSetup orientation="landscape" fitToHeight="0" fitToWidth="1"/>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tabColor rgb="001F3864"/>
    <outlinePr summaryBelow="1" summaryRight="1"/>
    <pageSetUpPr fitToPage="1"/>
  </sheetPr>
  <dimension ref="A1:T39"/>
  <sheetViews>
    <sheetView showGridLines="0" workbookViewId="0">
      <pane xSplit="6" ySplit="35" topLeftCell="G36" activePane="bottomRight" state="frozen"/>
      <selection pane="topRight"/>
      <selection pane="bottomLeft"/>
      <selection pane="bottomRight"/>
      <selection pane="bottomLeft"/>
      <selection pane="bottomRight" activeCell="A1" sqref="A1"/>
    </sheetView>
  </sheetViews>
  <sheetFormatPr baseColWidth="8" defaultRowHeight="15"/>
  <cols>
    <col width="24" customWidth="1" min="1" max="1"/>
    <col width="13" customWidth="1" min="2" max="2"/>
    <col width="11" customWidth="1" min="3" max="3"/>
    <col width="10" customWidth="1" min="4" max="4"/>
    <col width="46" customWidth="1" min="5" max="5"/>
    <col width="56" customWidth="1" min="6" max="6"/>
    <col width="20"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20" customWidth="1" min="15" max="15"/>
    <col width="15" customWidth="1" min="16" max="16"/>
    <col width="40" customWidth="1" min="17" max="17"/>
    <col width="34" customWidth="1" min="18" max="18"/>
    <col width="11" customWidth="1" min="19" max="19"/>
    <col width="90" customWidth="1" min="20" max="20"/>
  </cols>
  <sheetData>
    <row r="1" ht="19" customHeight="1">
      <c r="A1" s="1" t="inlineStr">
        <is>
          <t>5. EBITDA</t>
        </is>
      </c>
    </row>
    <row r="2">
      <c r="A2" s="4" t="inlineStr">
        <is>
          <t>Master Industry Database  |  Indian Steel Industry  |  Data cutoff: 03-Aug-2026</t>
        </is>
      </c>
    </row>
    <row r="3">
      <c r="A3" s="3" t="inlineStr"/>
    </row>
    <row r="4">
      <c r="A4" s="4" t="inlineStr">
        <is>
          <t>OBJECTIVE</t>
        </is>
      </c>
    </row>
    <row r="5">
      <c r="A5" s="3" t="inlineStr">
        <is>
          <t>EBITDA on two bases for every company: as reported by the issuer, and standardised so that the peer set is genuinely comparable. This dual presentation is not redundancy - it is required, because the companies in this universe do not define EBITDA the same way.</t>
        </is>
      </c>
    </row>
    <row r="6">
      <c r="A6" s="4" t="inlineStr">
        <is>
          <t>UNITS AND CURRENCY</t>
        </is>
      </c>
    </row>
    <row r="7">
      <c r="A7" s="3" t="inlineStr">
        <is>
          <t>Rs crore for Indian reporters; US$ million for AM/NS India. Margin in per cent.</t>
        </is>
      </c>
    </row>
    <row r="8">
      <c r="A8" s="4" t="inlineStr">
        <is>
          <t>COVERAGE AND HISTORICAL DEPTH</t>
        </is>
      </c>
    </row>
    <row r="9">
      <c r="A9" s="3" t="inlineStr">
        <is>
          <t>Reported: FY2025-FY2026, the periods for which issuer disclosure was obtained. Standardised: FY2022-FY2026. All 15 companies.</t>
        </is>
      </c>
    </row>
    <row r="10">
      <c r="A10" s="4" t="inlineStr">
        <is>
          <t>DATA FREQUENCY</t>
        </is>
      </c>
    </row>
    <row r="11">
      <c r="A11" s="3" t="inlineStr">
        <is>
          <t>Annual (fiscal year), except AM/NS India which is calendar.</t>
        </is>
      </c>
    </row>
    <row r="12">
      <c r="A12" s="4" t="inlineStr">
        <is>
          <t>SOURCE HIERARCHY APPLIED</t>
        </is>
      </c>
    </row>
    <row r="13">
      <c r="A13" s="3" t="inlineStr">
        <is>
          <t>Tier 1 first: issuer results releases, exchange-filed investor presentations, audited financial results and exchange-filed earnings call transcripts. Tier 3 aggregators of exchange filings are used only to extend the series backwards and every FY2026 figure so sourced has been reconciled to a Tier 1 or Tier 2 source or to the sum of the four reported quarters.</t>
        </is>
      </c>
    </row>
    <row r="14">
      <c r="A14" s="4" t="inlineStr">
        <is>
          <t>COLUMN RATIONALE</t>
        </is>
      </c>
    </row>
    <row r="15">
      <c r="A15" s="3" t="inlineStr">
        <is>
          <t>EBITDA - As Reported is what the market quotes and what guidance is given against, so it must be present. EBITDA - Standardised is revenue from operations less operating expenses, excluding other income, finance cost, depreciation and amortisation, exceptional items and share of profit of joint ventures. 'Other Income Included In Reported EBITDA?' evidences the reconciliation between the two and turns an unexplained variance into a documented definitional difference. Shyam Metalics includes other income (Rs 2,333 cr plus Rs 204 cr equals the reported Rs 2,537 cr, exactly); Jindal Stainless does not (Rs 5,560 cr reported against Rs 5,561 cr standardised). The memo revenue column is present so that the margin is a live in-sheet formula rather than a hard-coded number.</t>
        </is>
      </c>
    </row>
    <row r="16">
      <c r="A16" s="3" t="inlineStr"/>
    </row>
    <row r="17">
      <c r="A17" s="2" t="inlineStr">
        <is>
          <t>SECTION A - INDIAN RUPEE REPORTERS</t>
        </is>
      </c>
    </row>
    <row r="18" ht="30" customHeight="1">
      <c r="A18" s="8" t="inlineStr">
        <is>
          <t>Company</t>
        </is>
      </c>
      <c r="B18" s="7" t="inlineStr">
        <is>
          <t>Coverage Tier</t>
        </is>
      </c>
      <c r="C18" s="7" t="inlineStr">
        <is>
          <t>Unit</t>
        </is>
      </c>
      <c r="D18" s="7" t="inlineStr">
        <is>
          <t>Currency</t>
        </is>
      </c>
      <c r="E18" s="8" t="inlineStr">
        <is>
          <t>Reporting Basis</t>
        </is>
      </c>
      <c r="F18" s="8" t="inlineStr">
        <is>
          <t>EBITDA Definition Used By Company</t>
        </is>
      </c>
      <c r="G18" s="7" t="inlineStr">
        <is>
          <t>Other Income Included In Reported EBITDA?</t>
        </is>
      </c>
      <c r="H18" s="7" t="inlineStr">
        <is>
          <t>Reported FY2025</t>
        </is>
      </c>
      <c r="I18" s="7" t="inlineStr">
        <is>
          <t>Reported FY2026</t>
        </is>
      </c>
      <c r="J18" s="7" t="inlineStr">
        <is>
          <t>Standardised FY2022</t>
        </is>
      </c>
      <c r="K18" s="7" t="inlineStr">
        <is>
          <t>Standardised FY2023</t>
        </is>
      </c>
      <c r="L18" s="7" t="inlineStr">
        <is>
          <t>Standardised FY2024</t>
        </is>
      </c>
      <c r="M18" s="7" t="inlineStr">
        <is>
          <t>Standardised FY2025</t>
        </is>
      </c>
      <c r="N18" s="7" t="inlineStr">
        <is>
          <t>Standardised FY2026</t>
        </is>
      </c>
      <c r="O18" s="7" t="inlineStr">
        <is>
          <t>FY2026 Revenue from Operations (memo)</t>
        </is>
      </c>
      <c r="P18" s="7" t="inlineStr">
        <is>
          <t>Standardised FY2026 Margin</t>
        </is>
      </c>
      <c r="Q18" s="7" t="inlineStr">
        <is>
          <t>Source ID</t>
        </is>
      </c>
      <c r="R18" s="7" t="inlineStr">
        <is>
          <t>Methodology</t>
        </is>
      </c>
      <c r="S18" s="7" t="inlineStr">
        <is>
          <t>Confidence</t>
        </is>
      </c>
      <c r="T18" s="7" t="inlineStr">
        <is>
          <t>Notes</t>
        </is>
      </c>
    </row>
    <row r="19">
      <c r="A19" s="11" t="inlineStr">
        <is>
          <t>Tata Steel</t>
        </is>
      </c>
      <c r="B19" s="11" t="inlineStr">
        <is>
          <t>Core</t>
        </is>
      </c>
      <c r="C19" s="11" t="inlineStr">
        <is>
          <t>Rs crore</t>
        </is>
      </c>
      <c r="D19" s="11" t="inlineStr">
        <is>
          <t>INR</t>
        </is>
      </c>
      <c r="E19" s="11" t="inlineStr">
        <is>
          <t>Consolidated</t>
        </is>
      </c>
      <c r="F19" s="11" t="inlineStr">
        <is>
          <t>Company-reported consolidated EBITDA; also discloses an Adjusted EBITDA excluding FX movement on intercompany debt and receivables</t>
        </is>
      </c>
      <c r="G19" s="11" t="inlineStr">
        <is>
          <t>Partly</t>
        </is>
      </c>
      <c r="H19" s="10" t="n">
        <v>25802</v>
      </c>
      <c r="I19" s="10" t="n">
        <v>34848</v>
      </c>
      <c r="J19" s="10" t="n">
        <v>63490</v>
      </c>
      <c r="K19" s="10" t="n">
        <v>32300</v>
      </c>
      <c r="L19" s="10" t="n">
        <v>22248</v>
      </c>
      <c r="M19" s="10" t="n">
        <v>25298</v>
      </c>
      <c r="N19" s="10" t="n">
        <v>34352</v>
      </c>
      <c r="O19" s="10" t="n">
        <v>232140</v>
      </c>
      <c r="P19" s="17">
        <f>IFERROR(IF(AND(ISNUMBER(N19),ISNUMBER(O19),O19&gt;0),N19/O19,""),"")</f>
        <v/>
      </c>
      <c r="Q19" s="11" t="inlineStr">
        <is>
          <t>As reported and cross-checked</t>
        </is>
      </c>
      <c r="R19" s="11" t="inlineStr">
        <is>
          <t>High</t>
        </is>
      </c>
      <c r="S19" s="11" t="inlineStr">
        <is>
          <t>Reported FY2026 EBITDA of Rs 34,848 cr, up 35%. Adjusted EBITDA was Rs 34,640 cr. India EBITDA Rs 34,272 cr at a 24% margin; Netherlands EUR 267m; UK a loss of GBP 217m. Cost transformation delivered ~Rs 10,868 cr of benefit and margin expanded 320bps. The Rs 496 cr gap to standardised reflects other operating items.</t>
        </is>
      </c>
    </row>
    <row r="20">
      <c r="A20" s="11" t="inlineStr">
        <is>
          <t>JSW Steel</t>
        </is>
      </c>
      <c r="B20" s="11" t="inlineStr">
        <is>
          <t>Core</t>
        </is>
      </c>
      <c r="C20" s="11" t="inlineStr">
        <is>
          <t>Rs crore</t>
        </is>
      </c>
      <c r="D20" s="11" t="inlineStr">
        <is>
          <t>INR</t>
        </is>
      </c>
      <c r="E20" s="11" t="inlineStr">
        <is>
          <t>Consolidated</t>
        </is>
      </c>
      <c r="F20" s="11" t="inlineStr">
        <is>
          <t>Company-reported EBITDA; also discloses an Adjusted EBITDA excluding unrealised FX on long-term borrowings net of unrealised FX on intercompany receivables</t>
        </is>
      </c>
      <c r="G20" s="11" t="inlineStr">
        <is>
          <t>Partly</t>
        </is>
      </c>
      <c r="H20" s="10" t="n">
        <v>22904</v>
      </c>
      <c r="I20" s="10" t="n">
        <v>29821</v>
      </c>
      <c r="J20" s="10" t="n">
        <v>39114</v>
      </c>
      <c r="K20" s="10" t="n">
        <v>18470</v>
      </c>
      <c r="L20" s="10" t="n">
        <v>28157</v>
      </c>
      <c r="M20" s="10" t="n">
        <v>22725</v>
      </c>
      <c r="N20" s="10" t="n">
        <v>29464</v>
      </c>
      <c r="O20" s="10" t="n">
        <v>185470</v>
      </c>
      <c r="P20" s="17">
        <f>IFERROR(IF(AND(ISNUMBER(N20),ISNUMBER(O20),O20&gt;0),N20/O20,""),"")</f>
        <v/>
      </c>
      <c r="Q20" s="11" t="inlineStr">
        <is>
          <t>As reported and cross-checked</t>
        </is>
      </c>
      <c r="R20" s="11" t="inlineStr">
        <is>
          <t>High</t>
        </is>
      </c>
      <c r="S20" s="11" t="inlineStr">
        <is>
          <t>Reported FY2026 EBITDA of Rs 29,821 cr; Adjusted EBITDA Rs 32,048 cr (FY2025: Rs 22,964 cr). India operations reported Rs 29,240 cr. Q4FY2026 reported EBITDA Rs 8,634 cr at a 16.9% margin. FY2026 PAT of Rs 25,508 cr includes an Rs 18,051 cr gain on the BPSL slump sale; normalised PAT excluding exceptionals was Rs 8,698 cr.</t>
        </is>
      </c>
    </row>
    <row r="21">
      <c r="A21" s="11" t="inlineStr">
        <is>
          <t>SAIL</t>
        </is>
      </c>
      <c r="B21" s="11" t="inlineStr">
        <is>
          <t>Core</t>
        </is>
      </c>
      <c r="C21" s="11" t="inlineStr">
        <is>
          <t>Rs crore</t>
        </is>
      </c>
      <c r="D21" s="11" t="inlineStr">
        <is>
          <t>INR</t>
        </is>
      </c>
      <c r="E21" s="11" t="inlineStr">
        <is>
          <t>Reported EBITDA is STANDALONE; standardised series is consolidated</t>
        </is>
      </c>
      <c r="F21" s="11" t="inlineStr">
        <is>
          <t>Company-reported EBITDA disclosed on a standalone basis in the results press release</t>
        </is>
      </c>
      <c r="G21" s="11" t="inlineStr">
        <is>
          <t>Yes (in the consolidated derivation)</t>
        </is>
      </c>
      <c r="H21" s="10" t="n">
        <v>11764</v>
      </c>
      <c r="I21" s="10" t="n">
        <v>13146</v>
      </c>
      <c r="J21" s="10" t="n">
        <v>21363</v>
      </c>
      <c r="K21" s="10" t="n">
        <v>8038</v>
      </c>
      <c r="L21" s="10" t="n">
        <v>11149</v>
      </c>
      <c r="M21" s="10" t="n">
        <v>10690</v>
      </c>
      <c r="N21" s="10" t="n">
        <v>12000</v>
      </c>
      <c r="O21" s="10" t="n">
        <v>110811</v>
      </c>
      <c r="P21" s="17">
        <f>IFERROR(IF(AND(ISNUMBER(N21),ISNUMBER(O21),O21&gt;0),N21/O21,""),"")</f>
        <v/>
      </c>
      <c r="Q21" s="11" t="inlineStr">
        <is>
          <t>As reported and cross-checked</t>
        </is>
      </c>
      <c r="R21" s="11" t="inlineStr">
        <is>
          <t>High</t>
        </is>
      </c>
      <c r="S21" s="11" t="inlineStr">
        <is>
          <t>BASIS MISMATCH - handle with care. Rs 13,146 cr is the FY2026 STANDALONE headline. Consolidated EBITDA including other income derives to Rs 12,894 cr (profit before exceptionals, JV share and tax of Rs 4,748 cr plus finance cost Rs 2,158 cr plus depreciation Rs 5,988 cr). Excluding other income of Rs 894 cr gives the standardised Rs 12,000 cr. All three reconcile - see Conflict C09. Do not pair a consolidated enterprise value with the standalone headline.</t>
        </is>
      </c>
    </row>
    <row r="22">
      <c r="A22" s="11" t="inlineStr">
        <is>
          <t>Jindal Steel</t>
        </is>
      </c>
      <c r="B22" s="11" t="inlineStr">
        <is>
          <t>Core</t>
        </is>
      </c>
      <c r="C22" s="11" t="inlineStr">
        <is>
          <t>Rs crore</t>
        </is>
      </c>
      <c r="D22" s="11" t="inlineStr">
        <is>
          <t>INR</t>
        </is>
      </c>
      <c r="E22" s="11" t="inlineStr">
        <is>
          <t>Consolidated</t>
        </is>
      </c>
      <c r="F22" s="11" t="inlineStr">
        <is>
          <t>Company headlines an Adjusted EBITDA that strips out FX gains</t>
        </is>
      </c>
      <c r="G22" s="11" t="inlineStr">
        <is>
          <t>No</t>
        </is>
      </c>
      <c r="H22" s="10" t="n">
        <v>9339</v>
      </c>
      <c r="I22" s="10" t="n">
        <v>9660</v>
      </c>
      <c r="J22" s="10" t="n">
        <v>15559</v>
      </c>
      <c r="K22" s="10" t="n">
        <v>9942</v>
      </c>
      <c r="L22" s="10" t="n">
        <v>10202</v>
      </c>
      <c r="M22" s="10" t="n">
        <v>9488</v>
      </c>
      <c r="N22" s="10" t="n">
        <v>9644</v>
      </c>
      <c r="O22" s="10" t="n">
        <v>53225</v>
      </c>
      <c r="P22" s="17">
        <f>IFERROR(IF(AND(ISNUMBER(N22),ISNUMBER(O22),O22&gt;0),N22/O22,""),"")</f>
        <v/>
      </c>
      <c r="Q22" s="11" t="inlineStr">
        <is>
          <t>As reported and cross-checked</t>
        </is>
      </c>
      <c r="R22" s="11" t="inlineStr">
        <is>
          <t>High</t>
        </is>
      </c>
      <c r="S22" s="11" t="inlineStr">
        <is>
          <t>Company-headlined Adjusted EBITDA was Rs 9,099 cr for FY2026 (FY2025: Rs 9,339 cr), adjusted for an FX gain of Rs 561 cr. Adding the FX gain back gives reported EBITDA of Rs 9,660 cr, which sits within Rs 16 cr of the standardised Rs 9,644 cr - a clean reconciliation. EBITDA fell 3% despite 14% volume growth, i.e. FY2026 was a price-and-cost-driven margin compression year.</t>
        </is>
      </c>
    </row>
    <row r="23">
      <c r="A23" s="11" t="inlineStr">
        <is>
          <t>Jindal Stainless</t>
        </is>
      </c>
      <c r="B23" s="11" t="inlineStr">
        <is>
          <t>Core</t>
        </is>
      </c>
      <c r="C23" s="11" t="inlineStr">
        <is>
          <t>Rs crore</t>
        </is>
      </c>
      <c r="D23" s="11" t="inlineStr">
        <is>
          <t>INR</t>
        </is>
      </c>
      <c r="E23" s="11" t="inlineStr">
        <is>
          <t>Consolidated</t>
        </is>
      </c>
      <c r="F23" s="11" t="inlineStr">
        <is>
          <t>Company-reported consolidated EBITDA</t>
        </is>
      </c>
      <c r="G23" s="11" t="inlineStr">
        <is>
          <t>No</t>
        </is>
      </c>
      <c r="H23" s="10" t="n">
        <v>4670</v>
      </c>
      <c r="I23" s="10" t="n">
        <v>5560</v>
      </c>
      <c r="J23" s="10" t="n">
        <v>5090</v>
      </c>
      <c r="K23" s="10" t="n">
        <v>3586</v>
      </c>
      <c r="L23" s="10" t="n">
        <v>4511</v>
      </c>
      <c r="M23" s="10" t="n">
        <v>4469</v>
      </c>
      <c r="N23" s="10" t="n">
        <v>5560</v>
      </c>
      <c r="O23" s="10" t="n">
        <v>42955</v>
      </c>
      <c r="P23" s="17">
        <f>IFERROR(IF(AND(ISNUMBER(N23),ISNUMBER(O23),O23&gt;0),N23/O23,""),"")</f>
        <v/>
      </c>
      <c r="Q23" s="11" t="inlineStr">
        <is>
          <t>As reported and cross-checked</t>
        </is>
      </c>
      <c r="R23" s="11" t="inlineStr">
        <is>
          <t>High</t>
        </is>
      </c>
      <c r="S23" s="11" t="inlineStr">
        <is>
          <t>Reported FY2026 EBITDA of Rs 5,560 cr, up ~19%, stated on the exchange-filed earnings call. This sits within Rs 1 cr of the standardised Rs 5,561 cr, confirming Jindal Stainless EXCLUDES other income from EBITDA. Reported FY2025 of Rs 4,670 cr is derived from the stated +19% growth and is therefore approximate. Q4FY2026 EBITDA Rs 1,455 cr, up 37%.</t>
        </is>
      </c>
    </row>
    <row r="24">
      <c r="A24" s="11" t="inlineStr">
        <is>
          <t>RINL</t>
        </is>
      </c>
      <c r="B24" s="11" t="inlineStr">
        <is>
          <t>Core</t>
        </is>
      </c>
      <c r="C24" s="11" t="inlineStr">
        <is>
          <t>Rs crore</t>
        </is>
      </c>
      <c r="D24" s="11" t="inlineStr">
        <is>
          <t>INR</t>
        </is>
      </c>
      <c r="E24" s="11" t="inlineStr">
        <is>
          <t>Not applicable</t>
        </is>
      </c>
      <c r="F24" s="11" t="inlineStr">
        <is>
          <t>Not disclosed</t>
        </is>
      </c>
      <c r="G24" s="11" t="inlineStr">
        <is>
          <t>Not applicable</t>
        </is>
      </c>
      <c r="H24" s="11" t="inlineStr">
        <is>
          <t>Data Not Publicly Available</t>
        </is>
      </c>
      <c r="I24" s="11" t="inlineStr">
        <is>
          <t>Data Not Publicly Available</t>
        </is>
      </c>
      <c r="J24" s="11" t="inlineStr">
        <is>
          <t>Data Not Publicly Available</t>
        </is>
      </c>
      <c r="K24" s="11" t="inlineStr">
        <is>
          <t>Data Not Publicly Available</t>
        </is>
      </c>
      <c r="L24" s="11" t="inlineStr">
        <is>
          <t>Data Not Publicly Available</t>
        </is>
      </c>
      <c r="M24" s="11" t="inlineStr">
        <is>
          <t>Data Not Publicly Available</t>
        </is>
      </c>
      <c r="N24" s="11" t="inlineStr">
        <is>
          <t>Data Not Publicly Available</t>
        </is>
      </c>
      <c r="O24" s="10" t="n">
        <v>22300</v>
      </c>
      <c r="P24" s="17">
        <f>IFERROR(IF(AND(ISNUMBER(N24),ISNUMBER(O24),O24&gt;0),N24/O24,""),"")</f>
        <v/>
      </c>
      <c r="Q24" s="11" t="inlineStr">
        <is>
          <t>Not applicable</t>
        </is>
      </c>
      <c r="R24" s="11" t="inlineStr">
        <is>
          <t>High</t>
        </is>
      </c>
      <c r="S24" s="11" t="inlineStr">
        <is>
          <t>RINL is unlisted and wholly Government-owned. Audited FY2026 statutory financials, and therefore EBITDA, were NOT publicly available at the cutoff. The only profitability datapoint located is a monthly cash profit of Rs 54 cr in Jan-2026, against a cash loss of Rs 486 cr in Sep-2024.</t>
        </is>
      </c>
    </row>
    <row r="25">
      <c r="A25" s="11" t="inlineStr">
        <is>
          <t>Shyam Metalics</t>
        </is>
      </c>
      <c r="B25" s="11" t="inlineStr">
        <is>
          <t>Supporting</t>
        </is>
      </c>
      <c r="C25" s="11" t="inlineStr">
        <is>
          <t>Rs crore</t>
        </is>
      </c>
      <c r="D25" s="11" t="inlineStr">
        <is>
          <t>INR</t>
        </is>
      </c>
      <c r="E25" s="11" t="inlineStr">
        <is>
          <t>Consolidated</t>
        </is>
      </c>
      <c r="F25" s="11" t="inlineStr">
        <is>
          <t>Company-reported EBITDA INCLUDES other income</t>
        </is>
      </c>
      <c r="G25" s="11" t="inlineStr">
        <is>
          <t>Yes</t>
        </is>
      </c>
      <c r="H25" s="11" t="inlineStr">
        <is>
          <t>Data Not Publicly Available</t>
        </is>
      </c>
      <c r="I25" s="10" t="n">
        <v>2537</v>
      </c>
      <c r="J25" s="10" t="n">
        <v>2601</v>
      </c>
      <c r="K25" s="10" t="n">
        <v>1499</v>
      </c>
      <c r="L25" s="10" t="n">
        <v>1570</v>
      </c>
      <c r="M25" s="10" t="n">
        <v>1866</v>
      </c>
      <c r="N25" s="10" t="n">
        <v>2333</v>
      </c>
      <c r="O25" s="10" t="n">
        <v>18552</v>
      </c>
      <c r="P25" s="17">
        <f>IFERROR(IF(AND(ISNUMBER(N25),ISNUMBER(O25),O25&gt;0),N25/O25,""),"")</f>
        <v/>
      </c>
      <c r="Q25" s="11" t="inlineStr">
        <is>
          <t>As reported and reconciled</t>
        </is>
      </c>
      <c r="R25" s="11" t="inlineStr">
        <is>
          <t>High</t>
        </is>
      </c>
      <c r="S25" s="11" t="inlineStr">
        <is>
          <t>EXACT RECONCILIATION: standardised Rs 2,333 cr plus FY2026 other income of Rs 204 cr equals the reported Rs 2,537 cr. This is the clearest example in the universe of why two EBITDA columns are necessary - see Conflict C10. Reported FY2025 EBITDA is not asserted; the company states +21% growth, which would imply roughly Rs 2,096 cr.</t>
        </is>
      </c>
    </row>
    <row r="26">
      <c r="A26" s="11" t="inlineStr">
        <is>
          <t>Godawari Power</t>
        </is>
      </c>
      <c r="B26" s="11" t="inlineStr">
        <is>
          <t>Supporting</t>
        </is>
      </c>
      <c r="C26" s="11" t="inlineStr">
        <is>
          <t>Rs crore</t>
        </is>
      </c>
      <c r="D26" s="11" t="inlineStr">
        <is>
          <t>INR</t>
        </is>
      </c>
      <c r="E26" s="11" t="inlineStr">
        <is>
          <t>Consolidated</t>
        </is>
      </c>
      <c r="F26" s="11" t="inlineStr">
        <is>
          <t>Not sourced</t>
        </is>
      </c>
      <c r="G26" s="11" t="inlineStr">
        <is>
          <t>Unknown</t>
        </is>
      </c>
      <c r="H26" s="11" t="inlineStr">
        <is>
          <t>Data Not Publicly Available</t>
        </is>
      </c>
      <c r="I26" s="11" t="inlineStr">
        <is>
          <t>Data Not Publicly Available</t>
        </is>
      </c>
      <c r="J26" s="10" t="n">
        <v>1868</v>
      </c>
      <c r="K26" s="10" t="n">
        <v>1134</v>
      </c>
      <c r="L26" s="10" t="n">
        <v>1328</v>
      </c>
      <c r="M26" s="10" t="n">
        <v>1194</v>
      </c>
      <c r="N26" s="10" t="n">
        <v>1253</v>
      </c>
      <c r="O26" s="10" t="n">
        <v>5381</v>
      </c>
      <c r="P26" s="17">
        <f>IFERROR(IF(AND(ISNUMBER(N26),ISNUMBER(O26),O26&gt;0),N26/O26,""),"")</f>
        <v/>
      </c>
      <c r="Q26" s="11" t="inlineStr">
        <is>
          <t>Standardised only</t>
        </is>
      </c>
      <c r="R26" s="11" t="inlineStr">
        <is>
          <t>Medium</t>
        </is>
      </c>
      <c r="S26" s="11" t="inlineStr">
        <is>
          <t>Highest standardised margin in the universe at ~23% in FY2026, reflecting captive iron ore. A company-reported EBITDA was not located, so only the standardised basis is shown.</t>
        </is>
      </c>
    </row>
    <row r="27">
      <c r="A27" s="11" t="inlineStr">
        <is>
          <t>APL Apollo</t>
        </is>
      </c>
      <c r="B27" s="11" t="inlineStr">
        <is>
          <t>Supporting</t>
        </is>
      </c>
      <c r="C27" s="11" t="inlineStr">
        <is>
          <t>Rs crore</t>
        </is>
      </c>
      <c r="D27" s="11" t="inlineStr">
        <is>
          <t>INR</t>
        </is>
      </c>
      <c r="E27" s="11" t="inlineStr">
        <is>
          <t>Consolidated</t>
        </is>
      </c>
      <c r="F27" s="11" t="inlineStr">
        <is>
          <t>Not sourced</t>
        </is>
      </c>
      <c r="G27" s="11" t="inlineStr">
        <is>
          <t>Unknown</t>
        </is>
      </c>
      <c r="H27" s="11" t="inlineStr">
        <is>
          <t>Data Not Publicly Available</t>
        </is>
      </c>
      <c r="I27" s="11" t="inlineStr">
        <is>
          <t>Data Not Publicly Available</t>
        </is>
      </c>
      <c r="J27" s="10" t="n">
        <v>946</v>
      </c>
      <c r="K27" s="10" t="n">
        <v>1022</v>
      </c>
      <c r="L27" s="10" t="n">
        <v>1193</v>
      </c>
      <c r="M27" s="10" t="n">
        <v>1199</v>
      </c>
      <c r="N27" s="10" t="n">
        <v>1802</v>
      </c>
      <c r="O27" s="10" t="n">
        <v>23079</v>
      </c>
      <c r="P27" s="17">
        <f>IFERROR(IF(AND(ISNUMBER(N27),ISNUMBER(O27),O27&gt;0),N27/O27,""),"")</f>
        <v/>
      </c>
      <c r="Q27" s="11" t="inlineStr">
        <is>
          <t>Standardised only</t>
        </is>
      </c>
      <c r="R27" s="11" t="inlineStr">
        <is>
          <t>Medium</t>
        </is>
      </c>
      <c r="S27" s="11" t="inlineStr">
        <is>
          <t>Margin structurally low at 6-8% because this is a conversion business on purchased HRC, not an integrated producer. FY2026 standardised EBITDA rose 50% as HRC costs fell for most of the year - the mirror image of the integrated mills.</t>
        </is>
      </c>
    </row>
    <row r="28">
      <c r="A28" s="11" t="inlineStr">
        <is>
          <t>Mukand</t>
        </is>
      </c>
      <c r="B28" s="11" t="inlineStr">
        <is>
          <t>Supporting</t>
        </is>
      </c>
      <c r="C28" s="11" t="inlineStr">
        <is>
          <t>Rs crore</t>
        </is>
      </c>
      <c r="D28" s="11" t="inlineStr">
        <is>
          <t>INR</t>
        </is>
      </c>
      <c r="E28" s="11" t="inlineStr">
        <is>
          <t>Consolidated</t>
        </is>
      </c>
      <c r="F28" s="11" t="inlineStr">
        <is>
          <t>Not sourced</t>
        </is>
      </c>
      <c r="G28" s="11" t="inlineStr">
        <is>
          <t>Unknown</t>
        </is>
      </c>
      <c r="H28" s="11" t="inlineStr">
        <is>
          <t>Data Not Publicly Available</t>
        </is>
      </c>
      <c r="I28" s="11" t="inlineStr">
        <is>
          <t>Data Not Publicly Available</t>
        </is>
      </c>
      <c r="J28" s="10" t="n">
        <v>239</v>
      </c>
      <c r="K28" s="10" t="n">
        <v>-172</v>
      </c>
      <c r="L28" s="10" t="n">
        <v>293</v>
      </c>
      <c r="M28" s="10" t="n">
        <v>285</v>
      </c>
      <c r="N28" s="10" t="n">
        <v>172</v>
      </c>
      <c r="O28" s="10" t="n">
        <v>4890</v>
      </c>
      <c r="P28" s="17">
        <f>IFERROR(IF(AND(ISNUMBER(N28),ISNUMBER(O28),O28&gt;0),N28/O28,""),"")</f>
        <v/>
      </c>
      <c r="Q28" s="11" t="inlineStr">
        <is>
          <t>Standardised only</t>
        </is>
      </c>
      <c r="R28" s="11" t="inlineStr">
        <is>
          <t>Medium</t>
        </is>
      </c>
      <c r="S28" s="11" t="inlineStr">
        <is>
          <t>FY2026 standardised EBITDA of Rs 172 cr sits far below profit before tax of Rs 512 cr and net profit of Rs 604 cr, indicating a material non-operating or exceptional item. DO NOT use FY2026 Mukand earnings in operating comparisons - see Conflict C11.</t>
        </is>
      </c>
    </row>
    <row r="29">
      <c r="A29" s="11" t="inlineStr">
        <is>
          <t>Gallantt</t>
        </is>
      </c>
      <c r="B29" s="11" t="inlineStr">
        <is>
          <t>Supporting</t>
        </is>
      </c>
      <c r="C29" s="11" t="inlineStr">
        <is>
          <t>Rs crore</t>
        </is>
      </c>
      <c r="D29" s="11" t="inlineStr">
        <is>
          <t>INR</t>
        </is>
      </c>
      <c r="E29" s="11" t="inlineStr">
        <is>
          <t>Consolidated</t>
        </is>
      </c>
      <c r="F29" s="11" t="inlineStr">
        <is>
          <t>Not sourced</t>
        </is>
      </c>
      <c r="G29" s="11" t="inlineStr">
        <is>
          <t>Unknown</t>
        </is>
      </c>
      <c r="H29" s="11" t="inlineStr">
        <is>
          <t>Data Not Publicly Available</t>
        </is>
      </c>
      <c r="I29" s="11" t="inlineStr">
        <is>
          <t>Data Not Publicly Available</t>
        </is>
      </c>
      <c r="J29" s="10" t="n">
        <v>296</v>
      </c>
      <c r="K29" s="10" t="n">
        <v>364</v>
      </c>
      <c r="L29" s="10" t="n">
        <v>448</v>
      </c>
      <c r="M29" s="10" t="n">
        <v>694</v>
      </c>
      <c r="N29" s="10" t="n">
        <v>716</v>
      </c>
      <c r="O29" s="10" t="n">
        <v>4419</v>
      </c>
      <c r="P29" s="17">
        <f>IFERROR(IF(AND(ISNUMBER(N29),ISNUMBER(O29),O29&gt;0),N29/O29,""),"")</f>
        <v/>
      </c>
      <c r="Q29" s="11" t="inlineStr">
        <is>
          <t>Standardised only</t>
        </is>
      </c>
      <c r="R29" s="11" t="inlineStr">
        <is>
          <t>Medium</t>
        </is>
      </c>
      <c r="S29" s="11" t="inlineStr">
        <is>
          <t>Margin roughly doubled from 10% in FY2022 to 16% in FY2026, the largest margin expansion in the supporting set.</t>
        </is>
      </c>
    </row>
    <row r="30">
      <c r="A30" s="11" t="inlineStr">
        <is>
          <t>Uttam Galva</t>
        </is>
      </c>
      <c r="B30" s="11" t="inlineStr">
        <is>
          <t>Supporting</t>
        </is>
      </c>
      <c r="C30" s="11" t="inlineStr">
        <is>
          <t>Rs crore</t>
        </is>
      </c>
      <c r="D30" s="11" t="inlineStr">
        <is>
          <t>INR</t>
        </is>
      </c>
      <c r="E30" s="11" t="inlineStr">
        <is>
          <t>Not applicable - delisted</t>
        </is>
      </c>
      <c r="F30" s="11" t="inlineStr">
        <is>
          <t>Not applicable</t>
        </is>
      </c>
      <c r="G30" s="11" t="inlineStr">
        <is>
          <t>Not applicable</t>
        </is>
      </c>
      <c r="H30" s="11" t="inlineStr">
        <is>
          <t>Data Not Publicly Available</t>
        </is>
      </c>
      <c r="I30" s="11" t="inlineStr">
        <is>
          <t>Data Not Publicly Available</t>
        </is>
      </c>
      <c r="J30" s="10" t="n">
        <v>-57</v>
      </c>
      <c r="K30" s="11" t="inlineStr">
        <is>
          <t>Data Not Publicly Available</t>
        </is>
      </c>
      <c r="L30" s="11" t="inlineStr">
        <is>
          <t>Data Not Publicly Available</t>
        </is>
      </c>
      <c r="M30" s="11" t="inlineStr">
        <is>
          <t>Data Not Publicly Available</t>
        </is>
      </c>
      <c r="N30" s="11" t="inlineStr">
        <is>
          <t>Data Not Publicly Available</t>
        </is>
      </c>
      <c r="O30" s="11" t="inlineStr">
        <is>
          <t>Data Not Publicly Available</t>
        </is>
      </c>
      <c r="P30" s="17">
        <f>IFERROR(IF(AND(ISNUMBER(N30),ISNUMBER(O30),O30&gt;0),N30/O30,""),"")</f>
        <v/>
      </c>
      <c r="Q30" s="11" t="inlineStr">
        <is>
          <t>Not applicable</t>
        </is>
      </c>
      <c r="R30" s="11" t="inlineStr">
        <is>
          <t>High</t>
        </is>
      </c>
      <c r="S30" s="11" t="inlineStr">
        <is>
          <t>FY2022 standardised EBITDA was negative Rs 57 cr, the last publicly available period. Delisted 08-Dec-2022.</t>
        </is>
      </c>
    </row>
    <row r="31">
      <c r="A31" s="11" t="inlineStr">
        <is>
          <t>Electrosteel / ESL</t>
        </is>
      </c>
      <c r="B31" s="11" t="inlineStr">
        <is>
          <t>Supporting</t>
        </is>
      </c>
      <c r="C31" s="11" t="inlineStr">
        <is>
          <t>Rs crore</t>
        </is>
      </c>
      <c r="D31" s="11" t="inlineStr">
        <is>
          <t>INR</t>
        </is>
      </c>
      <c r="E31" s="11" t="inlineStr">
        <is>
          <t>Not applicable - delisted</t>
        </is>
      </c>
      <c r="F31" s="11" t="inlineStr">
        <is>
          <t>Not applicable</t>
        </is>
      </c>
      <c r="G31" s="11" t="inlineStr">
        <is>
          <t>Not applicable</t>
        </is>
      </c>
      <c r="H31" s="11" t="inlineStr">
        <is>
          <t>Data Not Publicly Available</t>
        </is>
      </c>
      <c r="I31" s="11" t="inlineStr">
        <is>
          <t>Data Not Publicly Available</t>
        </is>
      </c>
      <c r="J31" s="11" t="inlineStr">
        <is>
          <t>Data Not Publicly Available</t>
        </is>
      </c>
      <c r="K31" s="11" t="inlineStr">
        <is>
          <t>Data Not Publicly Available</t>
        </is>
      </c>
      <c r="L31" s="11" t="inlineStr">
        <is>
          <t>Data Not Publicly Available</t>
        </is>
      </c>
      <c r="M31" s="11" t="inlineStr">
        <is>
          <t>Data Not Publicly Available</t>
        </is>
      </c>
      <c r="N31" s="11" t="inlineStr">
        <is>
          <t>Data Not Publicly Available</t>
        </is>
      </c>
      <c r="O31" s="11" t="inlineStr">
        <is>
          <t>Data Not Publicly Available</t>
        </is>
      </c>
      <c r="P31" s="17">
        <f>IFERROR(IF(AND(ISNUMBER(N31),ISNUMBER(O31),O31&gt;0),N31/O31,""),"")</f>
        <v/>
      </c>
      <c r="Q31" s="11" t="inlineStr">
        <is>
          <t>Not applicable</t>
        </is>
      </c>
      <c r="R31" s="11" t="inlineStr">
        <is>
          <t>High</t>
        </is>
      </c>
      <c r="S31" s="11" t="inlineStr">
        <is>
          <t>Vedanta's Q4/FY26 press release does not disclose a separate ESL EBITDA line item, and the FY2026 ESL annual report was not publicly available at the cutoff.</t>
        </is>
      </c>
    </row>
    <row r="32">
      <c r="A32" s="11" t="inlineStr">
        <is>
          <t>Kirloskar Ferrous</t>
        </is>
      </c>
      <c r="B32" s="11" t="inlineStr">
        <is>
          <t>Supporting</t>
        </is>
      </c>
      <c r="C32" s="11" t="inlineStr">
        <is>
          <t>Rs crore</t>
        </is>
      </c>
      <c r="D32" s="11" t="inlineStr">
        <is>
          <t>INR</t>
        </is>
      </c>
      <c r="E32" s="11" t="inlineStr">
        <is>
          <t>Consolidated</t>
        </is>
      </c>
      <c r="F32" s="11" t="inlineStr">
        <is>
          <t>Not sourced</t>
        </is>
      </c>
      <c r="G32" s="11" t="inlineStr">
        <is>
          <t>Unknown</t>
        </is>
      </c>
      <c r="H32" s="11" t="inlineStr">
        <is>
          <t>Data Not Publicly Available</t>
        </is>
      </c>
      <c r="I32" s="11" t="inlineStr">
        <is>
          <t>Data Not Publicly Available</t>
        </is>
      </c>
      <c r="J32" s="10" t="n">
        <v>643</v>
      </c>
      <c r="K32" s="10" t="n">
        <v>836</v>
      </c>
      <c r="L32" s="10" t="n">
        <v>857</v>
      </c>
      <c r="M32" s="10" t="n">
        <v>762</v>
      </c>
      <c r="N32" s="10" t="n">
        <v>850</v>
      </c>
      <c r="O32" s="10" t="n">
        <v>6889</v>
      </c>
      <c r="P32" s="17">
        <f>IFERROR(IF(AND(ISNUMBER(N32),ISNUMBER(O32),O32&gt;0),N32/O32,""),"")</f>
        <v/>
      </c>
      <c r="Q32" s="11" t="inlineStr">
        <is>
          <t>Standardised only</t>
        </is>
      </c>
      <c r="R32" s="11" t="inlineStr">
        <is>
          <t>Medium</t>
        </is>
      </c>
      <c r="S32" s="11" t="inlineStr">
        <is>
          <t>FY2026 net profit of Rs 507 cr exceeds profit before tax of Rs 497 cr, indicating a net tax credit - see Conflict C12. Use profit before tax for normalised work on this name.</t>
        </is>
      </c>
    </row>
    <row r="34">
      <c r="A34" s="2" t="inlineStr">
        <is>
          <t>SECTION B - US DOLLAR REPORTER (AM/NS INDIA)</t>
        </is>
      </c>
    </row>
    <row r="35" ht="30" customHeight="1">
      <c r="A35" s="8" t="inlineStr">
        <is>
          <t>Company</t>
        </is>
      </c>
      <c r="B35" s="7" t="inlineStr">
        <is>
          <t>Coverage Tier</t>
        </is>
      </c>
      <c r="C35" s="7" t="inlineStr">
        <is>
          <t>Unit</t>
        </is>
      </c>
      <c r="D35" s="7" t="inlineStr">
        <is>
          <t>Currency</t>
        </is>
      </c>
      <c r="E35" s="8" t="inlineStr">
        <is>
          <t>Reporting Basis</t>
        </is>
      </c>
      <c r="F35" s="8" t="inlineStr">
        <is>
          <t>EBITDA Definition Used By Company</t>
        </is>
      </c>
      <c r="G35" s="7" t="inlineStr">
        <is>
          <t>Other Income Included In Reported EBITDA?</t>
        </is>
      </c>
      <c r="H35" s="7" t="inlineStr">
        <is>
          <t>Reported FY2025</t>
        </is>
      </c>
      <c r="I35" s="7" t="inlineStr">
        <is>
          <t>Reported FY2026</t>
        </is>
      </c>
      <c r="J35" s="7" t="inlineStr">
        <is>
          <t>Standardised FY2022</t>
        </is>
      </c>
      <c r="K35" s="7" t="inlineStr">
        <is>
          <t>Standardised FY2023</t>
        </is>
      </c>
      <c r="L35" s="7" t="inlineStr">
        <is>
          <t>Standardised FY2024</t>
        </is>
      </c>
      <c r="M35" s="7" t="inlineStr">
        <is>
          <t>Standardised FY2025</t>
        </is>
      </c>
      <c r="N35" s="7" t="inlineStr">
        <is>
          <t>Standardised FY2026</t>
        </is>
      </c>
      <c r="O35" s="7" t="inlineStr">
        <is>
          <t>FY2026 Revenue from Operations (memo)</t>
        </is>
      </c>
      <c r="P35" s="7" t="inlineStr">
        <is>
          <t>Standardised FY2026 Margin</t>
        </is>
      </c>
      <c r="Q35" s="7" t="inlineStr">
        <is>
          <t>Source ID</t>
        </is>
      </c>
      <c r="R35" s="7" t="inlineStr">
        <is>
          <t>Methodology</t>
        </is>
      </c>
      <c r="S35" s="7" t="inlineStr">
        <is>
          <t>Confidence</t>
        </is>
      </c>
      <c r="T35" s="7" t="inlineStr">
        <is>
          <t>Notes</t>
        </is>
      </c>
    </row>
    <row r="36">
      <c r="A36" s="11" t="inlineStr">
        <is>
          <t>AM/NS India</t>
        </is>
      </c>
      <c r="B36" s="11" t="inlineStr">
        <is>
          <t>Core</t>
        </is>
      </c>
      <c r="C36" s="11" t="inlineStr">
        <is>
          <t>US$ m</t>
        </is>
      </c>
      <c r="D36" s="11" t="inlineStr">
        <is>
          <t>USD</t>
        </is>
      </c>
      <c r="E36" s="11" t="inlineStr">
        <is>
          <t>100% basis, calendar year</t>
        </is>
      </c>
      <c r="F36" s="11" t="inlineStr">
        <is>
          <t>EBITDA as disclosed by ArcelorMittal S.A. for the joint venture</t>
        </is>
      </c>
      <c r="G36" s="11" t="inlineStr">
        <is>
          <t>Not disclosed</t>
        </is>
      </c>
      <c r="H36" s="14" t="n">
        <v>844</v>
      </c>
      <c r="I36" s="14" t="n">
        <v>684</v>
      </c>
      <c r="J36" s="11" t="inlineStr">
        <is>
          <t>Data Not Publicly Available</t>
        </is>
      </c>
      <c r="K36" s="11" t="inlineStr">
        <is>
          <t>Data Not Publicly Available</t>
        </is>
      </c>
      <c r="L36" s="11" t="inlineStr">
        <is>
          <t>Data Not Publicly Available</t>
        </is>
      </c>
      <c r="M36" s="14" t="n">
        <v>844</v>
      </c>
      <c r="N36" s="14" t="n">
        <v>684</v>
      </c>
      <c r="O36" s="15" t="n"/>
      <c r="P36" s="11" t="inlineStr">
        <is>
          <t>S13</t>
        </is>
      </c>
      <c r="Q36" s="11" t="inlineStr">
        <is>
          <t>As reported</t>
        </is>
      </c>
      <c r="R36" s="11" t="inlineStr">
        <is>
          <t>High</t>
        </is>
      </c>
      <c r="S36" s="11" t="inlineStr">
        <is>
          <t>CALENDAR YEARS: the FY2025 columns hold CY2024 and the FY2026 columns hold CY2025. EBITDA fell 19% in CY2025 on a negative price-cost effect. Quarterly: 1Q25 101, 2Q25 200, 3Q25 217, 4Q25 166, 1Q26 195, 2Q26 257.</t>
        </is>
      </c>
    </row>
    <row r="37">
      <c r="A37" s="11" t="inlineStr">
        <is>
          <t>AM/NS India</t>
        </is>
      </c>
      <c r="B37" s="11" t="inlineStr">
        <is>
          <t>Core</t>
        </is>
      </c>
      <c r="C37" s="11" t="inlineStr">
        <is>
          <t>US$ m</t>
        </is>
      </c>
      <c r="D37" s="11" t="inlineStr">
        <is>
          <t>USD</t>
        </is>
      </c>
      <c r="E37" s="11" t="inlineStr">
        <is>
          <t>100% basis, derived fiscal year</t>
        </is>
      </c>
      <c r="F37" s="11" t="inlineStr">
        <is>
          <t>EBITDA as disclosed by ArcelorMittal S.A. for the joint venture</t>
        </is>
      </c>
      <c r="G37" s="11" t="inlineStr">
        <is>
          <t>Not disclosed</t>
        </is>
      </c>
      <c r="H37" s="11" t="inlineStr">
        <is>
          <t>Data Not Publicly Available</t>
        </is>
      </c>
      <c r="I37" s="14" t="n">
        <v>778</v>
      </c>
      <c r="J37" s="11" t="inlineStr">
        <is>
          <t>Data Not Publicly Available</t>
        </is>
      </c>
      <c r="K37" s="11" t="inlineStr">
        <is>
          <t>Data Not Publicly Available</t>
        </is>
      </c>
      <c r="L37" s="11" t="inlineStr">
        <is>
          <t>Data Not Publicly Available</t>
        </is>
      </c>
      <c r="M37" s="11" t="inlineStr">
        <is>
          <t>Data Not Publicly Available</t>
        </is>
      </c>
      <c r="N37" s="14" t="n">
        <v>778</v>
      </c>
      <c r="O37" s="15" t="n"/>
      <c r="P37" s="11" t="inlineStr">
        <is>
          <t>S13, S14</t>
        </is>
      </c>
      <c r="Q37" s="11" t="inlineStr">
        <is>
          <t>Derived - sum of calendar quarters</t>
        </is>
      </c>
      <c r="R37" s="11" t="inlineStr">
        <is>
          <t>Medium</t>
        </is>
      </c>
      <c r="S37" s="11" t="inlineStr">
        <is>
          <t>FY2026 derived as 200 + 217 + 166 + 195. Not a company-reported fiscal-year figure - see Conflict C16. 2Q CY2026 EBITDA of USD 257m was up 28.5% year on year.</t>
        </is>
      </c>
    </row>
    <row r="39">
      <c r="A39" s="13" t="inlineStr">
        <is>
          <t>SAIL requires particular care: Rs 13,146 cr is the FY2026 STANDALONE headline, Rs 12,000 cr is standardised consolidated EBITDA excluding other income, and Rs 12,894 cr is consolidated EBITDA including other income. All three reconcile - see Conflict C09. Never pair a consolidated enterprise value with the standalone headline. Mukand FY2026 profit is not operating in nature - see Conflict C11.</t>
        </is>
      </c>
    </row>
  </sheetData>
  <printOptions horizontalCentered="1"/>
  <pageMargins left="0.75" right="0.75" top="1" bottom="1" header="0.5" footer="0.5"/>
  <pageSetup orientation="landscape" fitToHeight="0" fitToWidth="1"/>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tabColor rgb="001F3864"/>
    <outlinePr summaryBelow="1" summaryRight="1"/>
    <pageSetUpPr fitToPage="1"/>
  </sheetPr>
  <dimension ref="A1:N36"/>
  <sheetViews>
    <sheetView showGridLines="0" workbookViewId="0">
      <pane xSplit="10" ySplit="17" topLeftCell="K18" activePane="bottomRight" state="frozen"/>
      <selection pane="topRight"/>
      <selection pane="bottomLeft"/>
      <selection pane="bottomRight" activeCell="A1" sqref="A1"/>
    </sheetView>
  </sheetViews>
  <sheetFormatPr baseColWidth="8" defaultRowHeight="15"/>
  <cols>
    <col width="24" customWidth="1" min="1" max="1"/>
    <col width="42" customWidth="1" min="2" max="2"/>
    <col width="10" customWidth="1" min="3" max="3"/>
    <col width="10" customWidth="1" min="4" max="4"/>
    <col width="40" customWidth="1" min="5" max="5"/>
    <col width="13" customWidth="1" min="6" max="6"/>
    <col width="13" customWidth="1" min="7" max="7"/>
    <col width="13" customWidth="1" min="8" max="8"/>
    <col width="13" customWidth="1" min="9" max="9"/>
    <col width="24" customWidth="1" min="10" max="10"/>
    <col width="18" customWidth="1" min="11" max="11"/>
    <col width="46" customWidth="1" min="12" max="12"/>
    <col width="11" customWidth="1" min="13" max="13"/>
    <col width="90" customWidth="1" min="14" max="14"/>
  </cols>
  <sheetData>
    <row r="1" ht="19" customHeight="1">
      <c r="A1" s="1" t="inlineStr">
        <is>
          <t>6. EBITDA per Ton</t>
        </is>
      </c>
    </row>
    <row r="2">
      <c r="A2" s="4" t="inlineStr">
        <is>
          <t>Master Industry Database  |  Indian Steel Industry  |  Data cutoff: 03-Aug-2026</t>
        </is>
      </c>
    </row>
    <row r="3">
      <c r="A3" s="3" t="inlineStr"/>
    </row>
    <row r="4">
      <c r="A4" s="4" t="inlineStr">
        <is>
          <t>OBJECTIVE</t>
        </is>
      </c>
    </row>
    <row r="5">
      <c r="A5" s="3" t="inlineStr">
        <is>
          <t>The sector's primary cross-cycle profitability metric, struck per tonne so that it is independent of scale and, where quoted in dollars, of currency. Presented with the volume denominator stated on every row.</t>
        </is>
      </c>
    </row>
    <row r="6">
      <c r="A6" s="4" t="inlineStr">
        <is>
          <t>UNITS AND CURRENCY</t>
        </is>
      </c>
    </row>
    <row r="7">
      <c r="A7" s="3" t="inlineStr">
        <is>
          <t>Rs/t for Indian reporters; US$/t for AM/NS India. Not summable across companies.</t>
        </is>
      </c>
    </row>
    <row r="8">
      <c r="A8" s="4" t="inlineStr">
        <is>
          <t>COVERAGE AND HISTORICAL DEPTH</t>
        </is>
      </c>
    </row>
    <row r="9">
      <c r="A9" s="3" t="inlineStr">
        <is>
          <t>FY2025-FY2026 annual, plus Q3FY2026 and Q4FY2026 where disclosed, plus FY2027 guidance where given. All 15 companies are listed; the metric is computed only where both EBITDA and a volume denominator are available.</t>
        </is>
      </c>
    </row>
    <row r="10">
      <c r="A10" s="4" t="inlineStr">
        <is>
          <t>DATA FREQUENCY</t>
        </is>
      </c>
    </row>
    <row r="11">
      <c r="A11" s="3" t="inlineStr">
        <is>
          <t>Annual and quarterly.</t>
        </is>
      </c>
    </row>
    <row r="12">
      <c r="A12" s="4" t="inlineStr">
        <is>
          <t>SOURCE HIERARCHY APPLIED</t>
        </is>
      </c>
    </row>
    <row r="13">
      <c r="A13" s="3" t="inlineStr">
        <is>
          <t>Tier 1 first: issuer results releases, exchange-filed investor presentations, audited financial results and exchange-filed earnings call transcripts. Tier 3 aggregators of exchange filings are used only to extend the series backwards and every FY2026 figure so sourced has been reconciled to a Tier 1 or Tier 2 source or to the sum of the four reported quarters.</t>
        </is>
      </c>
    </row>
    <row r="14">
      <c r="A14" s="4" t="inlineStr">
        <is>
          <t>COLUMN RATIONALE</t>
        </is>
      </c>
    </row>
    <row r="15">
      <c r="A15" s="3" t="inlineStr">
        <is>
          <t>Volume Denominator is the critical column. EBITDA per tonne moves by several hundred rupees depending on whether it is struck on crude steel production, deliveries or shipments: Tata Steel uses deliveries, JSW Steel saleable sales, Jindal Steel sales volume. A per-tonne figure quoted without its denominator is not interpretable. Quarterly columns are carried because this metric is the standard quarterly surprise variable. The FY2027 guidance column is present because Jindal Stainless has guided BELOW its FY2026 outcome, which is an explicit management signal of expected margin normalisation.</t>
        </is>
      </c>
    </row>
    <row r="16">
      <c r="A16" s="3" t="inlineStr"/>
    </row>
    <row r="17" ht="30" customHeight="1">
      <c r="A17" s="8" t="inlineStr">
        <is>
          <t>Company</t>
        </is>
      </c>
      <c r="B17" s="8" t="inlineStr">
        <is>
          <t>Basis / Segment</t>
        </is>
      </c>
      <c r="C17" s="7" t="inlineStr">
        <is>
          <t>Unit</t>
        </is>
      </c>
      <c r="D17" s="7" t="inlineStr">
        <is>
          <t>Currency</t>
        </is>
      </c>
      <c r="E17" s="8" t="inlineStr">
        <is>
          <t>Volume Denominator</t>
        </is>
      </c>
      <c r="F17" s="7" t="inlineStr">
        <is>
          <t>FY2025</t>
        </is>
      </c>
      <c r="G17" s="7" t="inlineStr">
        <is>
          <t>FY2026</t>
        </is>
      </c>
      <c r="H17" s="7" t="inlineStr">
        <is>
          <t>Q3FY2026</t>
        </is>
      </c>
      <c r="I17" s="7" t="inlineStr">
        <is>
          <t>Q4FY2026</t>
        </is>
      </c>
      <c r="J17" s="8" t="inlineStr">
        <is>
          <t>FY2027 Guidance</t>
        </is>
      </c>
      <c r="K17" s="7" t="inlineStr">
        <is>
          <t>Source ID</t>
        </is>
      </c>
      <c r="L17" s="7" t="inlineStr">
        <is>
          <t>Methodology</t>
        </is>
      </c>
      <c r="M17" s="7" t="inlineStr">
        <is>
          <t>Confidence</t>
        </is>
      </c>
      <c r="N17" s="7" t="inlineStr">
        <is>
          <t>Notes</t>
        </is>
      </c>
    </row>
    <row r="18">
      <c r="A18" s="11" t="inlineStr">
        <is>
          <t>Tata Steel</t>
        </is>
      </c>
      <c r="B18" s="11" t="inlineStr">
        <is>
          <t>Consolidated (global), reported EBITDA</t>
        </is>
      </c>
      <c r="C18" s="11" t="inlineStr">
        <is>
          <t>Rs/t</t>
        </is>
      </c>
      <c r="D18" s="11" t="inlineStr">
        <is>
          <t>INR</t>
        </is>
      </c>
      <c r="E18" s="11" t="inlineStr">
        <is>
          <t>Deliveries (consolidated)</t>
        </is>
      </c>
      <c r="F18" s="18" t="n">
        <v>8335</v>
      </c>
      <c r="G18" s="18" t="n">
        <v>10900</v>
      </c>
      <c r="H18" s="18" t="n">
        <v>10116</v>
      </c>
      <c r="I18" s="18" t="n">
        <v>11410</v>
      </c>
      <c r="J18" s="11" t="inlineStr">
        <is>
          <t>Data Not Publicly Available</t>
        </is>
      </c>
      <c r="K18" s="11" t="inlineStr">
        <is>
          <t>S08</t>
        </is>
      </c>
      <c r="L18" s="11" t="inlineStr">
        <is>
          <t>As reported</t>
        </is>
      </c>
      <c r="M18" s="11" t="inlineStr">
        <is>
          <t>High</t>
        </is>
      </c>
      <c r="N18" s="12" t="inlineStr">
        <is>
          <t>Company-disclosed. FY2026 Rs 10,900/t equates to USD 124/t. Adjusted EBITDA per tonne was Rs 10,835/t for FY2026 and Rs 8,441/t for FY2025.</t>
        </is>
      </c>
    </row>
    <row r="19">
      <c r="A19" s="11" t="inlineStr">
        <is>
          <t>Tata Steel</t>
        </is>
      </c>
      <c r="B19" s="11" t="inlineStr">
        <is>
          <t>India (proforma, incl. NINL), reported EBITDA</t>
        </is>
      </c>
      <c r="C19" s="11" t="inlineStr">
        <is>
          <t>Rs/t</t>
        </is>
      </c>
      <c r="D19" s="11" t="inlineStr">
        <is>
          <t>INR</t>
        </is>
      </c>
      <c r="E19" s="11" t="inlineStr">
        <is>
          <t>Deliveries (India)</t>
        </is>
      </c>
      <c r="F19" s="18" t="n">
        <v>13983</v>
      </c>
      <c r="G19" s="18" t="n">
        <v>15213</v>
      </c>
      <c r="H19" s="18" t="n">
        <v>13735</v>
      </c>
      <c r="I19" s="18" t="n">
        <v>15907</v>
      </c>
      <c r="J19" s="11" t="inlineStr">
        <is>
          <t>Data Not Publicly Available</t>
        </is>
      </c>
      <c r="K19" s="11" t="inlineStr">
        <is>
          <t>S08</t>
        </is>
      </c>
      <c r="L19" s="11" t="inlineStr">
        <is>
          <t>As reported</t>
        </is>
      </c>
      <c r="M19" s="11" t="inlineStr">
        <is>
          <t>High</t>
        </is>
      </c>
      <c r="N19" s="12" t="inlineStr">
        <is>
          <t>Company-disclosed. FY2026 Rs 15,213/t equates to USD 172/t - the highest India EBITDA per tonne in the coverage universe on a company-reported basis. Q4FY2026 reached Rs 15,907/t.</t>
        </is>
      </c>
    </row>
    <row r="20">
      <c r="A20" s="11" t="inlineStr">
        <is>
          <t>JSW Steel</t>
        </is>
      </c>
      <c r="B20" s="11" t="inlineStr">
        <is>
          <t>Consolidated, reported EBITDA</t>
        </is>
      </c>
      <c r="C20" s="11" t="inlineStr">
        <is>
          <t>Rs/t</t>
        </is>
      </c>
      <c r="D20" s="11" t="inlineStr">
        <is>
          <t>INR</t>
        </is>
      </c>
      <c r="E20" s="11" t="inlineStr">
        <is>
          <t>Saleable steel sales (combined operations)</t>
        </is>
      </c>
      <c r="F20" s="18" t="n">
        <v>8661</v>
      </c>
      <c r="G20" s="18" t="n">
        <v>10064</v>
      </c>
      <c r="H20" s="11" t="inlineStr">
        <is>
          <t>Data Not Publicly Available</t>
        </is>
      </c>
      <c r="I20" s="18" t="n">
        <v>10833</v>
      </c>
      <c r="J20" s="11" t="inlineStr">
        <is>
          <t>Data Not Publicly Available</t>
        </is>
      </c>
      <c r="K20" s="11" t="inlineStr">
        <is>
          <t>S09</t>
        </is>
      </c>
      <c r="L20" s="11" t="inlineStr">
        <is>
          <t>Computed</t>
        </is>
      </c>
      <c r="M20" s="11" t="inlineStr">
        <is>
          <t>High</t>
        </is>
      </c>
      <c r="N20" s="12" t="inlineStr">
        <is>
          <t>COMPUTED, not company-disclosed: FY2026 Rs 29,821 cr divided by 29.63 mn t; FY2025 Rs 22,904 cr divided by 26.45 mn t; Q4FY2026 Rs 8,634 cr divided by 7.97 mn t. On Adjusted EBITDA the FY2026 figure would be Rs 10,816/t.</t>
        </is>
      </c>
    </row>
    <row r="21">
      <c r="A21" s="11" t="inlineStr">
        <is>
          <t>JSW Steel</t>
        </is>
      </c>
      <c r="B21" s="11" t="inlineStr">
        <is>
          <t>India operations, reported EBITDA</t>
        </is>
      </c>
      <c r="C21" s="11" t="inlineStr">
        <is>
          <t>Rs/t</t>
        </is>
      </c>
      <c r="D21" s="11" t="inlineStr">
        <is>
          <t>INR</t>
        </is>
      </c>
      <c r="E21" s="11" t="inlineStr">
        <is>
          <t>Steel sales (India operations)</t>
        </is>
      </c>
      <c r="F21" s="18" t="n">
        <v>8924</v>
      </c>
      <c r="G21" s="18" t="n">
        <v>10167</v>
      </c>
      <c r="H21" s="11" t="inlineStr">
        <is>
          <t>Data Not Publicly Available</t>
        </is>
      </c>
      <c r="I21" s="18" t="n">
        <v>10795</v>
      </c>
      <c r="J21" s="11" t="inlineStr">
        <is>
          <t>Data Not Publicly Available</t>
        </is>
      </c>
      <c r="K21" s="11" t="inlineStr">
        <is>
          <t>S09</t>
        </is>
      </c>
      <c r="L21" s="11" t="inlineStr">
        <is>
          <t>Computed</t>
        </is>
      </c>
      <c r="M21" s="11" t="inlineStr">
        <is>
          <t>High</t>
        </is>
      </c>
      <c r="N21" s="12" t="inlineStr">
        <is>
          <t>COMPUTED: FY2026 Rs 29,240 cr divided by 28.76 mn t; FY2025 Rs 22,908 cr divided by 25.67 mn t; Q4FY2026 Rs 8,463 cr divided by 7.84 mn t.</t>
        </is>
      </c>
    </row>
    <row r="22">
      <c r="A22" s="11" t="inlineStr">
        <is>
          <t>SAIL</t>
        </is>
      </c>
      <c r="B22" s="11" t="inlineStr">
        <is>
          <t>Standalone, reported EBITDA</t>
        </is>
      </c>
      <c r="C22" s="11" t="inlineStr">
        <is>
          <t>Rs/t</t>
        </is>
      </c>
      <c r="D22" s="11" t="inlineStr">
        <is>
          <t>INR</t>
        </is>
      </c>
      <c r="E22" s="11" t="inlineStr">
        <is>
          <t>Sales volume (standalone)</t>
        </is>
      </c>
      <c r="F22" s="18" t="n">
        <v>6576</v>
      </c>
      <c r="G22" s="18" t="n">
        <v>6596</v>
      </c>
      <c r="H22" s="18" t="n">
        <v>5107</v>
      </c>
      <c r="I22" s="18" t="n">
        <v>8951</v>
      </c>
      <c r="J22" s="11" t="inlineStr">
        <is>
          <t>Data Not Publicly Available</t>
        </is>
      </c>
      <c r="K22" s="11" t="inlineStr">
        <is>
          <t>S10</t>
        </is>
      </c>
      <c r="L22" s="11" t="inlineStr">
        <is>
          <t>Computed</t>
        </is>
      </c>
      <c r="M22" s="11" t="inlineStr">
        <is>
          <t>High</t>
        </is>
      </c>
      <c r="N22" s="12" t="inlineStr">
        <is>
          <t>COMPUTED: FY2026 Rs 13,146 cr divided by 19.93 mn t; FY2025 Rs 11,764 cr divided by 17.89 mn t; Q4FY2026 Rs 4,762 cr divided by 5.32 mn t; Q3FY2026 Rs 2,630 cr divided by 5.15 mn t. Sell-side estimates of Q4FY2026 EBITDA per tonne cluster around Rs 8,280/t on a crude-steel-production denominator, illustrating how sensitive this metric is to the denominator chosen.</t>
        </is>
      </c>
    </row>
    <row r="23">
      <c r="A23" s="11" t="inlineStr">
        <is>
          <t>Jindal Steel</t>
        </is>
      </c>
      <c r="B23" s="11" t="inlineStr">
        <is>
          <t>Consolidated, Adjusted EBITDA</t>
        </is>
      </c>
      <c r="C23" s="11" t="inlineStr">
        <is>
          <t>Rs/t</t>
        </is>
      </c>
      <c r="D23" s="11" t="inlineStr">
        <is>
          <t>INR</t>
        </is>
      </c>
      <c r="E23" s="11" t="inlineStr">
        <is>
          <t>Steel sales</t>
        </is>
      </c>
      <c r="F23" s="18" t="n">
        <v>11712</v>
      </c>
      <c r="G23" s="18" t="n">
        <v>10482</v>
      </c>
      <c r="H23" s="18" t="n">
        <v>6981</v>
      </c>
      <c r="I23" s="18" t="n">
        <v>10093</v>
      </c>
      <c r="J23" s="11" t="inlineStr">
        <is>
          <t>Data Not Publicly Available</t>
        </is>
      </c>
      <c r="K23" s="11" t="inlineStr">
        <is>
          <t>S11</t>
        </is>
      </c>
      <c r="L23" s="11" t="inlineStr">
        <is>
          <t>As reported</t>
        </is>
      </c>
      <c r="M23" s="11" t="inlineStr">
        <is>
          <t>High</t>
        </is>
      </c>
      <c r="N23" s="12" t="inlineStr">
        <is>
          <t>Company-disclosed on Adjusted EBITDA (excluding FX gains). Verification: Rs 9,099 cr divided by 8.68 mn t equals Rs 10,482/t. Fell 11% year on year - the sharpest per-tonne compression among the core names, despite 14% volume growth.</t>
        </is>
      </c>
    </row>
    <row r="24">
      <c r="A24" s="11" t="inlineStr">
        <is>
          <t>Jindal Stainless</t>
        </is>
      </c>
      <c r="B24" s="11" t="inlineStr">
        <is>
          <t>Consolidated, reported EBITDA</t>
        </is>
      </c>
      <c r="C24" s="11" t="inlineStr">
        <is>
          <t>Rs/t</t>
        </is>
      </c>
      <c r="D24" s="11" t="inlineStr">
        <is>
          <t>INR</t>
        </is>
      </c>
      <c r="E24" s="11" t="inlineStr">
        <is>
          <t>Deliveries</t>
        </is>
      </c>
      <c r="F24" s="18" t="n">
        <v>19622</v>
      </c>
      <c r="G24" s="18" t="n">
        <v>21634</v>
      </c>
      <c r="H24" s="11" t="inlineStr">
        <is>
          <t>Data Not Publicly Available</t>
        </is>
      </c>
      <c r="I24" s="18" t="n">
        <v>22734</v>
      </c>
      <c r="J24" s="11" t="inlineStr">
        <is>
          <t>Rs 18,000-20,000/t</t>
        </is>
      </c>
      <c r="K24" s="11" t="inlineStr">
        <is>
          <t>S12</t>
        </is>
      </c>
      <c r="L24" s="11" t="inlineStr">
        <is>
          <t>Computed; guidance as reported</t>
        </is>
      </c>
      <c r="M24" s="11" t="inlineStr">
        <is>
          <t>High</t>
        </is>
      </c>
      <c r="N24" s="12" t="inlineStr">
        <is>
          <t>COMPUTED: FY2026 Rs 5,560 cr divided by 2.57 mn t; Q4FY2026 Rs 1,455 cr divided by 0.64 mn t. FY2025 uses the derived 2.38 mn t denominator and is therefore approximate. Management guided FY2027 EBITDA per tonne to Rs 18,000-20,000 with 7-9% volume growth - i.e. guidance is BELOW the FY2026 outcome, an explicit signal of expected margin normalisation. Highest per-tonne EBITDA in the universe, reflecting the stainless product mix rather than superior operating efficiency.</t>
        </is>
      </c>
    </row>
    <row r="25">
      <c r="A25" s="11" t="inlineStr">
        <is>
          <t>AM/NS India</t>
        </is>
      </c>
      <c r="B25" s="11" t="inlineStr">
        <is>
          <t>100% basis, derived fiscal year</t>
        </is>
      </c>
      <c r="C25" s="11" t="inlineStr">
        <is>
          <t>US$/t</t>
        </is>
      </c>
      <c r="D25" s="11" t="inlineStr">
        <is>
          <t>USD</t>
        </is>
      </c>
      <c r="E25" s="11" t="inlineStr">
        <is>
          <t>Shipments</t>
        </is>
      </c>
      <c r="F25" s="11" t="inlineStr">
        <is>
          <t>Data Not Publicly Available</t>
        </is>
      </c>
      <c r="G25" s="18" t="n">
        <v>97.59999999999999</v>
      </c>
      <c r="H25" s="11" t="inlineStr">
        <is>
          <t>Data Not Publicly Available</t>
        </is>
      </c>
      <c r="I25" s="11" t="inlineStr">
        <is>
          <t>Data Not Publicly Available</t>
        </is>
      </c>
      <c r="J25" s="11" t="inlineStr">
        <is>
          <t>Data Not Publicly Available</t>
        </is>
      </c>
      <c r="K25" s="11" t="inlineStr">
        <is>
          <t>S13, S14</t>
        </is>
      </c>
      <c r="L25" s="11" t="inlineStr">
        <is>
          <t>Derived - sum of calendar quarters, then divided</t>
        </is>
      </c>
      <c r="M25" s="11" t="inlineStr">
        <is>
          <t>Medium</t>
        </is>
      </c>
      <c r="N25" s="12" t="inlineStr">
        <is>
          <t>DERIVED: USD 778m divided by 7.975 mn t for FY2026. Calendar-year equivalents are USD 106.4/t for CY2024 (844/7.933) and USD 87.0/t for CY2025 (684/7.863). No FY2025 figure is shown because the derived FY2025 volume and EBITDA are not available - see Conflict C16. For comparison, Tata Steel India was USD 172/t and the Tata Steel group USD 124/t in FY2026.</t>
        </is>
      </c>
    </row>
    <row r="26">
      <c r="A26" s="11" t="inlineStr">
        <is>
          <t>RINL</t>
        </is>
      </c>
      <c r="B26" s="11" t="inlineStr">
        <is>
          <t>Standalone</t>
        </is>
      </c>
      <c r="C26" s="11" t="inlineStr">
        <is>
          <t>Rs/t</t>
        </is>
      </c>
      <c r="D26" s="11" t="inlineStr">
        <is>
          <t>INR</t>
        </is>
      </c>
      <c r="E26" s="11" t="inlineStr">
        <is>
          <t>Not applicable</t>
        </is>
      </c>
      <c r="F26" s="11" t="inlineStr">
        <is>
          <t>Data Not Publicly Available</t>
        </is>
      </c>
      <c r="G26" s="11" t="inlineStr">
        <is>
          <t>Data Not Publicly Available</t>
        </is>
      </c>
      <c r="H26" s="11" t="inlineStr">
        <is>
          <t>Data Not Publicly Available</t>
        </is>
      </c>
      <c r="I26" s="11" t="inlineStr">
        <is>
          <t>Data Not Publicly Available</t>
        </is>
      </c>
      <c r="J26" s="11" t="inlineStr">
        <is>
          <t>Data Not Publicly Available</t>
        </is>
      </c>
      <c r="K26" s="11" t="inlineStr">
        <is>
          <t>S16</t>
        </is>
      </c>
      <c r="L26" s="11" t="inlineStr">
        <is>
          <t>Not applicable</t>
        </is>
      </c>
      <c r="M26" s="11" t="inlineStr">
        <is>
          <t>High</t>
        </is>
      </c>
      <c r="N26" s="12" t="inlineStr">
        <is>
          <t>EBITDA is not publicly available for RINL, so EBITDA per tonne cannot be computed.</t>
        </is>
      </c>
    </row>
    <row r="27">
      <c r="A27" s="11" t="inlineStr">
        <is>
          <t>Shyam Metalics</t>
        </is>
      </c>
      <c r="B27" s="11" t="inlineStr">
        <is>
          <t>Consolidated</t>
        </is>
      </c>
      <c r="C27" s="11" t="inlineStr">
        <is>
          <t>Rs/t</t>
        </is>
      </c>
      <c r="D27" s="11" t="inlineStr">
        <is>
          <t>INR</t>
        </is>
      </c>
      <c r="E27" s="11" t="inlineStr">
        <is>
          <t>Not available</t>
        </is>
      </c>
      <c r="F27" s="11" t="inlineStr">
        <is>
          <t>Data Not Publicly Available</t>
        </is>
      </c>
      <c r="G27" s="11" t="inlineStr">
        <is>
          <t>Data Not Publicly Available</t>
        </is>
      </c>
      <c r="H27" s="11" t="inlineStr">
        <is>
          <t>Data Not Publicly Available</t>
        </is>
      </c>
      <c r="I27" s="11" t="inlineStr">
        <is>
          <t>Data Not Publicly Available</t>
        </is>
      </c>
      <c r="J27" s="11" t="inlineStr">
        <is>
          <t>Data Not Publicly Available</t>
        </is>
      </c>
      <c r="K27" s="11" t="inlineStr">
        <is>
          <t>S31</t>
        </is>
      </c>
      <c r="L27" s="11" t="inlineStr">
        <is>
          <t>Not computable</t>
        </is>
      </c>
      <c r="M27" s="11" t="inlineStr">
        <is>
          <t>Low</t>
        </is>
      </c>
      <c r="N27" s="12" t="inlineStr">
        <is>
          <t>Company-reported EBITDA is available (Rs 2,537 cr for FY2026) but sales volume was not disclosed in the sources available, so a per-tonne figure cannot be struck. Do not infer one.</t>
        </is>
      </c>
    </row>
    <row r="28">
      <c r="A28" s="11" t="inlineStr">
        <is>
          <t>Godawari Power</t>
        </is>
      </c>
      <c r="B28" s="11" t="inlineStr">
        <is>
          <t>Consolidated</t>
        </is>
      </c>
      <c r="C28" s="11" t="inlineStr">
        <is>
          <t>Rs/t</t>
        </is>
      </c>
      <c r="D28" s="11" t="inlineStr">
        <is>
          <t>INR</t>
        </is>
      </c>
      <c r="E28" s="11" t="inlineStr">
        <is>
          <t>Not available</t>
        </is>
      </c>
      <c r="F28" s="11" t="inlineStr">
        <is>
          <t>Data Not Publicly Available</t>
        </is>
      </c>
      <c r="G28" s="11" t="inlineStr">
        <is>
          <t>Data Not Publicly Available</t>
        </is>
      </c>
      <c r="H28" s="11" t="inlineStr">
        <is>
          <t>Data Not Publicly Available</t>
        </is>
      </c>
      <c r="I28" s="11" t="inlineStr">
        <is>
          <t>Data Not Publicly Available</t>
        </is>
      </c>
      <c r="J28" s="11" t="inlineStr">
        <is>
          <t>Data Not Publicly Available</t>
        </is>
      </c>
      <c r="K28" s="11" t="inlineStr">
        <is>
          <t>S30</t>
        </is>
      </c>
      <c r="L28" s="11" t="inlineStr">
        <is>
          <t>Not computable</t>
        </is>
      </c>
      <c r="M28" s="11" t="inlineStr">
        <is>
          <t>Low</t>
        </is>
      </c>
      <c r="N28" s="12" t="inlineStr">
        <is>
          <t>Volumes not sourced within this research cycle.</t>
        </is>
      </c>
    </row>
    <row r="29">
      <c r="A29" s="11" t="inlineStr">
        <is>
          <t>APL Apollo</t>
        </is>
      </c>
      <c r="B29" s="11" t="inlineStr">
        <is>
          <t>Consolidated</t>
        </is>
      </c>
      <c r="C29" s="11" t="inlineStr">
        <is>
          <t>Rs/t</t>
        </is>
      </c>
      <c r="D29" s="11" t="inlineStr">
        <is>
          <t>INR</t>
        </is>
      </c>
      <c r="E29" s="11" t="inlineStr">
        <is>
          <t>Not applicable</t>
        </is>
      </c>
      <c r="F29" s="11" t="inlineStr">
        <is>
          <t>Data Not Publicly Available</t>
        </is>
      </c>
      <c r="G29" s="11" t="inlineStr">
        <is>
          <t>Data Not Publicly Available</t>
        </is>
      </c>
      <c r="H29" s="11" t="inlineStr">
        <is>
          <t>Data Not Publicly Available</t>
        </is>
      </c>
      <c r="I29" s="11" t="inlineStr">
        <is>
          <t>Data Not Publicly Available</t>
        </is>
      </c>
      <c r="J29" s="11" t="inlineStr">
        <is>
          <t>Data Not Publicly Available</t>
        </is>
      </c>
      <c r="K29" s="11" t="inlineStr">
        <is>
          <t>S30</t>
        </is>
      </c>
      <c r="L29" s="11" t="inlineStr">
        <is>
          <t>Not applicable</t>
        </is>
      </c>
      <c r="M29" s="11" t="inlineStr">
        <is>
          <t>High</t>
        </is>
      </c>
      <c r="N29" s="12" t="inlineStr">
        <is>
          <t>A tube converter, not a crude steel producer. An EBITDA per tonne of crude steel is meaningless for this company and is deliberately not presented. EBITDA per tonne of tube sold would be the appropriate analogue if volumes were sourced.</t>
        </is>
      </c>
    </row>
    <row r="30">
      <c r="A30" s="11" t="inlineStr">
        <is>
          <t>Mukand</t>
        </is>
      </c>
      <c r="B30" s="11" t="inlineStr">
        <is>
          <t>Consolidated</t>
        </is>
      </c>
      <c r="C30" s="11" t="inlineStr">
        <is>
          <t>Rs/t</t>
        </is>
      </c>
      <c r="D30" s="11" t="inlineStr">
        <is>
          <t>INR</t>
        </is>
      </c>
      <c r="E30" s="11" t="inlineStr">
        <is>
          <t>Not available</t>
        </is>
      </c>
      <c r="F30" s="11" t="inlineStr">
        <is>
          <t>Data Not Publicly Available</t>
        </is>
      </c>
      <c r="G30" s="11" t="inlineStr">
        <is>
          <t>Data Not Publicly Available</t>
        </is>
      </c>
      <c r="H30" s="11" t="inlineStr">
        <is>
          <t>Data Not Publicly Available</t>
        </is>
      </c>
      <c r="I30" s="11" t="inlineStr">
        <is>
          <t>Data Not Publicly Available</t>
        </is>
      </c>
      <c r="J30" s="11" t="inlineStr">
        <is>
          <t>Data Not Publicly Available</t>
        </is>
      </c>
      <c r="K30" s="11" t="inlineStr">
        <is>
          <t>S30</t>
        </is>
      </c>
      <c r="L30" s="11" t="inlineStr">
        <is>
          <t>Not computable</t>
        </is>
      </c>
      <c r="M30" s="11" t="inlineStr">
        <is>
          <t>Low</t>
        </is>
      </c>
      <c r="N30" s="12" t="inlineStr">
        <is>
          <t>Volumes not sourced within this research cycle.</t>
        </is>
      </c>
    </row>
    <row r="31">
      <c r="A31" s="11" t="inlineStr">
        <is>
          <t>Gallantt</t>
        </is>
      </c>
      <c r="B31" s="11" t="inlineStr">
        <is>
          <t>Consolidated</t>
        </is>
      </c>
      <c r="C31" s="11" t="inlineStr">
        <is>
          <t>Rs/t</t>
        </is>
      </c>
      <c r="D31" s="11" t="inlineStr">
        <is>
          <t>INR</t>
        </is>
      </c>
      <c r="E31" s="11" t="inlineStr">
        <is>
          <t>Not available</t>
        </is>
      </c>
      <c r="F31" s="11" t="inlineStr">
        <is>
          <t>Data Not Publicly Available</t>
        </is>
      </c>
      <c r="G31" s="11" t="inlineStr">
        <is>
          <t>Data Not Publicly Available</t>
        </is>
      </c>
      <c r="H31" s="11" t="inlineStr">
        <is>
          <t>Data Not Publicly Available</t>
        </is>
      </c>
      <c r="I31" s="11" t="inlineStr">
        <is>
          <t>Data Not Publicly Available</t>
        </is>
      </c>
      <c r="J31" s="11" t="inlineStr">
        <is>
          <t>Data Not Publicly Available</t>
        </is>
      </c>
      <c r="K31" s="11" t="inlineStr">
        <is>
          <t>S30</t>
        </is>
      </c>
      <c r="L31" s="11" t="inlineStr">
        <is>
          <t>Not computable</t>
        </is>
      </c>
      <c r="M31" s="11" t="inlineStr">
        <is>
          <t>Low</t>
        </is>
      </c>
      <c r="N31" s="12" t="inlineStr">
        <is>
          <t>Volumes not sourced within this research cycle.</t>
        </is>
      </c>
    </row>
    <row r="32">
      <c r="A32" s="11" t="inlineStr">
        <is>
          <t>Uttam Galva</t>
        </is>
      </c>
      <c r="B32" s="11" t="inlineStr">
        <is>
          <t>Not applicable - delisted</t>
        </is>
      </c>
      <c r="C32" s="11" t="inlineStr">
        <is>
          <t>Rs/t</t>
        </is>
      </c>
      <c r="D32" s="11" t="inlineStr">
        <is>
          <t>INR</t>
        </is>
      </c>
      <c r="E32" s="11" t="inlineStr">
        <is>
          <t>Not applicable</t>
        </is>
      </c>
      <c r="F32" s="11" t="inlineStr">
        <is>
          <t>Data Not Publicly Available</t>
        </is>
      </c>
      <c r="G32" s="11" t="inlineStr">
        <is>
          <t>Data Not Publicly Available</t>
        </is>
      </c>
      <c r="H32" s="11" t="inlineStr">
        <is>
          <t>Data Not Publicly Available</t>
        </is>
      </c>
      <c r="I32" s="11" t="inlineStr">
        <is>
          <t>Data Not Publicly Available</t>
        </is>
      </c>
      <c r="J32" s="11" t="inlineStr">
        <is>
          <t>Data Not Publicly Available</t>
        </is>
      </c>
      <c r="K32" s="11" t="inlineStr">
        <is>
          <t>S36</t>
        </is>
      </c>
      <c r="L32" s="11" t="inlineStr">
        <is>
          <t>Not applicable</t>
        </is>
      </c>
      <c r="M32" s="11" t="inlineStr">
        <is>
          <t>High</t>
        </is>
      </c>
      <c r="N32" s="12" t="inlineStr">
        <is>
          <t>Delisted 08-Dec-2022.</t>
        </is>
      </c>
    </row>
    <row r="33">
      <c r="A33" s="11" t="inlineStr">
        <is>
          <t>Electrosteel / ESL</t>
        </is>
      </c>
      <c r="B33" s="11" t="inlineStr">
        <is>
          <t>Not applicable - delisted</t>
        </is>
      </c>
      <c r="C33" s="11" t="inlineStr">
        <is>
          <t>Rs/t</t>
        </is>
      </c>
      <c r="D33" s="11" t="inlineStr">
        <is>
          <t>INR</t>
        </is>
      </c>
      <c r="E33" s="11" t="inlineStr">
        <is>
          <t>Not applicable</t>
        </is>
      </c>
      <c r="F33" s="11" t="inlineStr">
        <is>
          <t>Data Not Publicly Available</t>
        </is>
      </c>
      <c r="G33" s="11" t="inlineStr">
        <is>
          <t>Data Not Publicly Available</t>
        </is>
      </c>
      <c r="H33" s="11" t="inlineStr">
        <is>
          <t>Data Not Publicly Available</t>
        </is>
      </c>
      <c r="I33" s="11" t="inlineStr">
        <is>
          <t>Data Not Publicly Available</t>
        </is>
      </c>
      <c r="J33" s="11" t="inlineStr">
        <is>
          <t>Data Not Publicly Available</t>
        </is>
      </c>
      <c r="K33" s="11" t="inlineStr">
        <is>
          <t>S34</t>
        </is>
      </c>
      <c r="L33" s="11" t="inlineStr">
        <is>
          <t>Not applicable</t>
        </is>
      </c>
      <c r="M33" s="11" t="inlineStr">
        <is>
          <t>High</t>
        </is>
      </c>
      <c r="N33" s="12" t="inlineStr">
        <is>
          <t>Neither EBITDA nor volumes are separately disclosed by the parent.</t>
        </is>
      </c>
    </row>
    <row r="34">
      <c r="A34" s="11" t="inlineStr">
        <is>
          <t>Kirloskar Ferrous</t>
        </is>
      </c>
      <c r="B34" s="11" t="inlineStr">
        <is>
          <t>Consolidated</t>
        </is>
      </c>
      <c r="C34" s="11" t="inlineStr">
        <is>
          <t>Rs/t</t>
        </is>
      </c>
      <c r="D34" s="11" t="inlineStr">
        <is>
          <t>INR</t>
        </is>
      </c>
      <c r="E34" s="11" t="inlineStr">
        <is>
          <t>Not available</t>
        </is>
      </c>
      <c r="F34" s="11" t="inlineStr">
        <is>
          <t>Data Not Publicly Available</t>
        </is>
      </c>
      <c r="G34" s="11" t="inlineStr">
        <is>
          <t>Data Not Publicly Available</t>
        </is>
      </c>
      <c r="H34" s="11" t="inlineStr">
        <is>
          <t>Data Not Publicly Available</t>
        </is>
      </c>
      <c r="I34" s="11" t="inlineStr">
        <is>
          <t>Data Not Publicly Available</t>
        </is>
      </c>
      <c r="J34" s="11" t="inlineStr">
        <is>
          <t>Data Not Publicly Available</t>
        </is>
      </c>
      <c r="K34" s="11" t="inlineStr">
        <is>
          <t>S30</t>
        </is>
      </c>
      <c r="L34" s="11" t="inlineStr">
        <is>
          <t>Not computable</t>
        </is>
      </c>
      <c r="M34" s="11" t="inlineStr">
        <is>
          <t>Low</t>
        </is>
      </c>
      <c r="N34" s="12" t="inlineStr">
        <is>
          <t>Volumes not sourced within this research cycle.</t>
        </is>
      </c>
    </row>
    <row r="36">
      <c r="A36" s="13" t="inlineStr">
        <is>
          <t>Rows marked Methodology = 'Computed' were calculated in this workbook from the issuer's own EBITDA and volume; rows marked 'As reported' are the issuer's own published per-tonne figure. EBITDA per tonne is deliberately NOT presented for APL Apollo, a tube converter, and is not computable for six Supporting names whose volumes were not sourced. No per-tonne figure has been inferred.</t>
        </is>
      </c>
    </row>
  </sheetData>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tabColor rgb="001F3864"/>
    <outlinePr summaryBelow="1" summaryRight="1"/>
    <pageSetUpPr fitToPage="1"/>
  </sheetPr>
  <dimension ref="A1:P37"/>
  <sheetViews>
    <sheetView showGridLines="0" workbookViewId="0">
      <pane xSplit="7" ySplit="17" topLeftCell="H18" activePane="bottomRight" state="frozen"/>
      <selection pane="topRight"/>
      <selection pane="bottomLeft"/>
      <selection pane="bottomRight" activeCell="A1" sqref="A1"/>
    </sheetView>
  </sheetViews>
  <sheetFormatPr baseColWidth="8" defaultRowHeight="15"/>
  <cols>
    <col width="40" customWidth="1" min="1" max="1"/>
    <col width="42" customWidth="1" min="2" max="2"/>
    <col width="20" customWidth="1" min="3" max="3"/>
    <col width="52" customWidth="1" min="4" max="4"/>
    <col width="10" customWidth="1" min="5" max="5"/>
    <col width="10" customWidth="1" min="6" max="6"/>
    <col width="26" customWidth="1" min="7" max="7"/>
    <col width="13" customWidth="1" min="8" max="8"/>
    <col width="13" customWidth="1" min="9" max="9"/>
    <col width="13" customWidth="1" min="10" max="10"/>
    <col width="16" customWidth="1" min="11" max="11"/>
    <col width="12" customWidth="1" min="12" max="12"/>
    <col width="8" customWidth="1" min="13" max="13"/>
    <col width="22" customWidth="1" min="14" max="14"/>
    <col width="11" customWidth="1" min="15" max="15"/>
    <col width="90" customWidth="1" min="16" max="16"/>
  </cols>
  <sheetData>
    <row r="1" ht="19" customHeight="1">
      <c r="A1" s="1" t="inlineStr">
        <is>
          <t>7. Steel Prices</t>
        </is>
      </c>
    </row>
    <row r="2">
      <c r="A2" s="4" t="inlineStr">
        <is>
          <t>Master Industry Database  |  Indian Steel Industry  |  Data cutoff: 03-Aug-2026</t>
        </is>
      </c>
    </row>
    <row r="3">
      <c r="A3" s="3" t="inlineStr"/>
    </row>
    <row r="4">
      <c r="A4" s="4" t="inlineStr">
        <is>
          <t>OBJECTIVE</t>
        </is>
      </c>
    </row>
    <row r="5">
      <c r="A5" s="3" t="inlineStr">
        <is>
          <t>Domestic and international steel price observations for FY2026 and FY2027 to date, each carrying its assessment basis, so that realisation assumptions can be built on a stated and reproducible reference rather than an unattributed number.</t>
        </is>
      </c>
    </row>
    <row r="6">
      <c r="A6" s="4" t="inlineStr">
        <is>
          <t>UNITS AND CURRENCY</t>
        </is>
      </c>
    </row>
    <row r="7">
      <c r="A7" s="3" t="inlineStr">
        <is>
          <t>Rs/t and US$/t as labelled per row. GST treatment is stated in Assessment Basis.</t>
        </is>
      </c>
    </row>
    <row r="8">
      <c r="A8" s="4" t="inlineStr">
        <is>
          <t>COVERAGE AND HISTORICAL DEPTH</t>
        </is>
      </c>
    </row>
    <row r="9">
      <c r="A9" s="3" t="inlineStr">
        <is>
          <t>FY2026 price path plus a June 2026 cross-regional snapshot and a July 2026 rebar benchmark. No continuous monthly history is asserted.</t>
        </is>
      </c>
    </row>
    <row r="10">
      <c r="A10" s="4" t="inlineStr">
        <is>
          <t>DATA FREQUENCY</t>
        </is>
      </c>
    </row>
    <row r="11">
      <c r="A11" s="3" t="inlineStr">
        <is>
          <t>Point-in-time and monthly observations. The Ministry of Steel publishes a month-end Mumbai retail series, registered here but published as a chart only.</t>
        </is>
      </c>
    </row>
    <row r="12">
      <c r="A12" s="4" t="inlineStr">
        <is>
          <t>SOURCE HIERARCHY APPLIED</t>
        </is>
      </c>
    </row>
    <row r="13">
      <c r="A13" s="3" t="inlineStr">
        <is>
          <t>Tier 1 first: World Bank Commodity Price Data and Ministry of Steel published assessments. Tier 2 rating agency and sell-side trackers are used only where no official series exists, and are labelled with the assessor on every row.</t>
        </is>
      </c>
    </row>
    <row r="14">
      <c r="A14" s="4" t="inlineStr">
        <is>
          <t>COLUMN RATIONALE</t>
        </is>
      </c>
    </row>
    <row r="15">
      <c r="A15" s="3" t="inlineStr">
        <is>
          <t>Assessment Basis is as important as the value itself. Indian HRC quotes differ by up to Rs 4,000/t purely on basis - ex-works against ex-Mumbai trade, GST-inclusive against exclusive, month-end against monthly average, primary mill against trade. 52-week high and low are carried because the FY2026 range of Rs 45,700-59,600/t is a ~30% swing and is the largest single source of FY2027 earnings uncertainty. Source Tier is shown on every row because no official Indian HRC series exists in the public domain and every domestic price here is Tier 2.</t>
        </is>
      </c>
    </row>
    <row r="16">
      <c r="A16" s="3" t="inlineStr"/>
    </row>
    <row r="17" ht="30" customHeight="1">
      <c r="A17" s="8" t="inlineStr">
        <is>
          <t>Series</t>
        </is>
      </c>
      <c r="B17" s="8" t="inlineStr">
        <is>
          <t>Product / Grade</t>
        </is>
      </c>
      <c r="C17" s="8" t="inlineStr">
        <is>
          <t>Geography</t>
        </is>
      </c>
      <c r="D17" s="8" t="inlineStr">
        <is>
          <t>Assessment Basis</t>
        </is>
      </c>
      <c r="E17" s="7" t="inlineStr">
        <is>
          <t>Unit</t>
        </is>
      </c>
      <c r="F17" s="7" t="inlineStr">
        <is>
          <t>Currency</t>
        </is>
      </c>
      <c r="G17" s="8" t="inlineStr">
        <is>
          <t>Observation Date / Period</t>
        </is>
      </c>
      <c r="H17" s="7" t="inlineStr">
        <is>
          <t>Value</t>
        </is>
      </c>
      <c r="I17" s="7" t="inlineStr">
        <is>
          <t>52-Week High</t>
        </is>
      </c>
      <c r="J17" s="7" t="inlineStr">
        <is>
          <t>52-Week Low</t>
        </is>
      </c>
      <c r="K17" s="7" t="inlineStr">
        <is>
          <t>Period Type</t>
        </is>
      </c>
      <c r="L17" s="7" t="inlineStr">
        <is>
          <t>Source ID</t>
        </is>
      </c>
      <c r="M17" s="7" t="inlineStr">
        <is>
          <t>Source Tier</t>
        </is>
      </c>
      <c r="N17" s="7" t="inlineStr">
        <is>
          <t>Methodology</t>
        </is>
      </c>
      <c r="O17" s="7" t="inlineStr">
        <is>
          <t>Confidence</t>
        </is>
      </c>
      <c r="P17" s="7" t="inlineStr">
        <is>
          <t>Notes</t>
        </is>
      </c>
    </row>
    <row r="18">
      <c r="A18" s="11" t="inlineStr">
        <is>
          <t>Domestic HRC - FY2026 price path</t>
        </is>
      </c>
      <c r="B18" s="11" t="inlineStr">
        <is>
          <t>Hot rolled coil</t>
        </is>
      </c>
      <c r="C18" s="11" t="inlineStr">
        <is>
          <t>India</t>
        </is>
      </c>
      <c r="D18" s="11" t="inlineStr">
        <is>
          <t>ICRA assessment; basis not fully specified; excludes GST</t>
        </is>
      </c>
      <c r="E18" s="11" t="inlineStr">
        <is>
          <t>Rs/t</t>
        </is>
      </c>
      <c r="F18" s="11" t="inlineStr">
        <is>
          <t>INR</t>
        </is>
      </c>
      <c r="G18" s="11" t="inlineStr">
        <is>
          <t>Early Dec-2025</t>
        </is>
      </c>
      <c r="H18" s="10" t="n">
        <v>46000</v>
      </c>
      <c r="I18" s="15" t="n"/>
      <c r="J18" s="15" t="n"/>
      <c r="K18" s="11" t="inlineStr">
        <is>
          <t>Point-in-time</t>
        </is>
      </c>
      <c r="L18" s="11" t="inlineStr">
        <is>
          <t>S19</t>
        </is>
      </c>
      <c r="M18" s="10" t="n">
        <v>2</v>
      </c>
      <c r="N18" s="11" t="inlineStr">
        <is>
          <t>As reported</t>
        </is>
      </c>
      <c r="O18" s="11" t="inlineStr">
        <is>
          <t>Medium</t>
        </is>
      </c>
      <c r="P18" s="12" t="inlineStr">
        <is>
          <t>Trough of the FY2026 cycle. Driven by excess supply over demand following the lapse of the provisional safeguard duty in Nov-2025. An alternative ICRA vintage cites ~Rs 47,000/t by mid-Nov-2025.</t>
        </is>
      </c>
    </row>
    <row r="19">
      <c r="A19" s="11" t="inlineStr">
        <is>
          <t>Domestic HRC - FY2026 price path</t>
        </is>
      </c>
      <c r="B19" s="11" t="inlineStr">
        <is>
          <t>Hot rolled coil</t>
        </is>
      </c>
      <c r="C19" s="11" t="inlineStr">
        <is>
          <t>India</t>
        </is>
      </c>
      <c r="D19" s="11" t="inlineStr">
        <is>
          <t>ICRA assessment; excludes GST</t>
        </is>
      </c>
      <c r="E19" s="11" t="inlineStr">
        <is>
          <t>Rs/t</t>
        </is>
      </c>
      <c r="F19" s="11" t="inlineStr">
        <is>
          <t>INR</t>
        </is>
      </c>
      <c r="G19" s="11" t="inlineStr">
        <is>
          <t>Sep-2025</t>
        </is>
      </c>
      <c r="H19" s="10" t="n">
        <v>49500</v>
      </c>
      <c r="I19" s="15" t="n"/>
      <c r="J19" s="15" t="n"/>
      <c r="K19" s="11" t="inlineStr">
        <is>
          <t>Point-in-time</t>
        </is>
      </c>
      <c r="L19" s="11" t="inlineStr">
        <is>
          <t>S19</t>
        </is>
      </c>
      <c r="M19" s="10" t="n">
        <v>2</v>
      </c>
      <c r="N19" s="11" t="inlineStr">
        <is>
          <t>As reported</t>
        </is>
      </c>
      <c r="O19" s="11" t="inlineStr">
        <is>
          <t>Medium</t>
        </is>
      </c>
      <c r="P19" s="12" t="inlineStr">
        <is>
          <t>Correction from the post-safeguard-duty highs of early FY2026.</t>
        </is>
      </c>
    </row>
    <row r="20">
      <c r="A20" s="11" t="inlineStr">
        <is>
          <t>Domestic HRC - FY2026 price path</t>
        </is>
      </c>
      <c r="B20" s="11" t="inlineStr">
        <is>
          <t>Hot rolled coil</t>
        </is>
      </c>
      <c r="C20" s="11" t="inlineStr">
        <is>
          <t>India</t>
        </is>
      </c>
      <c r="D20" s="11" t="inlineStr">
        <is>
          <t>ICRA assessment; excludes GST</t>
        </is>
      </c>
      <c r="E20" s="11" t="inlineStr">
        <is>
          <t>Rs/t</t>
        </is>
      </c>
      <c r="F20" s="11" t="inlineStr">
        <is>
          <t>INR</t>
        </is>
      </c>
      <c r="G20" s="11" t="inlineStr">
        <is>
          <t>Early Feb-2026</t>
        </is>
      </c>
      <c r="H20" s="10" t="n">
        <v>53800</v>
      </c>
      <c r="I20" s="15" t="n"/>
      <c r="J20" s="15" t="n"/>
      <c r="K20" s="11" t="inlineStr">
        <is>
          <t>Point-in-time</t>
        </is>
      </c>
      <c r="L20" s="11" t="inlineStr">
        <is>
          <t>S19</t>
        </is>
      </c>
      <c r="M20" s="10" t="n">
        <v>2</v>
      </c>
      <c r="N20" s="11" t="inlineStr">
        <is>
          <t>As reported</t>
        </is>
      </c>
      <c r="O20" s="11" t="inlineStr">
        <is>
          <t>Medium</t>
        </is>
      </c>
      <c r="P20" s="12" t="inlineStr">
        <is>
          <t>Rebound following reinstatement of the safeguard duty via the definitive notification of 30-Dec-2025, plus higher coking coal costs.</t>
        </is>
      </c>
    </row>
    <row r="21">
      <c r="A21" s="11" t="inlineStr">
        <is>
          <t>Domestic HRC - FY2026 price path</t>
        </is>
      </c>
      <c r="B21" s="11" t="inlineStr">
        <is>
          <t>Hot rolled coil</t>
        </is>
      </c>
      <c r="C21" s="11" t="inlineStr">
        <is>
          <t>India</t>
        </is>
      </c>
      <c r="D21" s="11" t="inlineStr">
        <is>
          <t>ICRA assessment, end-of-period; excludes GST</t>
        </is>
      </c>
      <c r="E21" s="11" t="inlineStr">
        <is>
          <t>Rs/t</t>
        </is>
      </c>
      <c r="F21" s="11" t="inlineStr">
        <is>
          <t>INR</t>
        </is>
      </c>
      <c r="G21" s="11" t="inlineStr">
        <is>
          <t>End Mar-2026</t>
        </is>
      </c>
      <c r="H21" s="10" t="n">
        <v>57700</v>
      </c>
      <c r="I21" s="15" t="n"/>
      <c r="J21" s="15" t="n"/>
      <c r="K21" s="11" t="inlineStr">
        <is>
          <t>Point-in-time</t>
        </is>
      </c>
      <c r="L21" s="11" t="inlineStr">
        <is>
          <t>S19</t>
        </is>
      </c>
      <c r="M21" s="10" t="n">
        <v>2</v>
      </c>
      <c r="N21" s="11" t="inlineStr">
        <is>
          <t>As reported</t>
        </is>
      </c>
      <c r="O21" s="11" t="inlineStr">
        <is>
          <t>High</t>
        </is>
      </c>
      <c r="P21" s="12" t="inlineStr">
        <is>
          <t>RECOMMENDED REFERENCE for end-FY2026 domestic HRC. Up ~14% quarter on quarter in Q4FY2026 on higher coking coal and iron ore costs. ICRA states the assessment point and the QoQ construction, making this figure reproducible - see Conflict C07.</t>
        </is>
      </c>
    </row>
    <row r="22">
      <c r="A22" s="11" t="inlineStr">
        <is>
          <t>Domestic steel price - broker assessment</t>
        </is>
      </c>
      <c r="B22" s="11" t="inlineStr">
        <is>
          <t>Hot rolled coil (broker 'Indian steel price')</t>
        </is>
      </c>
      <c r="C22" s="11" t="inlineStr">
        <is>
          <t>India</t>
        </is>
      </c>
      <c r="D22" s="11" t="inlineStr">
        <is>
          <t>IDBI Capital monthly assessment</t>
        </is>
      </c>
      <c r="E22" s="11" t="inlineStr">
        <is>
          <t>Rs/t</t>
        </is>
      </c>
      <c r="F22" s="11" t="inlineStr">
        <is>
          <t>INR</t>
        </is>
      </c>
      <c r="G22" s="11" t="inlineStr">
        <is>
          <t>Mar-2026</t>
        </is>
      </c>
      <c r="H22" s="10" t="n">
        <v>59500</v>
      </c>
      <c r="I22" s="15" t="n"/>
      <c r="J22" s="15" t="n"/>
      <c r="K22" s="11" t="inlineStr">
        <is>
          <t>Month</t>
        </is>
      </c>
      <c r="L22" s="11" t="inlineStr">
        <is>
          <t>S20</t>
        </is>
      </c>
      <c r="M22" s="10" t="n">
        <v>2</v>
      </c>
      <c r="N22" s="11" t="inlineStr">
        <is>
          <t>As reported</t>
        </is>
      </c>
      <c r="O22" s="11" t="inlineStr">
        <is>
          <t>Medium</t>
        </is>
      </c>
      <c r="P22" s="12" t="inlineStr">
        <is>
          <t>Up 10.2% month on month; described as the highest level in 45 months. Differs from ICRA - see Conflict C07.</t>
        </is>
      </c>
    </row>
    <row r="23">
      <c r="A23" s="11" t="inlineStr">
        <is>
          <t>Domestic steel price - trade assessment</t>
        </is>
      </c>
      <c r="B23" s="11" t="inlineStr">
        <is>
          <t>Hot rolled coil</t>
        </is>
      </c>
      <c r="C23" s="11" t="inlineStr">
        <is>
          <t>India</t>
        </is>
      </c>
      <c r="D23" s="11" t="inlineStr">
        <is>
          <t>Trade assessment as reported by ETInfra</t>
        </is>
      </c>
      <c r="E23" s="11" t="inlineStr">
        <is>
          <t>Rs/t</t>
        </is>
      </c>
      <c r="F23" s="11" t="inlineStr">
        <is>
          <t>INR</t>
        </is>
      </c>
      <c r="G23" s="11" t="inlineStr">
        <is>
          <t>Mar-2026</t>
        </is>
      </c>
      <c r="H23" s="10" t="n">
        <v>55900</v>
      </c>
      <c r="I23" s="15" t="n"/>
      <c r="J23" s="15" t="n"/>
      <c r="K23" s="11" t="inlineStr">
        <is>
          <t>Point-in-time</t>
        </is>
      </c>
      <c r="L23" s="11" t="inlineStr">
        <is>
          <t>S40</t>
        </is>
      </c>
      <c r="M23" s="10" t="n">
        <v>2</v>
      </c>
      <c r="N23" s="11" t="inlineStr">
        <is>
          <t>As reported</t>
        </is>
      </c>
      <c r="O23" s="11" t="inlineStr">
        <is>
          <t>Low</t>
        </is>
      </c>
      <c r="P23" s="12" t="inlineStr">
        <is>
          <t>Reported alongside a Dec-2025 quarter comparative of Rs 47,317/t, i.e. an 18% increase attributed to the extended safeguard duty.</t>
        </is>
      </c>
    </row>
    <row r="24">
      <c r="A24" s="11" t="inlineStr">
        <is>
          <t>Domestic rebar - trade assessment</t>
        </is>
      </c>
      <c r="B24" s="11" t="inlineStr">
        <is>
          <t>Primary rebar</t>
        </is>
      </c>
      <c r="C24" s="11" t="inlineStr">
        <is>
          <t>India</t>
        </is>
      </c>
      <c r="D24" s="11" t="inlineStr">
        <is>
          <t>Trade assessment as reported by ETInfra</t>
        </is>
      </c>
      <c r="E24" s="11" t="inlineStr">
        <is>
          <t>Rs/t</t>
        </is>
      </c>
      <c r="F24" s="11" t="inlineStr">
        <is>
          <t>INR</t>
        </is>
      </c>
      <c r="G24" s="11" t="inlineStr">
        <is>
          <t>Mar-2026</t>
        </is>
      </c>
      <c r="H24" s="10" t="n">
        <v>59800</v>
      </c>
      <c r="I24" s="15" t="n"/>
      <c r="J24" s="15" t="n"/>
      <c r="K24" s="11" t="inlineStr">
        <is>
          <t>Point-in-time</t>
        </is>
      </c>
      <c r="L24" s="11" t="inlineStr">
        <is>
          <t>S40</t>
        </is>
      </c>
      <c r="M24" s="10" t="n">
        <v>2</v>
      </c>
      <c r="N24" s="11" t="inlineStr">
        <is>
          <t>As reported</t>
        </is>
      </c>
      <c r="O24" s="11" t="inlineStr">
        <is>
          <t>Low</t>
        </is>
      </c>
      <c r="P24" s="12" t="inlineStr">
        <is>
          <t>Against a Dec-2025 quarter comparative of Rs 47,615/t, i.e. a 25% increase. Longs outperformed flats on the safeguard duty because the duty covers FLAT products only, tightening flat supply while construction demand lifted longs.</t>
        </is>
      </c>
    </row>
    <row r="25">
      <c r="A25" s="11" t="inlineStr">
        <is>
          <t>Regional HRC snapshot</t>
        </is>
      </c>
      <c r="B25" s="11" t="inlineStr">
        <is>
          <t>Hot rolled coil</t>
        </is>
      </c>
      <c r="C25" s="11" t="inlineStr">
        <is>
          <t>India</t>
        </is>
      </c>
      <c r="D25" s="11" t="inlineStr">
        <is>
          <t>IDBI Capital weekly spot; excludes GST</t>
        </is>
      </c>
      <c r="E25" s="11" t="inlineStr">
        <is>
          <t>Rs/t</t>
        </is>
      </c>
      <c r="F25" s="11" t="inlineStr">
        <is>
          <t>INR</t>
        </is>
      </c>
      <c r="G25" s="11" t="inlineStr">
        <is>
          <t>Week ended 22-Jun-2026</t>
        </is>
      </c>
      <c r="H25" s="10" t="n">
        <v>58200</v>
      </c>
      <c r="I25" s="10" t="n">
        <v>59600</v>
      </c>
      <c r="J25" s="10" t="n">
        <v>45700</v>
      </c>
      <c r="K25" s="11" t="inlineStr">
        <is>
          <t>Point-in-time</t>
        </is>
      </c>
      <c r="L25" s="11" t="inlineStr">
        <is>
          <t>S21</t>
        </is>
      </c>
      <c r="M25" s="10" t="n">
        <v>2</v>
      </c>
      <c r="N25" s="11" t="inlineStr">
        <is>
          <t>As reported</t>
        </is>
      </c>
      <c r="O25" s="11" t="inlineStr">
        <is>
          <t>Medium</t>
        </is>
      </c>
      <c r="P25" s="12" t="inlineStr">
        <is>
          <t>The 52-week range of Rs 45,700-59,600/t is a ~30% swing and is the single best illustration of why FY2027 earnings are highly price-sensitive. Flat week on week; down 0.9% month on month.</t>
        </is>
      </c>
    </row>
    <row r="26">
      <c r="A26" s="11" t="inlineStr">
        <is>
          <t>Regional HRC snapshot</t>
        </is>
      </c>
      <c r="B26" s="11" t="inlineStr">
        <is>
          <t>Hot rolled coil</t>
        </is>
      </c>
      <c r="C26" s="11" t="inlineStr">
        <is>
          <t>China</t>
        </is>
      </c>
      <c r="D26" s="11" t="inlineStr">
        <is>
          <t>FOB China, converted to INR by the broker</t>
        </is>
      </c>
      <c r="E26" s="11" t="inlineStr">
        <is>
          <t>Rs/t</t>
        </is>
      </c>
      <c r="F26" s="11" t="inlineStr">
        <is>
          <t>INR</t>
        </is>
      </c>
      <c r="G26" s="11" t="inlineStr">
        <is>
          <t>Week ended 22-Jun-2026</t>
        </is>
      </c>
      <c r="H26" s="10" t="n">
        <v>48580</v>
      </c>
      <c r="I26" s="10" t="n">
        <v>49052</v>
      </c>
      <c r="J26" s="10" t="n">
        <v>41977</v>
      </c>
      <c r="K26" s="11" t="inlineStr">
        <is>
          <t>Point-in-time</t>
        </is>
      </c>
      <c r="L26" s="11" t="inlineStr">
        <is>
          <t>S21</t>
        </is>
      </c>
      <c r="M26" s="10" t="n">
        <v>2</v>
      </c>
      <c r="N26" s="11" t="inlineStr">
        <is>
          <t>As reported</t>
        </is>
      </c>
      <c r="O26" s="11" t="inlineStr">
        <is>
          <t>Medium</t>
        </is>
      </c>
      <c r="P26" s="12" t="inlineStr">
        <is>
          <t>The Indian premium over Chinese FOB was ~Rs 9,620/t (~20%) at this date. This spread is the core determinant of import pressure and hence of the political durability of the safeguard duty.</t>
        </is>
      </c>
    </row>
    <row r="27">
      <c r="A27" s="11" t="inlineStr">
        <is>
          <t>Regional HRC snapshot</t>
        </is>
      </c>
      <c r="B27" s="11" t="inlineStr">
        <is>
          <t>Hot rolled coil</t>
        </is>
      </c>
      <c r="C27" s="11" t="inlineStr">
        <is>
          <t>South East Asia</t>
        </is>
      </c>
      <c r="D27" s="11" t="inlineStr">
        <is>
          <t>CNF South East Asia, converted to INR by the broker</t>
        </is>
      </c>
      <c r="E27" s="11" t="inlineStr">
        <is>
          <t>Rs/t</t>
        </is>
      </c>
      <c r="F27" s="11" t="inlineStr">
        <is>
          <t>INR</t>
        </is>
      </c>
      <c r="G27" s="11" t="inlineStr">
        <is>
          <t>Week ended 22-Jun-2026</t>
        </is>
      </c>
      <c r="H27" s="10" t="n">
        <v>50938</v>
      </c>
      <c r="I27" s="10" t="n">
        <v>51410</v>
      </c>
      <c r="J27" s="10" t="n">
        <v>44807</v>
      </c>
      <c r="K27" s="11" t="inlineStr">
        <is>
          <t>Point-in-time</t>
        </is>
      </c>
      <c r="L27" s="11" t="inlineStr">
        <is>
          <t>S21</t>
        </is>
      </c>
      <c r="M27" s="10" t="n">
        <v>2</v>
      </c>
      <c r="N27" s="11" t="inlineStr">
        <is>
          <t>As reported</t>
        </is>
      </c>
      <c r="O27" s="11" t="inlineStr">
        <is>
          <t>Medium</t>
        </is>
      </c>
      <c r="P27" s="12" t="inlineStr">
        <is>
          <t>Down 0.9% week on week.</t>
        </is>
      </c>
    </row>
    <row r="28">
      <c r="A28" s="11" t="inlineStr">
        <is>
          <t>Regional HRC snapshot</t>
        </is>
      </c>
      <c r="B28" s="11" t="inlineStr">
        <is>
          <t>Hot rolled coil</t>
        </is>
      </c>
      <c r="C28" s="11" t="inlineStr">
        <is>
          <t>CIS</t>
        </is>
      </c>
      <c r="D28" s="11" t="inlineStr">
        <is>
          <t>FOB CIS, converted to INR by the broker</t>
        </is>
      </c>
      <c r="E28" s="11" t="inlineStr">
        <is>
          <t>Rs/t</t>
        </is>
      </c>
      <c r="F28" s="11" t="inlineStr">
        <is>
          <t>INR</t>
        </is>
      </c>
      <c r="G28" s="11" t="inlineStr">
        <is>
          <t>Week ended 22-Jun-2026</t>
        </is>
      </c>
      <c r="H28" s="10" t="n">
        <v>51410</v>
      </c>
      <c r="I28" s="10" t="n">
        <v>51410</v>
      </c>
      <c r="J28" s="10" t="n">
        <v>41505</v>
      </c>
      <c r="K28" s="11" t="inlineStr">
        <is>
          <t>Point-in-time</t>
        </is>
      </c>
      <c r="L28" s="11" t="inlineStr">
        <is>
          <t>S21</t>
        </is>
      </c>
      <c r="M28" s="10" t="n">
        <v>2</v>
      </c>
      <c r="N28" s="11" t="inlineStr">
        <is>
          <t>As reported</t>
        </is>
      </c>
      <c r="O28" s="11" t="inlineStr">
        <is>
          <t>Medium</t>
        </is>
      </c>
      <c r="P28" s="12" t="inlineStr">
        <is>
          <t>Up 0.9% week on week and up 21.1% year on year - the strongest year-on-year move of the four regional benchmarks, reflecting West Asia supply-chain disruption.</t>
        </is>
      </c>
    </row>
    <row r="29">
      <c r="A29" s="11" t="inlineStr">
        <is>
          <t>International steel price</t>
        </is>
      </c>
      <c r="B29" s="11" t="inlineStr">
        <is>
          <t>Hot rolled coil</t>
        </is>
      </c>
      <c r="C29" s="11" t="inlineStr">
        <is>
          <t>China</t>
        </is>
      </c>
      <c r="D29" s="11" t="inlineStr">
        <is>
          <t>Broker assessment in USD</t>
        </is>
      </c>
      <c r="E29" s="11" t="inlineStr">
        <is>
          <t>US$/t</t>
        </is>
      </c>
      <c r="F29" s="11" t="inlineStr">
        <is>
          <t>USD</t>
        </is>
      </c>
      <c r="G29" s="11" t="inlineStr">
        <is>
          <t>Mar-2026</t>
        </is>
      </c>
      <c r="H29" s="10" t="n">
        <v>500</v>
      </c>
      <c r="I29" s="15" t="n"/>
      <c r="J29" s="15" t="n"/>
      <c r="K29" s="11" t="inlineStr">
        <is>
          <t>Month</t>
        </is>
      </c>
      <c r="L29" s="11" t="inlineStr">
        <is>
          <t>S20</t>
        </is>
      </c>
      <c r="M29" s="10" t="n">
        <v>2</v>
      </c>
      <c r="N29" s="11" t="inlineStr">
        <is>
          <t>As reported</t>
        </is>
      </c>
      <c r="O29" s="11" t="inlineStr">
        <is>
          <t>Medium</t>
        </is>
      </c>
      <c r="P29" s="12" t="inlineStr">
        <is>
          <t>Up 7.5% month on month to an 8-month high, attributed to supply disruption from Iran, higher energy and freight costs and improved mill profitability.</t>
        </is>
      </c>
    </row>
    <row r="30">
      <c r="A30" s="11" t="inlineStr">
        <is>
          <t>Domestic rebar benchmark</t>
        </is>
      </c>
      <c r="B30" s="11" t="inlineStr">
        <is>
          <t>Rebar IS 1786 Fe 550D, 12-32 mm, BF route</t>
        </is>
      </c>
      <c r="C30" s="11" t="inlineStr">
        <is>
          <t>India (ex-Mumbai)</t>
        </is>
      </c>
      <c r="D30" s="11" t="inlineStr">
        <is>
          <t>Distributor-to-dealer, ex-Mumbai, EXCLUDES 18% GST</t>
        </is>
      </c>
      <c r="E30" s="11" t="inlineStr">
        <is>
          <t>Rs/t</t>
        </is>
      </c>
      <c r="F30" s="11" t="inlineStr">
        <is>
          <t>INR</t>
        </is>
      </c>
      <c r="G30" s="11" t="inlineStr">
        <is>
          <t>31-Jul-2026</t>
        </is>
      </c>
      <c r="H30" s="10" t="n">
        <v>50900</v>
      </c>
      <c r="I30" s="15" t="n"/>
      <c r="J30" s="15" t="n"/>
      <c r="K30" s="11" t="inlineStr">
        <is>
          <t>Point-in-time</t>
        </is>
      </c>
      <c r="L30" s="11" t="inlineStr">
        <is>
          <t>S22</t>
        </is>
      </c>
      <c r="M30" s="10" t="n">
        <v>2</v>
      </c>
      <c r="N30" s="11" t="inlineStr">
        <is>
          <t>As reported</t>
        </is>
      </c>
      <c r="O30" s="11" t="inlineStr">
        <is>
          <t>High</t>
        </is>
      </c>
      <c r="P30" s="12" t="inlineStr">
        <is>
          <t>BigMint benchmark. Up Rs 2,200/t week on week from Rs 48,700/t on 24-Jul-2026, on tightening supply and inventory restocking. The most precisely specified steel price in this workbook - grade, size, route, location, channel and tax treatment are all stated.</t>
        </is>
      </c>
    </row>
    <row r="31">
      <c r="A31" s="11" t="inlineStr">
        <is>
          <t>Import parity</t>
        </is>
      </c>
      <c r="B31" s="11" t="inlineStr">
        <is>
          <t>Hot rolled coil</t>
        </is>
      </c>
      <c r="C31" s="11" t="inlineStr">
        <is>
          <t>India</t>
        </is>
      </c>
      <c r="D31" s="11" t="inlineStr">
        <is>
          <t>Domestic price versus landed cost of imports</t>
        </is>
      </c>
      <c r="E31" s="11" t="inlineStr">
        <is>
          <t>US$/t</t>
        </is>
      </c>
      <c r="F31" s="11" t="inlineStr">
        <is>
          <t>USD</t>
        </is>
      </c>
      <c r="G31" s="11" t="inlineStr">
        <is>
          <t>Apr-2026</t>
        </is>
      </c>
      <c r="H31" s="15" t="n"/>
      <c r="I31" s="10" t="n">
        <v>-29</v>
      </c>
      <c r="J31" s="10" t="n">
        <v>-45</v>
      </c>
      <c r="K31" s="11" t="inlineStr">
        <is>
          <t>Point-in-time</t>
        </is>
      </c>
      <c r="L31" s="11" t="inlineStr">
        <is>
          <t>S19</t>
        </is>
      </c>
      <c r="M31" s="10" t="n">
        <v>2</v>
      </c>
      <c r="N31" s="11" t="inlineStr">
        <is>
          <t>As reported</t>
        </is>
      </c>
      <c r="O31" s="11" t="inlineStr">
        <is>
          <t>Medium</t>
        </is>
      </c>
      <c r="P31" s="12" t="inlineStr">
        <is>
          <t>Domestic HRC traded at a DISCOUNT of USD 29-45/t to landed imports at the start of FY2027, keeping imports uncompetitive and supporting domestic realisations. Shown in the high/low columns as a range; a negative sign denotes a discount to import parity.</t>
        </is>
      </c>
    </row>
    <row r="32">
      <c r="A32" s="11" t="inlineStr">
        <is>
          <t>Ministry of Steel Mumbai retail series</t>
        </is>
      </c>
      <c r="B32" s="11" t="inlineStr">
        <is>
          <t>TMT 10 mm</t>
        </is>
      </c>
      <c r="C32" s="11" t="inlineStr">
        <is>
          <t>Mumbai (retail)</t>
        </is>
      </c>
      <c r="D32" s="11" t="inlineStr">
        <is>
          <t>Retail, INCLUDES GST; month-end</t>
        </is>
      </c>
      <c r="E32" s="11" t="inlineStr">
        <is>
          <t>Rs/t</t>
        </is>
      </c>
      <c r="F32" s="11" t="inlineStr">
        <is>
          <t>INR</t>
        </is>
      </c>
      <c r="G32" s="11" t="inlineStr">
        <is>
          <t>Monthly, 31-Oct-2023 to 31-Mar-2026</t>
        </is>
      </c>
      <c r="H32" s="11" t="inlineStr">
        <is>
          <t>Data Not Publicly Available</t>
        </is>
      </c>
      <c r="I32" s="15" t="n"/>
      <c r="J32" s="15" t="n"/>
      <c r="K32" s="11" t="inlineStr">
        <is>
          <t>Month</t>
        </is>
      </c>
      <c r="L32" s="11" t="inlineStr">
        <is>
          <t>S01</t>
        </is>
      </c>
      <c r="M32" s="10" t="n">
        <v>1</v>
      </c>
      <c r="N32" s="11" t="inlineStr">
        <is>
          <t>Not tabulated at source</t>
        </is>
      </c>
      <c r="O32" s="11" t="inlineStr">
        <is>
          <t>High</t>
        </is>
      </c>
      <c r="P32" s="12" t="inlineStr">
        <is>
          <t>The Ministry of Steel publishes this month-end series as a CHART ONLY in its Monthly Economic Report; the underlying values are not tabulated in the document. Recorded here so the series is registered in the database with its correct definition and frequency. Obtain the numeric series from JPC on request. NOTE: GST-inclusive retail prices are NOT comparable with the ex-works and trade assessments above.</t>
        </is>
      </c>
    </row>
    <row r="33">
      <c r="A33" s="11" t="inlineStr">
        <is>
          <t>Ministry of Steel Mumbai retail series</t>
        </is>
      </c>
      <c r="B33" s="11" t="inlineStr">
        <is>
          <t>HR coils 2.50 mm</t>
        </is>
      </c>
      <c r="C33" s="11" t="inlineStr">
        <is>
          <t>Mumbai (retail)</t>
        </is>
      </c>
      <c r="D33" s="11" t="inlineStr">
        <is>
          <t>Retail, INCLUDES GST; month-end</t>
        </is>
      </c>
      <c r="E33" s="11" t="inlineStr">
        <is>
          <t>Rs/t</t>
        </is>
      </c>
      <c r="F33" s="11" t="inlineStr">
        <is>
          <t>INR</t>
        </is>
      </c>
      <c r="G33" s="11" t="inlineStr">
        <is>
          <t>Monthly, 31-Oct-2023 to 31-Mar-2026</t>
        </is>
      </c>
      <c r="H33" s="11" t="inlineStr">
        <is>
          <t>Data Not Publicly Available</t>
        </is>
      </c>
      <c r="I33" s="15" t="n"/>
      <c r="J33" s="15" t="n"/>
      <c r="K33" s="11" t="inlineStr">
        <is>
          <t>Month</t>
        </is>
      </c>
      <c r="L33" s="11" t="inlineStr">
        <is>
          <t>S01</t>
        </is>
      </c>
      <c r="M33" s="10" t="n">
        <v>1</v>
      </c>
      <c r="N33" s="11" t="inlineStr">
        <is>
          <t>Not tabulated at source</t>
        </is>
      </c>
      <c r="O33" s="11" t="inlineStr">
        <is>
          <t>High</t>
        </is>
      </c>
      <c r="P33" s="12" t="inlineStr">
        <is>
          <t>As above.</t>
        </is>
      </c>
    </row>
    <row r="34">
      <c r="A34" s="11" t="inlineStr">
        <is>
          <t>Ministry of Steel Mumbai retail series</t>
        </is>
      </c>
      <c r="B34" s="11" t="inlineStr">
        <is>
          <t>CR coils 0.63 mm</t>
        </is>
      </c>
      <c r="C34" s="11" t="inlineStr">
        <is>
          <t>Mumbai (retail)</t>
        </is>
      </c>
      <c r="D34" s="11" t="inlineStr">
        <is>
          <t>Retail, INCLUDES GST; month-end</t>
        </is>
      </c>
      <c r="E34" s="11" t="inlineStr">
        <is>
          <t>Rs/t</t>
        </is>
      </c>
      <c r="F34" s="11" t="inlineStr">
        <is>
          <t>INR</t>
        </is>
      </c>
      <c r="G34" s="11" t="inlineStr">
        <is>
          <t>Monthly, 31-Oct-2023 to 31-Mar-2026</t>
        </is>
      </c>
      <c r="H34" s="11" t="inlineStr">
        <is>
          <t>Data Not Publicly Available</t>
        </is>
      </c>
      <c r="I34" s="15" t="n"/>
      <c r="J34" s="15" t="n"/>
      <c r="K34" s="11" t="inlineStr">
        <is>
          <t>Month</t>
        </is>
      </c>
      <c r="L34" s="11" t="inlineStr">
        <is>
          <t>S01</t>
        </is>
      </c>
      <c r="M34" s="10" t="n">
        <v>1</v>
      </c>
      <c r="N34" s="11" t="inlineStr">
        <is>
          <t>Not tabulated at source</t>
        </is>
      </c>
      <c r="O34" s="11" t="inlineStr">
        <is>
          <t>High</t>
        </is>
      </c>
      <c r="P34" s="12" t="inlineStr">
        <is>
          <t>As above.</t>
        </is>
      </c>
    </row>
    <row r="36">
      <c r="A36" s="13" t="inlineStr">
        <is>
          <t>MATERIAL LIMITATION: no fiscal-year average HRC realisation can be constructed from these point observations. Where an average realisation is required, use the issuer's own disclosed revenue divided by its own disclosed volume, or its disclosed EBITDA per tonne, both of which are on the Revenue and EBITDA per Ton sheets. See Conflict C07 on the March 2026 level.</t>
        </is>
      </c>
    </row>
    <row r="37">
      <c r="A37" s="13" t="inlineStr">
        <is>
          <t>The safeguard duty covers FLAT products only. This is why primary rebar rose 25% against HRC's 18% between the December 2025 quarter and March 2026: flat supply tightened while long demand was lifted by construction activity.</t>
        </is>
      </c>
    </row>
  </sheetData>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10.xml><?xml version="1.0" encoding="utf-8"?>
<worksheet xmlns="http://schemas.openxmlformats.org/spreadsheetml/2006/main">
  <sheetPr>
    <tabColor rgb="001F3864"/>
    <outlinePr summaryBelow="1" summaryRight="1"/>
    <pageSetUpPr fitToPage="1"/>
  </sheetPr>
  <dimension ref="A1:M88"/>
  <sheetViews>
    <sheetView showGridLines="0" workbookViewId="0">
      <pane xSplit="7" ySplit="74" topLeftCell="H75" activePane="bottomRight" state="frozen"/>
      <selection pane="topRight"/>
      <selection pane="bottomLeft"/>
      <selection pane="bottomRight"/>
      <selection pane="bottomLeft"/>
      <selection pane="bottomRight"/>
      <selection pane="bottomLeft"/>
      <selection pane="bottomRight"/>
      <selection pane="bottomLeft"/>
      <selection pane="bottomRight"/>
      <selection pane="bottomLeft"/>
      <selection pane="bottomRight" activeCell="A1" sqref="A1"/>
    </sheetView>
  </sheetViews>
  <sheetFormatPr baseColWidth="8" defaultRowHeight="15"/>
  <cols>
    <col width="40" customWidth="1" min="1" max="1"/>
    <col width="46" customWidth="1" min="2" max="2"/>
    <col width="46" customWidth="1" min="3" max="3"/>
    <col width="44" customWidth="1" min="4" max="4"/>
    <col width="12" customWidth="1" min="5" max="5"/>
    <col width="10" customWidth="1" min="6" max="6"/>
    <col width="24" customWidth="1" min="7" max="7"/>
    <col width="14" customWidth="1" min="8" max="8"/>
    <col width="12" customWidth="1" min="9" max="9"/>
    <col width="12" customWidth="1" min="10" max="10"/>
    <col width="18" customWidth="1" min="11" max="11"/>
    <col width="8" customWidth="1" min="12" max="12"/>
    <col width="11" customWidth="1" min="13" max="13"/>
    <col width="90" customWidth="1" min="14" max="14"/>
  </cols>
  <sheetData>
    <row r="1" ht="19" customHeight="1">
      <c r="A1" s="1" t="inlineStr">
        <is>
          <t>8. Iron Ore Prices</t>
        </is>
      </c>
    </row>
    <row r="2">
      <c r="A2" s="4" t="inlineStr">
        <is>
          <t>Master Industry Database  |  Indian Steel Industry  |  Data cutoff: 03-Aug-2026</t>
        </is>
      </c>
    </row>
    <row r="3">
      <c r="A3" s="3" t="inlineStr"/>
    </row>
    <row r="4">
      <c r="A4" s="4" t="inlineStr">
        <is>
          <t>OBJECTIVE</t>
        </is>
      </c>
    </row>
    <row r="5">
      <c r="A5" s="3" t="inlineStr">
        <is>
          <t>International and Indian domestic iron ore price series, including a complete eleven-year fiscal-year history of the 62% Fe CFR China benchmark computed from World Bank monthly data, and NMDC's notified ex-mine prices.</t>
        </is>
      </c>
    </row>
    <row r="6">
      <c r="A6" s="4" t="inlineStr">
        <is>
          <t>UNITS AND CURRENCY</t>
        </is>
      </c>
    </row>
    <row r="7">
      <c r="A7" s="3" t="inlineStr">
        <is>
          <t>US$/dmt for the international benchmark (dry metric tonne, 62% Fe, CFR China). Rs/t for domestic. US$/mt for the thermal coal reference column.</t>
        </is>
      </c>
    </row>
    <row r="8">
      <c r="A8" s="4" t="inlineStr">
        <is>
          <t>COVERAGE AND HISTORICAL DEPTH</t>
        </is>
      </c>
    </row>
    <row r="9">
      <c r="A9" s="3" t="inlineStr">
        <is>
          <t>International benchmark: FY2016-FY2026 fiscal-year averages, CY2015-CY2025 calendar averages, monthly April 2025 to June 2026, and quarterly. Domestic: dated notifications and assessments in FY2026 and FY2027 to date.</t>
        </is>
      </c>
    </row>
    <row r="10">
      <c r="A10" s="4" t="inlineStr">
        <is>
          <t>DATA FREQUENCY</t>
        </is>
      </c>
    </row>
    <row r="11">
      <c r="A11" s="3" t="inlineStr">
        <is>
          <t>Monthly for the World Bank series; per-notification for NMDC; weekly for broker assessments.</t>
        </is>
      </c>
    </row>
    <row r="12">
      <c r="A12" s="4" t="inlineStr">
        <is>
          <t>SOURCE HIERARCHY APPLIED</t>
        </is>
      </c>
    </row>
    <row r="13">
      <c r="A13" s="3" t="inlineStr">
        <is>
          <t>Tier 1 first: World Bank Commodity Price Data and Ministry of Steel published assessments. Tier 2 rating agency and sell-side trackers are used only where no official series exists, and are labelled with the assessor on every row.</t>
        </is>
      </c>
    </row>
    <row r="14">
      <c r="A14" s="4" t="inlineStr">
        <is>
          <t>COLUMN RATIONALE</t>
        </is>
      </c>
    </row>
    <row r="15">
      <c r="A15" s="3" t="inlineStr">
        <is>
          <t>Grade and Specification is carried on every row because 62% Fe fines, 65.5% Fe lump and pellet are different products with different prices and different netbacks; quoting one against another understates or overstates delivered cost materially. Basis is carried because NMDC's notified prices are ex-mine and EXCLUDE royalty, DMF, NMET and cess - a gross-up of roughly 24% to a taxes-inclusive figure. The fiscal-year block is provided because Indian modelling requires April-March averages, which no publisher provides for this benchmark.</t>
        </is>
      </c>
    </row>
    <row r="16">
      <c r="A16" s="3" t="inlineStr"/>
    </row>
    <row r="17">
      <c r="A17" s="3" t="inlineStr">
        <is>
          <t>UNIT WARNING (Conflict C14): the World Bank Pink Sheet column header for this series reads '($/dmtu)', a legacy label from the era of annual contract pricing. The Pink Sheet's own Description sheet states the spot series is in US dollars per DRY TON for 62% Fe fines CFR China. Taking the header at face value would misstate iron ore by a factor of roughly 62.</t>
        </is>
      </c>
    </row>
    <row r="18">
      <c r="A18" s="3" t="inlineStr"/>
    </row>
    <row r="19">
      <c r="A19" s="2" t="inlineStr">
        <is>
          <t>SECTION A - INTERNATIONAL BENCHMARK, FISCAL-YEAR AVERAGES</t>
        </is>
      </c>
    </row>
    <row r="20" ht="30" customHeight="1">
      <c r="A20" s="8" t="inlineStr">
        <is>
          <t>Fiscal Year</t>
        </is>
      </c>
      <c r="B20" s="7" t="inlineStr">
        <is>
          <t>Iron Ore 62% Fe Fines, CFR China (US$/dmt)</t>
        </is>
      </c>
      <c r="C20" s="7" t="inlineStr">
        <is>
          <t>Months In Average</t>
        </is>
      </c>
      <c r="D20" s="7" t="inlineStr">
        <is>
          <t>Period Type</t>
        </is>
      </c>
      <c r="E20" s="7" t="inlineStr">
        <is>
          <t>Source ID</t>
        </is>
      </c>
      <c r="F20" s="7" t="inlineStr">
        <is>
          <t>Methodology</t>
        </is>
      </c>
      <c r="G20" s="7" t="inlineStr">
        <is>
          <t>Confidence</t>
        </is>
      </c>
      <c r="H20" s="7" t="inlineStr">
        <is>
          <t>Notes</t>
        </is>
      </c>
    </row>
    <row r="21">
      <c r="A21" s="11" t="inlineStr">
        <is>
          <t>FY2016</t>
        </is>
      </c>
      <c r="B21" s="18" t="n">
        <v>52.18</v>
      </c>
      <c r="C21" s="10" t="n">
        <v>12</v>
      </c>
      <c r="D21" s="11" t="inlineStr">
        <is>
          <t>Annual (FY) average</t>
        </is>
      </c>
      <c r="E21" s="11" t="inlineStr">
        <is>
          <t>S17</t>
        </is>
      </c>
      <c r="F21" s="11" t="inlineStr">
        <is>
          <t>Computed: arithmetic mean of the World Bank monthly nominal USD series over April to March</t>
        </is>
      </c>
      <c r="G21" s="11" t="inlineStr">
        <is>
          <t>High</t>
        </is>
      </c>
      <c r="H21" s="12" t="inlineStr">
        <is>
          <t>Iron ore (any origin) fines, spot, CFR China, 62% Fe, per the World Bank Description sheet.</t>
        </is>
      </c>
    </row>
    <row r="22">
      <c r="A22" s="11" t="inlineStr">
        <is>
          <t>FY2017</t>
        </is>
      </c>
      <c r="B22" s="18" t="n">
        <v>67.81</v>
      </c>
      <c r="C22" s="10" t="n">
        <v>12</v>
      </c>
      <c r="D22" s="11" t="inlineStr">
        <is>
          <t>Annual (FY) average</t>
        </is>
      </c>
      <c r="E22" s="11" t="inlineStr">
        <is>
          <t>S17</t>
        </is>
      </c>
      <c r="F22" s="11" t="inlineStr">
        <is>
          <t>Computed: arithmetic mean of the World Bank monthly nominal USD series over April to March</t>
        </is>
      </c>
      <c r="G22" s="11" t="inlineStr">
        <is>
          <t>High</t>
        </is>
      </c>
      <c r="H22" s="12" t="inlineStr"/>
    </row>
    <row r="23">
      <c r="A23" s="11" t="inlineStr">
        <is>
          <t>FY2018</t>
        </is>
      </c>
      <c r="B23" s="18" t="n">
        <v>68.98</v>
      </c>
      <c r="C23" s="10" t="n">
        <v>12</v>
      </c>
      <c r="D23" s="11" t="inlineStr">
        <is>
          <t>Annual (FY) average</t>
        </is>
      </c>
      <c r="E23" s="11" t="inlineStr">
        <is>
          <t>S17</t>
        </is>
      </c>
      <c r="F23" s="11" t="inlineStr">
        <is>
          <t>Computed: arithmetic mean of the World Bank monthly nominal USD series over April to March</t>
        </is>
      </c>
      <c r="G23" s="11" t="inlineStr">
        <is>
          <t>High</t>
        </is>
      </c>
      <c r="H23" s="12" t="inlineStr"/>
    </row>
    <row r="24">
      <c r="A24" s="11" t="inlineStr">
        <is>
          <t>FY2019</t>
        </is>
      </c>
      <c r="B24" s="18" t="n">
        <v>71.98999999999999</v>
      </c>
      <c r="C24" s="10" t="n">
        <v>12</v>
      </c>
      <c r="D24" s="11" t="inlineStr">
        <is>
          <t>Annual (FY) average</t>
        </is>
      </c>
      <c r="E24" s="11" t="inlineStr">
        <is>
          <t>S17</t>
        </is>
      </c>
      <c r="F24" s="11" t="inlineStr">
        <is>
          <t>Computed: arithmetic mean of the World Bank monthly nominal USD series over April to March</t>
        </is>
      </c>
      <c r="G24" s="11" t="inlineStr">
        <is>
          <t>High</t>
        </is>
      </c>
      <c r="H24" s="12" t="inlineStr"/>
    </row>
    <row r="25">
      <c r="A25" s="11" t="inlineStr">
        <is>
          <t>FY2020</t>
        </is>
      </c>
      <c r="B25" s="18" t="n">
        <v>95.66</v>
      </c>
      <c r="C25" s="10" t="n">
        <v>12</v>
      </c>
      <c r="D25" s="11" t="inlineStr">
        <is>
          <t>Annual (FY) average</t>
        </is>
      </c>
      <c r="E25" s="11" t="inlineStr">
        <is>
          <t>S17</t>
        </is>
      </c>
      <c r="F25" s="11" t="inlineStr">
        <is>
          <t>Computed: arithmetic mean of the World Bank monthly nominal USD series over April to March</t>
        </is>
      </c>
      <c r="G25" s="11" t="inlineStr">
        <is>
          <t>High</t>
        </is>
      </c>
      <c r="H25" s="12" t="inlineStr"/>
    </row>
    <row r="26">
      <c r="A26" s="11" t="inlineStr">
        <is>
          <t>FY2021</t>
        </is>
      </c>
      <c r="B26" s="18" t="n">
        <v>128.03</v>
      </c>
      <c r="C26" s="10" t="n">
        <v>12</v>
      </c>
      <c r="D26" s="11" t="inlineStr">
        <is>
          <t>Annual (FY) average</t>
        </is>
      </c>
      <c r="E26" s="11" t="inlineStr">
        <is>
          <t>S17</t>
        </is>
      </c>
      <c r="F26" s="11" t="inlineStr">
        <is>
          <t>Computed: arithmetic mean of the World Bank monthly nominal USD series over April to March</t>
        </is>
      </c>
      <c r="G26" s="11" t="inlineStr">
        <is>
          <t>High</t>
        </is>
      </c>
      <c r="H26" s="12" t="inlineStr"/>
    </row>
    <row r="27">
      <c r="A27" s="11" t="inlineStr">
        <is>
          <t>FY2022</t>
        </is>
      </c>
      <c r="B27" s="18" t="n">
        <v>155.52</v>
      </c>
      <c r="C27" s="10" t="n">
        <v>12</v>
      </c>
      <c r="D27" s="11" t="inlineStr">
        <is>
          <t>Annual (FY) average</t>
        </is>
      </c>
      <c r="E27" s="11" t="inlineStr">
        <is>
          <t>S17</t>
        </is>
      </c>
      <c r="F27" s="11" t="inlineStr">
        <is>
          <t>Computed: arithmetic mean of the World Bank monthly nominal USD series over April to March</t>
        </is>
      </c>
      <c r="G27" s="11" t="inlineStr">
        <is>
          <t>High</t>
        </is>
      </c>
      <c r="H27" s="12" t="inlineStr">
        <is>
          <t>Cycle peak of the period.</t>
        </is>
      </c>
    </row>
    <row r="28">
      <c r="A28" s="11" t="inlineStr">
        <is>
          <t>FY2023</t>
        </is>
      </c>
      <c r="B28" s="18" t="n">
        <v>117.2</v>
      </c>
      <c r="C28" s="10" t="n">
        <v>12</v>
      </c>
      <c r="D28" s="11" t="inlineStr">
        <is>
          <t>Annual (FY) average</t>
        </is>
      </c>
      <c r="E28" s="11" t="inlineStr">
        <is>
          <t>S17</t>
        </is>
      </c>
      <c r="F28" s="11" t="inlineStr">
        <is>
          <t>Computed: arithmetic mean of the World Bank monthly nominal USD series over April to March</t>
        </is>
      </c>
      <c r="G28" s="11" t="inlineStr">
        <is>
          <t>High</t>
        </is>
      </c>
      <c r="H28" s="12" t="inlineStr"/>
    </row>
    <row r="29">
      <c r="A29" s="11" t="inlineStr">
        <is>
          <t>FY2024</t>
        </is>
      </c>
      <c r="B29" s="18" t="n">
        <v>119.91</v>
      </c>
      <c r="C29" s="10" t="n">
        <v>12</v>
      </c>
      <c r="D29" s="11" t="inlineStr">
        <is>
          <t>Annual (FY) average</t>
        </is>
      </c>
      <c r="E29" s="11" t="inlineStr">
        <is>
          <t>S17</t>
        </is>
      </c>
      <c r="F29" s="11" t="inlineStr">
        <is>
          <t>Computed: arithmetic mean of the World Bank monthly nominal USD series over April to March</t>
        </is>
      </c>
      <c r="G29" s="11" t="inlineStr">
        <is>
          <t>High</t>
        </is>
      </c>
      <c r="H29" s="12" t="inlineStr"/>
    </row>
    <row r="30">
      <c r="A30" s="11" t="inlineStr">
        <is>
          <t>FY2025</t>
        </is>
      </c>
      <c r="B30" s="18" t="n">
        <v>103.97</v>
      </c>
      <c r="C30" s="10" t="n">
        <v>12</v>
      </c>
      <c r="D30" s="11" t="inlineStr">
        <is>
          <t>Annual (FY) average</t>
        </is>
      </c>
      <c r="E30" s="11" t="inlineStr">
        <is>
          <t>S17</t>
        </is>
      </c>
      <c r="F30" s="11" t="inlineStr">
        <is>
          <t>Computed: arithmetic mean of the World Bank monthly nominal USD series over April to March</t>
        </is>
      </c>
      <c r="G30" s="11" t="inlineStr">
        <is>
          <t>High</t>
        </is>
      </c>
      <c r="H30" s="12" t="inlineStr"/>
    </row>
    <row r="31">
      <c r="A31" s="11" t="inlineStr">
        <is>
          <t>FY2026</t>
        </is>
      </c>
      <c r="B31" s="18" t="n">
        <v>100.52</v>
      </c>
      <c r="C31" s="10" t="n">
        <v>12</v>
      </c>
      <c r="D31" s="11" t="inlineStr">
        <is>
          <t>Annual (FY) average</t>
        </is>
      </c>
      <c r="E31" s="11" t="inlineStr">
        <is>
          <t>S17</t>
        </is>
      </c>
      <c r="F31" s="11" t="inlineStr">
        <is>
          <t>Computed: arithmetic mean of the World Bank monthly nominal USD series over April to March</t>
        </is>
      </c>
      <c r="G31" s="11" t="inlineStr">
        <is>
          <t>High</t>
        </is>
      </c>
      <c r="H31" s="12" t="inlineStr">
        <is>
          <t>Third consecutive annual decline. A persistent tailwind for non-integrated producers and a headwind for ore-integrated names.</t>
        </is>
      </c>
    </row>
    <row r="33">
      <c r="A33" s="2" t="inlineStr">
        <is>
          <t>SECTION B - INTERNATIONAL BENCHMARK, CALENDAR-YEAR AVERAGES</t>
        </is>
      </c>
    </row>
    <row r="34" ht="30" customHeight="1">
      <c r="A34" s="8" t="inlineStr">
        <is>
          <t>Calendar Year</t>
        </is>
      </c>
      <c r="B34" s="7" t="inlineStr">
        <is>
          <t>Iron Ore 62% Fe Fines, CFR China (US$/dmt)</t>
        </is>
      </c>
      <c r="C34" s="7" t="inlineStr">
        <is>
          <t>Period Type</t>
        </is>
      </c>
      <c r="D34" s="7" t="inlineStr">
        <is>
          <t>Source ID</t>
        </is>
      </c>
      <c r="E34" s="7" t="inlineStr">
        <is>
          <t>Methodology</t>
        </is>
      </c>
      <c r="F34" s="7" t="inlineStr">
        <is>
          <t>Confidence</t>
        </is>
      </c>
      <c r="G34" s="7" t="inlineStr">
        <is>
          <t>Notes</t>
        </is>
      </c>
    </row>
    <row r="35">
      <c r="A35" s="11" t="inlineStr">
        <is>
          <t>2015</t>
        </is>
      </c>
      <c r="B35" s="18" t="n">
        <v>55.9</v>
      </c>
      <c r="C35" s="11" t="inlineStr">
        <is>
          <t>Calendar Year average</t>
        </is>
      </c>
      <c r="D35" s="11" t="inlineStr">
        <is>
          <t>S18</t>
        </is>
      </c>
      <c r="E35" s="11" t="inlineStr">
        <is>
          <t>As reported</t>
        </is>
      </c>
      <c r="F35" s="11" t="inlineStr">
        <is>
          <t>High</t>
        </is>
      </c>
      <c r="G35" s="12" t="inlineStr"/>
    </row>
    <row r="36">
      <c r="A36" s="11" t="inlineStr">
        <is>
          <t>2016</t>
        </is>
      </c>
      <c r="B36" s="18" t="n">
        <v>58.4</v>
      </c>
      <c r="C36" s="11" t="inlineStr">
        <is>
          <t>Calendar Year average</t>
        </is>
      </c>
      <c r="D36" s="11" t="inlineStr">
        <is>
          <t>S18</t>
        </is>
      </c>
      <c r="E36" s="11" t="inlineStr">
        <is>
          <t>As reported</t>
        </is>
      </c>
      <c r="F36" s="11" t="inlineStr">
        <is>
          <t>High</t>
        </is>
      </c>
      <c r="G36" s="12" t="inlineStr"/>
    </row>
    <row r="37">
      <c r="A37" s="11" t="inlineStr">
        <is>
          <t>2017</t>
        </is>
      </c>
      <c r="B37" s="18" t="n">
        <v>71.8</v>
      </c>
      <c r="C37" s="11" t="inlineStr">
        <is>
          <t>Calendar Year average</t>
        </is>
      </c>
      <c r="D37" s="11" t="inlineStr">
        <is>
          <t>S18</t>
        </is>
      </c>
      <c r="E37" s="11" t="inlineStr">
        <is>
          <t>As reported</t>
        </is>
      </c>
      <c r="F37" s="11" t="inlineStr">
        <is>
          <t>High</t>
        </is>
      </c>
      <c r="G37" s="12" t="inlineStr"/>
    </row>
    <row r="38">
      <c r="A38" s="11" t="inlineStr">
        <is>
          <t>2018</t>
        </is>
      </c>
      <c r="B38" s="18" t="n">
        <v>69.8</v>
      </c>
      <c r="C38" s="11" t="inlineStr">
        <is>
          <t>Calendar Year average</t>
        </is>
      </c>
      <c r="D38" s="11" t="inlineStr">
        <is>
          <t>S18</t>
        </is>
      </c>
      <c r="E38" s="11" t="inlineStr">
        <is>
          <t>As reported</t>
        </is>
      </c>
      <c r="F38" s="11" t="inlineStr">
        <is>
          <t>High</t>
        </is>
      </c>
      <c r="G38" s="12" t="inlineStr"/>
    </row>
    <row r="39">
      <c r="A39" s="11" t="inlineStr">
        <is>
          <t>2019</t>
        </is>
      </c>
      <c r="B39" s="18" t="n">
        <v>93.8</v>
      </c>
      <c r="C39" s="11" t="inlineStr">
        <is>
          <t>Calendar Year average</t>
        </is>
      </c>
      <c r="D39" s="11" t="inlineStr">
        <is>
          <t>S18</t>
        </is>
      </c>
      <c r="E39" s="11" t="inlineStr">
        <is>
          <t>As reported</t>
        </is>
      </c>
      <c r="F39" s="11" t="inlineStr">
        <is>
          <t>High</t>
        </is>
      </c>
      <c r="G39" s="12" t="inlineStr"/>
    </row>
    <row r="40">
      <c r="A40" s="11" t="inlineStr">
        <is>
          <t>2020</t>
        </is>
      </c>
      <c r="B40" s="18" t="n">
        <v>108.9</v>
      </c>
      <c r="C40" s="11" t="inlineStr">
        <is>
          <t>Calendar Year average</t>
        </is>
      </c>
      <c r="D40" s="11" t="inlineStr">
        <is>
          <t>S18</t>
        </is>
      </c>
      <c r="E40" s="11" t="inlineStr">
        <is>
          <t>As reported</t>
        </is>
      </c>
      <c r="F40" s="11" t="inlineStr">
        <is>
          <t>High</t>
        </is>
      </c>
      <c r="G40" s="12" t="inlineStr"/>
    </row>
    <row r="41">
      <c r="A41" s="11" t="inlineStr">
        <is>
          <t>2021</t>
        </is>
      </c>
      <c r="B41" s="18" t="n">
        <v>161.7</v>
      </c>
      <c r="C41" s="11" t="inlineStr">
        <is>
          <t>Calendar Year average</t>
        </is>
      </c>
      <c r="D41" s="11" t="inlineStr">
        <is>
          <t>S18</t>
        </is>
      </c>
      <c r="E41" s="11" t="inlineStr">
        <is>
          <t>As reported</t>
        </is>
      </c>
      <c r="F41" s="11" t="inlineStr">
        <is>
          <t>High</t>
        </is>
      </c>
      <c r="G41" s="12" t="inlineStr"/>
    </row>
    <row r="42">
      <c r="A42" s="11" t="inlineStr">
        <is>
          <t>2022</t>
        </is>
      </c>
      <c r="B42" s="18" t="n">
        <v>121.3</v>
      </c>
      <c r="C42" s="11" t="inlineStr">
        <is>
          <t>Calendar Year average</t>
        </is>
      </c>
      <c r="D42" s="11" t="inlineStr">
        <is>
          <t>S18</t>
        </is>
      </c>
      <c r="E42" s="11" t="inlineStr">
        <is>
          <t>As reported</t>
        </is>
      </c>
      <c r="F42" s="11" t="inlineStr">
        <is>
          <t>High</t>
        </is>
      </c>
      <c r="G42" s="12" t="inlineStr"/>
    </row>
    <row r="43">
      <c r="A43" s="11" t="inlineStr">
        <is>
          <t>2023</t>
        </is>
      </c>
      <c r="B43" s="18" t="n">
        <v>120.6</v>
      </c>
      <c r="C43" s="11" t="inlineStr">
        <is>
          <t>Calendar Year average</t>
        </is>
      </c>
      <c r="D43" s="11" t="inlineStr">
        <is>
          <t>S18</t>
        </is>
      </c>
      <c r="E43" s="11" t="inlineStr">
        <is>
          <t>As reported</t>
        </is>
      </c>
      <c r="F43" s="11" t="inlineStr">
        <is>
          <t>High</t>
        </is>
      </c>
      <c r="G43" s="12" t="inlineStr"/>
    </row>
    <row r="44">
      <c r="A44" s="11" t="inlineStr">
        <is>
          <t>2024</t>
        </is>
      </c>
      <c r="B44" s="18" t="n">
        <v>109.4</v>
      </c>
      <c r="C44" s="11" t="inlineStr">
        <is>
          <t>Calendar Year average</t>
        </is>
      </c>
      <c r="D44" s="11" t="inlineStr">
        <is>
          <t>S18</t>
        </is>
      </c>
      <c r="E44" s="11" t="inlineStr">
        <is>
          <t>As reported</t>
        </is>
      </c>
      <c r="F44" s="11" t="inlineStr">
        <is>
          <t>High</t>
        </is>
      </c>
      <c r="G44" s="12" t="inlineStr"/>
    </row>
    <row r="45">
      <c r="A45" s="11" t="inlineStr">
        <is>
          <t>2025</t>
        </is>
      </c>
      <c r="B45" s="18" t="n">
        <v>100.2</v>
      </c>
      <c r="C45" s="11" t="inlineStr">
        <is>
          <t>Calendar Year average</t>
        </is>
      </c>
      <c r="D45" s="11" t="inlineStr">
        <is>
          <t>S18</t>
        </is>
      </c>
      <c r="E45" s="11" t="inlineStr">
        <is>
          <t>As reported</t>
        </is>
      </c>
      <c r="F45" s="11" t="inlineStr">
        <is>
          <t>High</t>
        </is>
      </c>
      <c r="G45" s="12" t="inlineStr">
        <is>
          <t>Provided for cross-country comparison and for reconciling to non-Indian research. The annual Pink Sheet file is a March 2026 vintage and therefore stops at CY2025.</t>
        </is>
      </c>
    </row>
    <row r="47">
      <c r="A47" s="2" t="inlineStr">
        <is>
          <t>SECTION C - MONTHLY SERIES, APRIL 2025 TO JUNE 2026</t>
        </is>
      </c>
    </row>
    <row r="48" ht="30" customHeight="1">
      <c r="A48" s="8" t="inlineStr">
        <is>
          <t>Month</t>
        </is>
      </c>
      <c r="B48" s="7" t="inlineStr">
        <is>
          <t>Iron Ore 62% Fe Fines, CFR China (US$/dmt)</t>
        </is>
      </c>
      <c r="C48" s="7" t="inlineStr">
        <is>
          <t>Australian THERMAL Coal, FOB Newcastle 6000 kcal/kg (US$/mt)</t>
        </is>
      </c>
      <c r="D48" s="7" t="inlineStr">
        <is>
          <t>Fiscal Year</t>
        </is>
      </c>
      <c r="E48" s="7" t="inlineStr">
        <is>
          <t>Fiscal Quarter</t>
        </is>
      </c>
      <c r="F48" s="7" t="inlineStr">
        <is>
          <t>Period Type</t>
        </is>
      </c>
      <c r="G48" s="7" t="inlineStr">
        <is>
          <t>Source ID</t>
        </is>
      </c>
      <c r="H48" s="7" t="inlineStr">
        <is>
          <t>Confidence</t>
        </is>
      </c>
    </row>
    <row r="49">
      <c r="A49" s="11" t="inlineStr">
        <is>
          <t>Apr-2025</t>
        </is>
      </c>
      <c r="B49" s="18" t="n">
        <v>97.2</v>
      </c>
      <c r="C49" s="18" t="n">
        <v>98.59999999999999</v>
      </c>
      <c r="D49" s="11" t="inlineStr">
        <is>
          <t>FY2026</t>
        </is>
      </c>
      <c r="E49" s="11" t="inlineStr">
        <is>
          <t>Q1</t>
        </is>
      </c>
      <c r="F49" s="11" t="inlineStr">
        <is>
          <t>Month</t>
        </is>
      </c>
      <c r="G49" s="11" t="inlineStr">
        <is>
          <t>S17</t>
        </is>
      </c>
      <c r="H49" s="11" t="inlineStr">
        <is>
          <t>High</t>
        </is>
      </c>
    </row>
    <row r="50">
      <c r="A50" s="11" t="inlineStr">
        <is>
          <t>May-2025</t>
        </is>
      </c>
      <c r="B50" s="18" t="n">
        <v>97</v>
      </c>
      <c r="C50" s="18" t="n">
        <v>104.4</v>
      </c>
      <c r="D50" s="11" t="inlineStr">
        <is>
          <t>FY2026</t>
        </is>
      </c>
      <c r="E50" s="11" t="inlineStr">
        <is>
          <t>Q1</t>
        </is>
      </c>
      <c r="F50" s="11" t="inlineStr">
        <is>
          <t>Month</t>
        </is>
      </c>
      <c r="G50" s="11" t="inlineStr">
        <is>
          <t>S17</t>
        </is>
      </c>
      <c r="H50" s="11" t="inlineStr">
        <is>
          <t>High</t>
        </is>
      </c>
    </row>
    <row r="51">
      <c r="A51" s="11" t="inlineStr">
        <is>
          <t>Jun-2025</t>
        </is>
      </c>
      <c r="B51" s="18" t="n">
        <v>92.3</v>
      </c>
      <c r="C51" s="18" t="n">
        <v>109</v>
      </c>
      <c r="D51" s="11" t="inlineStr">
        <is>
          <t>FY2026</t>
        </is>
      </c>
      <c r="E51" s="11" t="inlineStr">
        <is>
          <t>Q1</t>
        </is>
      </c>
      <c r="F51" s="11" t="inlineStr">
        <is>
          <t>Month</t>
        </is>
      </c>
      <c r="G51" s="11" t="inlineStr">
        <is>
          <t>S17</t>
        </is>
      </c>
      <c r="H51" s="11" t="inlineStr">
        <is>
          <t>High</t>
        </is>
      </c>
    </row>
    <row r="52">
      <c r="A52" s="11" t="inlineStr">
        <is>
          <t>Jul-2025</t>
        </is>
      </c>
      <c r="B52" s="18" t="n">
        <v>97.3</v>
      </c>
      <c r="C52" s="18" t="n">
        <v>112.9</v>
      </c>
      <c r="D52" s="11" t="inlineStr">
        <is>
          <t>FY2026</t>
        </is>
      </c>
      <c r="E52" s="11" t="inlineStr">
        <is>
          <t>Q2</t>
        </is>
      </c>
      <c r="F52" s="11" t="inlineStr">
        <is>
          <t>Month</t>
        </is>
      </c>
      <c r="G52" s="11" t="inlineStr">
        <is>
          <t>S17</t>
        </is>
      </c>
      <c r="H52" s="11" t="inlineStr">
        <is>
          <t>High</t>
        </is>
      </c>
    </row>
    <row r="53">
      <c r="A53" s="11" t="inlineStr">
        <is>
          <t>Aug-2025</t>
        </is>
      </c>
      <c r="B53" s="18" t="n">
        <v>99.7</v>
      </c>
      <c r="C53" s="18" t="n">
        <v>112.2</v>
      </c>
      <c r="D53" s="11" t="inlineStr">
        <is>
          <t>FY2026</t>
        </is>
      </c>
      <c r="E53" s="11" t="inlineStr">
        <is>
          <t>Q2</t>
        </is>
      </c>
      <c r="F53" s="11" t="inlineStr">
        <is>
          <t>Month</t>
        </is>
      </c>
      <c r="G53" s="11" t="inlineStr">
        <is>
          <t>S17</t>
        </is>
      </c>
      <c r="H53" s="11" t="inlineStr">
        <is>
          <t>High</t>
        </is>
      </c>
    </row>
    <row r="54">
      <c r="A54" s="11" t="inlineStr">
        <is>
          <t>Sep-2025</t>
        </is>
      </c>
      <c r="B54" s="18" t="n">
        <v>103.3</v>
      </c>
      <c r="C54" s="18" t="n">
        <v>106.3</v>
      </c>
      <c r="D54" s="11" t="inlineStr">
        <is>
          <t>FY2026</t>
        </is>
      </c>
      <c r="E54" s="11" t="inlineStr">
        <is>
          <t>Q2</t>
        </is>
      </c>
      <c r="F54" s="11" t="inlineStr">
        <is>
          <t>Month</t>
        </is>
      </c>
      <c r="G54" s="11" t="inlineStr">
        <is>
          <t>S17</t>
        </is>
      </c>
      <c r="H54" s="11" t="inlineStr">
        <is>
          <t>High</t>
        </is>
      </c>
    </row>
    <row r="55">
      <c r="A55" s="11" t="inlineStr">
        <is>
          <t>Oct-2025</t>
        </is>
      </c>
      <c r="B55" s="18" t="n">
        <v>103.5</v>
      </c>
      <c r="C55" s="18" t="n">
        <v>107.5</v>
      </c>
      <c r="D55" s="11" t="inlineStr">
        <is>
          <t>FY2026</t>
        </is>
      </c>
      <c r="E55" s="11" t="inlineStr">
        <is>
          <t>Q3</t>
        </is>
      </c>
      <c r="F55" s="11" t="inlineStr">
        <is>
          <t>Month</t>
        </is>
      </c>
      <c r="G55" s="11" t="inlineStr">
        <is>
          <t>S17</t>
        </is>
      </c>
      <c r="H55" s="11" t="inlineStr">
        <is>
          <t>High</t>
        </is>
      </c>
    </row>
    <row r="56">
      <c r="A56" s="11" t="inlineStr">
        <is>
          <t>Nov-2025</t>
        </is>
      </c>
      <c r="B56" s="18" t="n">
        <v>102.5</v>
      </c>
      <c r="C56" s="18" t="n">
        <v>112.6</v>
      </c>
      <c r="D56" s="11" t="inlineStr">
        <is>
          <t>FY2026</t>
        </is>
      </c>
      <c r="E56" s="11" t="inlineStr">
        <is>
          <t>Q3</t>
        </is>
      </c>
      <c r="F56" s="11" t="inlineStr">
        <is>
          <t>Month</t>
        </is>
      </c>
      <c r="G56" s="11" t="inlineStr">
        <is>
          <t>S17</t>
        </is>
      </c>
      <c r="H56" s="11" t="inlineStr">
        <is>
          <t>High</t>
        </is>
      </c>
    </row>
    <row r="57">
      <c r="A57" s="11" t="inlineStr">
        <is>
          <t>Dec-2025</t>
        </is>
      </c>
      <c r="B57" s="18" t="n">
        <v>104.6</v>
      </c>
      <c r="C57" s="18" t="n">
        <v>107.7</v>
      </c>
      <c r="D57" s="11" t="inlineStr">
        <is>
          <t>FY2026</t>
        </is>
      </c>
      <c r="E57" s="11" t="inlineStr">
        <is>
          <t>Q3</t>
        </is>
      </c>
      <c r="F57" s="11" t="inlineStr">
        <is>
          <t>Month</t>
        </is>
      </c>
      <c r="G57" s="11" t="inlineStr">
        <is>
          <t>S17</t>
        </is>
      </c>
      <c r="H57" s="11" t="inlineStr">
        <is>
          <t>High</t>
        </is>
      </c>
    </row>
    <row r="58">
      <c r="A58" s="11" t="inlineStr">
        <is>
          <t>Jan-2026</t>
        </is>
      </c>
      <c r="B58" s="18" t="n">
        <v>105.5</v>
      </c>
      <c r="C58" s="18" t="n">
        <v>109.8</v>
      </c>
      <c r="D58" s="11" t="inlineStr">
        <is>
          <t>FY2026</t>
        </is>
      </c>
      <c r="E58" s="11" t="inlineStr">
        <is>
          <t>Q4</t>
        </is>
      </c>
      <c r="F58" s="11" t="inlineStr">
        <is>
          <t>Month</t>
        </is>
      </c>
      <c r="G58" s="11" t="inlineStr">
        <is>
          <t>S17</t>
        </is>
      </c>
      <c r="H58" s="11" t="inlineStr">
        <is>
          <t>High</t>
        </is>
      </c>
    </row>
    <row r="59">
      <c r="A59" s="11" t="inlineStr">
        <is>
          <t>Feb-2026</t>
        </is>
      </c>
      <c r="B59" s="18" t="n">
        <v>98.8</v>
      </c>
      <c r="C59" s="18" t="n">
        <v>118.4</v>
      </c>
      <c r="D59" s="11" t="inlineStr">
        <is>
          <t>FY2026</t>
        </is>
      </c>
      <c r="E59" s="11" t="inlineStr">
        <is>
          <t>Q4</t>
        </is>
      </c>
      <c r="F59" s="11" t="inlineStr">
        <is>
          <t>Month</t>
        </is>
      </c>
      <c r="G59" s="11" t="inlineStr">
        <is>
          <t>S17</t>
        </is>
      </c>
      <c r="H59" s="11" t="inlineStr">
        <is>
          <t>High</t>
        </is>
      </c>
    </row>
    <row r="60">
      <c r="A60" s="11" t="inlineStr">
        <is>
          <t>Mar-2026</t>
        </is>
      </c>
      <c r="B60" s="18" t="n">
        <v>104.5</v>
      </c>
      <c r="C60" s="18" t="n">
        <v>138.6</v>
      </c>
      <c r="D60" s="11" t="inlineStr">
        <is>
          <t>FY2026</t>
        </is>
      </c>
      <c r="E60" s="11" t="inlineStr">
        <is>
          <t>Q4</t>
        </is>
      </c>
      <c r="F60" s="11" t="inlineStr">
        <is>
          <t>Month</t>
        </is>
      </c>
      <c r="G60" s="11" t="inlineStr">
        <is>
          <t>S17</t>
        </is>
      </c>
      <c r="H60" s="11" t="inlineStr">
        <is>
          <t>High</t>
        </is>
      </c>
    </row>
    <row r="61">
      <c r="A61" s="11" t="inlineStr">
        <is>
          <t>Apr-2026</t>
        </is>
      </c>
      <c r="B61" s="18" t="n">
        <v>106.1</v>
      </c>
      <c r="C61" s="18" t="n">
        <v>130.9</v>
      </c>
      <c r="D61" s="11" t="inlineStr">
        <is>
          <t>FY2027</t>
        </is>
      </c>
      <c r="E61" s="11" t="inlineStr">
        <is>
          <t>Q1</t>
        </is>
      </c>
      <c r="F61" s="11" t="inlineStr">
        <is>
          <t>Month</t>
        </is>
      </c>
      <c r="G61" s="11" t="inlineStr">
        <is>
          <t>S17</t>
        </is>
      </c>
      <c r="H61" s="11" t="inlineStr">
        <is>
          <t>High</t>
        </is>
      </c>
    </row>
    <row r="62">
      <c r="A62" s="11" t="inlineStr">
        <is>
          <t>May-2026</t>
        </is>
      </c>
      <c r="B62" s="18" t="n">
        <v>108.6</v>
      </c>
      <c r="C62" s="18" t="n">
        <v>136.9</v>
      </c>
      <c r="D62" s="11" t="inlineStr">
        <is>
          <t>FY2027</t>
        </is>
      </c>
      <c r="E62" s="11" t="inlineStr">
        <is>
          <t>Q1</t>
        </is>
      </c>
      <c r="F62" s="11" t="inlineStr">
        <is>
          <t>Month</t>
        </is>
      </c>
      <c r="G62" s="11" t="inlineStr">
        <is>
          <t>S17</t>
        </is>
      </c>
      <c r="H62" s="11" t="inlineStr">
        <is>
          <t>High</t>
        </is>
      </c>
    </row>
    <row r="63">
      <c r="A63" s="11" t="inlineStr">
        <is>
          <t>Jun-2026</t>
        </is>
      </c>
      <c r="B63" s="18" t="n">
        <v>100.8</v>
      </c>
      <c r="C63" s="18" t="n">
        <v>138.5</v>
      </c>
      <c r="D63" s="11" t="inlineStr">
        <is>
          <t>FY2027</t>
        </is>
      </c>
      <c r="E63" s="11" t="inlineStr">
        <is>
          <t>Q1</t>
        </is>
      </c>
      <c r="F63" s="11" t="inlineStr">
        <is>
          <t>Month</t>
        </is>
      </c>
      <c r="G63" s="11" t="inlineStr">
        <is>
          <t>S17</t>
        </is>
      </c>
      <c r="H63" s="11" t="inlineStr">
        <is>
          <t>High</t>
        </is>
      </c>
    </row>
    <row r="65">
      <c r="A65" s="2" t="inlineStr">
        <is>
          <t>SECTION D - QUARTERLY AVERAGES</t>
        </is>
      </c>
    </row>
    <row r="66" ht="30" customHeight="1">
      <c r="A66" s="8" t="inlineStr">
        <is>
          <t>Quarter</t>
        </is>
      </c>
      <c r="B66" s="7" t="inlineStr">
        <is>
          <t>Iron Ore 62% Fe Fines, CFR China (US$/dmt)</t>
        </is>
      </c>
      <c r="C66" s="7" t="inlineStr">
        <is>
          <t>Australian THERMAL Coal (US$/mt)</t>
        </is>
      </c>
      <c r="D66" s="7" t="inlineStr">
        <is>
          <t>Period Type</t>
        </is>
      </c>
      <c r="E66" s="7" t="inlineStr">
        <is>
          <t>Source ID</t>
        </is>
      </c>
      <c r="F66" s="7" t="inlineStr">
        <is>
          <t>Methodology</t>
        </is>
      </c>
      <c r="G66" s="7" t="inlineStr">
        <is>
          <t>Confidence</t>
        </is>
      </c>
    </row>
    <row r="67">
      <c r="A67" s="11" t="inlineStr">
        <is>
          <t>Q1 FY2026</t>
        </is>
      </c>
      <c r="B67" s="18" t="n">
        <v>95.5</v>
      </c>
      <c r="C67" s="18" t="n">
        <v>104</v>
      </c>
      <c r="D67" s="11" t="inlineStr">
        <is>
          <t>Quarter average</t>
        </is>
      </c>
      <c r="E67" s="11" t="inlineStr">
        <is>
          <t>S17</t>
        </is>
      </c>
      <c r="F67" s="11" t="inlineStr">
        <is>
          <t>Computed: arithmetic mean of the World Bank monthly nominal USD series</t>
        </is>
      </c>
      <c r="G67" s="11" t="inlineStr">
        <is>
          <t>High</t>
        </is>
      </c>
    </row>
    <row r="68">
      <c r="A68" s="11" t="inlineStr">
        <is>
          <t>Q2 FY2026</t>
        </is>
      </c>
      <c r="B68" s="18" t="n">
        <v>100.1</v>
      </c>
      <c r="C68" s="18" t="n">
        <v>110.47</v>
      </c>
      <c r="D68" s="11" t="inlineStr">
        <is>
          <t>Quarter average</t>
        </is>
      </c>
      <c r="E68" s="11" t="inlineStr">
        <is>
          <t>S17</t>
        </is>
      </c>
      <c r="F68" s="11" t="inlineStr">
        <is>
          <t>Computed: arithmetic mean of the World Bank monthly nominal USD series</t>
        </is>
      </c>
      <c r="G68" s="11" t="inlineStr">
        <is>
          <t>High</t>
        </is>
      </c>
    </row>
    <row r="69">
      <c r="A69" s="11" t="inlineStr">
        <is>
          <t>Q3 FY2026</t>
        </is>
      </c>
      <c r="B69" s="18" t="n">
        <v>103.53</v>
      </c>
      <c r="C69" s="18" t="n">
        <v>109.27</v>
      </c>
      <c r="D69" s="11" t="inlineStr">
        <is>
          <t>Quarter average</t>
        </is>
      </c>
      <c r="E69" s="11" t="inlineStr">
        <is>
          <t>S17</t>
        </is>
      </c>
      <c r="F69" s="11" t="inlineStr">
        <is>
          <t>Computed: arithmetic mean of the World Bank monthly nominal USD series</t>
        </is>
      </c>
      <c r="G69" s="11" t="inlineStr">
        <is>
          <t>High</t>
        </is>
      </c>
    </row>
    <row r="70">
      <c r="A70" s="11" t="inlineStr">
        <is>
          <t>Q4 FY2026</t>
        </is>
      </c>
      <c r="B70" s="18" t="n">
        <v>102.93</v>
      </c>
      <c r="C70" s="18" t="n">
        <v>122.27</v>
      </c>
      <c r="D70" s="11" t="inlineStr">
        <is>
          <t>Quarter average</t>
        </is>
      </c>
      <c r="E70" s="11" t="inlineStr">
        <is>
          <t>S17</t>
        </is>
      </c>
      <c r="F70" s="11" t="inlineStr">
        <is>
          <t>Computed: arithmetic mean of the World Bank monthly nominal USD series</t>
        </is>
      </c>
      <c r="G70" s="11" t="inlineStr">
        <is>
          <t>High</t>
        </is>
      </c>
    </row>
    <row r="71">
      <c r="A71" s="11" t="inlineStr">
        <is>
          <t>Q1 FY2027</t>
        </is>
      </c>
      <c r="B71" s="18" t="n">
        <v>105.17</v>
      </c>
      <c r="C71" s="18" t="n">
        <v>135.43</v>
      </c>
      <c r="D71" s="11" t="inlineStr">
        <is>
          <t>Quarter average</t>
        </is>
      </c>
      <c r="E71" s="11" t="inlineStr">
        <is>
          <t>S17</t>
        </is>
      </c>
      <c r="F71" s="11" t="inlineStr">
        <is>
          <t>Computed: arithmetic mean of the World Bank monthly nominal USD series</t>
        </is>
      </c>
      <c r="G71" s="11" t="inlineStr">
        <is>
          <t>High</t>
        </is>
      </c>
    </row>
    <row r="73">
      <c r="A73" s="2" t="inlineStr">
        <is>
          <t>SECTION E - INDIAN DOMESTIC PRICES AND NOTIFICATIONS</t>
        </is>
      </c>
    </row>
    <row r="74" ht="30" customHeight="1">
      <c r="A74" s="8" t="inlineStr">
        <is>
          <t>Series</t>
        </is>
      </c>
      <c r="B74" s="8" t="inlineStr">
        <is>
          <t>Producer / Assessor</t>
        </is>
      </c>
      <c r="C74" s="8" t="inlineStr">
        <is>
          <t>Grade / Specification</t>
        </is>
      </c>
      <c r="D74" s="8" t="inlineStr">
        <is>
          <t>Basis</t>
        </is>
      </c>
      <c r="E74" s="7" t="inlineStr">
        <is>
          <t>Unit</t>
        </is>
      </c>
      <c r="F74" s="7" t="inlineStr">
        <is>
          <t>Currency</t>
        </is>
      </c>
      <c r="G74" s="8" t="inlineStr">
        <is>
          <t>Effective / Observation Date</t>
        </is>
      </c>
      <c r="H74" s="7" t="inlineStr">
        <is>
          <t>Value</t>
        </is>
      </c>
      <c r="I74" s="7" t="inlineStr">
        <is>
          <t>Period Type</t>
        </is>
      </c>
      <c r="J74" s="7" t="inlineStr">
        <is>
          <t>Source ID</t>
        </is>
      </c>
      <c r="K74" s="7" t="inlineStr">
        <is>
          <t>Source Tier</t>
        </is>
      </c>
      <c r="L74" s="7" t="inlineStr">
        <is>
          <t>Confidence</t>
        </is>
      </c>
      <c r="M74" s="7" t="inlineStr">
        <is>
          <t>Notes</t>
        </is>
      </c>
    </row>
    <row r="75">
      <c r="A75" s="11" t="inlineStr">
        <is>
          <t>NMDC notified price</t>
        </is>
      </c>
      <c r="B75" s="11" t="inlineStr">
        <is>
          <t>NMDC Limited</t>
        </is>
      </c>
      <c r="C75" s="11" t="inlineStr">
        <is>
          <t>Bailadila Lump, 65.5% Fe, 10-40 mm</t>
        </is>
      </c>
      <c r="D75" s="11" t="inlineStr">
        <is>
          <t>Ex-mine; EXCLUDES royalty, DMF, NMET, cess and other levies</t>
        </is>
      </c>
      <c r="E75" s="11" t="inlineStr">
        <is>
          <t>Rs/t</t>
        </is>
      </c>
      <c r="F75" s="11" t="inlineStr">
        <is>
          <t>INR</t>
        </is>
      </c>
      <c r="G75" s="11" t="inlineStr">
        <is>
          <t>05-Apr-2026</t>
        </is>
      </c>
      <c r="H75" s="18" t="n">
        <v>5300</v>
      </c>
      <c r="I75" s="11" t="inlineStr">
        <is>
          <t>Point-in-time</t>
        </is>
      </c>
      <c r="J75" s="11" t="inlineStr">
        <is>
          <t>S23</t>
        </is>
      </c>
      <c r="K75" s="14" t="n">
        <v>1</v>
      </c>
      <c r="L75" s="11" t="inlineStr">
        <is>
          <t>High</t>
        </is>
      </c>
      <c r="M75" s="12" t="inlineStr">
        <is>
          <t>Price revision filed with the exchanges; represented an increase of up to 11.1%.</t>
        </is>
      </c>
    </row>
    <row r="76">
      <c r="A76" s="11" t="inlineStr">
        <is>
          <t>NMDC notified price</t>
        </is>
      </c>
      <c r="B76" s="11" t="inlineStr">
        <is>
          <t>NMDC Limited</t>
        </is>
      </c>
      <c r="C76" s="11" t="inlineStr">
        <is>
          <t>Bailadila Fines, 64% Fe, minus 10 mm</t>
        </is>
      </c>
      <c r="D76" s="11" t="inlineStr">
        <is>
          <t>Ex-mine; EXCLUDES royalty, DMF, NMET, cess and other levies</t>
        </is>
      </c>
      <c r="E76" s="11" t="inlineStr">
        <is>
          <t>Rs/t</t>
        </is>
      </c>
      <c r="F76" s="11" t="inlineStr">
        <is>
          <t>INR</t>
        </is>
      </c>
      <c r="G76" s="11" t="inlineStr">
        <is>
          <t>05-Apr-2026</t>
        </is>
      </c>
      <c r="H76" s="18" t="n">
        <v>4500</v>
      </c>
      <c r="I76" s="11" t="inlineStr">
        <is>
          <t>Point-in-time</t>
        </is>
      </c>
      <c r="J76" s="11" t="inlineStr">
        <is>
          <t>S23</t>
        </is>
      </c>
      <c r="K76" s="14" t="n">
        <v>1</v>
      </c>
      <c r="L76" s="11" t="inlineStr">
        <is>
          <t>High</t>
        </is>
      </c>
      <c r="M76" s="12" t="inlineStr">
        <is>
          <t>As above.</t>
        </is>
      </c>
    </row>
    <row r="77">
      <c r="A77" s="11" t="inlineStr">
        <is>
          <t>NMDC notified price</t>
        </is>
      </c>
      <c r="B77" s="11" t="inlineStr">
        <is>
          <t>NMDC Limited</t>
        </is>
      </c>
      <c r="C77" s="11" t="inlineStr">
        <is>
          <t>Bailadila Lump, 65.5% Fe, 10-40 mm</t>
        </is>
      </c>
      <c r="D77" s="11" t="inlineStr">
        <is>
          <t>Ex-mine; excludes levies</t>
        </is>
      </c>
      <c r="E77" s="11" t="inlineStr">
        <is>
          <t>Rs/t</t>
        </is>
      </c>
      <c r="F77" s="11" t="inlineStr">
        <is>
          <t>INR</t>
        </is>
      </c>
      <c r="G77" s="11" t="inlineStr">
        <is>
          <t>06-May-2026</t>
        </is>
      </c>
      <c r="H77" s="18" t="n">
        <v>5500</v>
      </c>
      <c r="I77" s="11" t="inlineStr">
        <is>
          <t>Point-in-time</t>
        </is>
      </c>
      <c r="J77" s="11" t="inlineStr">
        <is>
          <t>S23</t>
        </is>
      </c>
      <c r="K77" s="14" t="n">
        <v>1</v>
      </c>
      <c r="L77" s="11" t="inlineStr">
        <is>
          <t>High</t>
        </is>
      </c>
      <c r="M77" s="12" t="inlineStr">
        <is>
          <t>Increase of Rs 200/t on both grades.</t>
        </is>
      </c>
    </row>
    <row r="78">
      <c r="A78" s="11" t="inlineStr">
        <is>
          <t>NMDC notified price</t>
        </is>
      </c>
      <c r="B78" s="11" t="inlineStr">
        <is>
          <t>NMDC Limited</t>
        </is>
      </c>
      <c r="C78" s="11" t="inlineStr">
        <is>
          <t>Bailadila Fines, 64% Fe, minus 10 mm</t>
        </is>
      </c>
      <c r="D78" s="11" t="inlineStr">
        <is>
          <t>Ex-mine; excludes levies</t>
        </is>
      </c>
      <c r="E78" s="11" t="inlineStr">
        <is>
          <t>Rs/t</t>
        </is>
      </c>
      <c r="F78" s="11" t="inlineStr">
        <is>
          <t>INR</t>
        </is>
      </c>
      <c r="G78" s="11" t="inlineStr">
        <is>
          <t>06-May-2026</t>
        </is>
      </c>
      <c r="H78" s="18" t="n">
        <v>4700</v>
      </c>
      <c r="I78" s="11" t="inlineStr">
        <is>
          <t>Point-in-time</t>
        </is>
      </c>
      <c r="J78" s="11" t="inlineStr">
        <is>
          <t>S23</t>
        </is>
      </c>
      <c r="K78" s="14" t="n">
        <v>1</v>
      </c>
      <c r="L78" s="11" t="inlineStr">
        <is>
          <t>High</t>
        </is>
      </c>
      <c r="M78" s="12" t="inlineStr">
        <is>
          <t>Increase of Rs 200/t.</t>
        </is>
      </c>
    </row>
    <row r="79">
      <c r="A79" s="11" t="inlineStr">
        <is>
          <t>NMDC notified price</t>
        </is>
      </c>
      <c r="B79" s="11" t="inlineStr">
        <is>
          <t>NMDC Limited</t>
        </is>
      </c>
      <c r="C79" s="11" t="inlineStr">
        <is>
          <t>Bailadila Lump, 65.5% Fe, 10-40 mm</t>
        </is>
      </c>
      <c r="D79" s="11" t="inlineStr">
        <is>
          <t>Ex-mine; excludes levies</t>
        </is>
      </c>
      <c r="E79" s="11" t="inlineStr">
        <is>
          <t>Rs/t</t>
        </is>
      </c>
      <c r="F79" s="11" t="inlineStr">
        <is>
          <t>INR</t>
        </is>
      </c>
      <c r="G79" s="11" t="inlineStr">
        <is>
          <t>10-Jul-2026</t>
        </is>
      </c>
      <c r="H79" s="18" t="n">
        <v>5450</v>
      </c>
      <c r="I79" s="11" t="inlineStr">
        <is>
          <t>Point-in-time</t>
        </is>
      </c>
      <c r="J79" s="11" t="inlineStr">
        <is>
          <t>S23</t>
        </is>
      </c>
      <c r="K79" s="14" t="n">
        <v>1</v>
      </c>
      <c r="L79" s="11" t="inlineStr">
        <is>
          <t>High</t>
        </is>
      </c>
      <c r="M79" s="12" t="inlineStr">
        <is>
          <t>Reduction of Rs 50/t on lump; fines held at Rs 4,700/t. Reported as a second successive reduction. Equivalent prices INCLUDING taxes and charges were reported as Rs 6,745/t for lump and Rs 5,815/t for fines - a ~24% gross-up over the ex-mine notified price, which is material for any landed-cost build.</t>
        </is>
      </c>
    </row>
    <row r="80">
      <c r="A80" s="11" t="inlineStr">
        <is>
          <t>NMDC notified price</t>
        </is>
      </c>
      <c r="B80" s="11" t="inlineStr">
        <is>
          <t>NMDC Limited</t>
        </is>
      </c>
      <c r="C80" s="11" t="inlineStr">
        <is>
          <t>Bailadila Fines, 64% Fe, minus 10 mm</t>
        </is>
      </c>
      <c r="D80" s="11" t="inlineStr">
        <is>
          <t>Ex-mine; excludes levies</t>
        </is>
      </c>
      <c r="E80" s="11" t="inlineStr">
        <is>
          <t>Rs/t</t>
        </is>
      </c>
      <c r="F80" s="11" t="inlineStr">
        <is>
          <t>INR</t>
        </is>
      </c>
      <c r="G80" s="11" t="inlineStr">
        <is>
          <t>10-Jul-2026</t>
        </is>
      </c>
      <c r="H80" s="18" t="n">
        <v>4700</v>
      </c>
      <c r="I80" s="11" t="inlineStr">
        <is>
          <t>Point-in-time</t>
        </is>
      </c>
      <c r="J80" s="11" t="inlineStr">
        <is>
          <t>S23</t>
        </is>
      </c>
      <c r="K80" s="14" t="n">
        <v>1</v>
      </c>
      <c r="L80" s="11" t="inlineStr">
        <is>
          <t>High</t>
        </is>
      </c>
      <c r="M80" s="12" t="inlineStr">
        <is>
          <t>Unchanged from 06-May-2026.</t>
        </is>
      </c>
    </row>
    <row r="81">
      <c r="A81" s="11" t="inlineStr">
        <is>
          <t>Ministry of Steel domestic assessment</t>
        </is>
      </c>
      <c r="B81" s="11" t="inlineStr">
        <is>
          <t>Ministry of Steel / JPC</t>
        </is>
      </c>
      <c r="C81" s="11" t="inlineStr">
        <is>
          <t>Iron ore lumps</t>
        </is>
      </c>
      <c r="D81" s="11" t="inlineStr">
        <is>
          <t>Market assessment as published by the Ministry</t>
        </is>
      </c>
      <c r="E81" s="11" t="inlineStr">
        <is>
          <t>Rs/t</t>
        </is>
      </c>
      <c r="F81" s="11" t="inlineStr">
        <is>
          <t>INR</t>
        </is>
      </c>
      <c r="G81" s="11" t="inlineStr">
        <is>
          <t>Mar-2026</t>
        </is>
      </c>
      <c r="H81" s="18" t="n">
        <v>4800</v>
      </c>
      <c r="I81" s="11" t="inlineStr">
        <is>
          <t>Month</t>
        </is>
      </c>
      <c r="J81" s="11" t="inlineStr">
        <is>
          <t>S01</t>
        </is>
      </c>
      <c r="K81" s="14" t="n">
        <v>1</v>
      </c>
      <c r="L81" s="11" t="inlineStr">
        <is>
          <t>High</t>
        </is>
      </c>
      <c r="M81" s="12" t="inlineStr">
        <is>
          <t>The Ministry's own published domestic iron ore lump price, described as showing a slight increase on the previous month. This differs from NMDC's notified Rs 5,300/t for a specific 65.5% Fe grade - a construct difference, not a conflict. The Ministry has published this series monthly since Apr-2023.</t>
        </is>
      </c>
    </row>
    <row r="82">
      <c r="A82" s="11" t="inlineStr">
        <is>
          <t>Regional domestic spot</t>
        </is>
      </c>
      <c r="B82" s="11" t="inlineStr">
        <is>
          <t>IDBI Capital</t>
        </is>
      </c>
      <c r="C82" s="11" t="inlineStr">
        <is>
          <t>Iron ore, Odisha</t>
        </is>
      </c>
      <c r="D82" s="11" t="inlineStr">
        <is>
          <t>Broker weekly assessment</t>
        </is>
      </c>
      <c r="E82" s="11" t="inlineStr">
        <is>
          <t>Rs/t</t>
        </is>
      </c>
      <c r="F82" s="11" t="inlineStr">
        <is>
          <t>INR</t>
        </is>
      </c>
      <c r="G82" s="11" t="inlineStr">
        <is>
          <t>Week ended 22-Jun-2026</t>
        </is>
      </c>
      <c r="H82" s="18" t="n">
        <v>6900</v>
      </c>
      <c r="I82" s="11" t="inlineStr">
        <is>
          <t>Point-in-time</t>
        </is>
      </c>
      <c r="J82" s="11" t="inlineStr">
        <is>
          <t>S21</t>
        </is>
      </c>
      <c r="K82" s="14" t="n">
        <v>2</v>
      </c>
      <c r="L82" s="11" t="inlineStr">
        <is>
          <t>Medium</t>
        </is>
      </c>
      <c r="M82" s="12" t="inlineStr">
        <is>
          <t>Down 1.4% week on week and down 14.8% year on year; equal to the 52-week low (range Rs 6,900-8,100/t). Note IDBI's own Mar-2026 monthly note put 'domestic iron ore' at Rs 7,850/t, consistent with a ~12% correction through Q1FY2027, though grade and location definitions differ between the two quotes.</t>
        </is>
      </c>
    </row>
    <row r="83">
      <c r="A83" s="11" t="inlineStr">
        <is>
          <t>Regional domestic spot</t>
        </is>
      </c>
      <c r="B83" s="11" t="inlineStr">
        <is>
          <t>IDBI Capital</t>
        </is>
      </c>
      <c r="C83" s="11" t="inlineStr">
        <is>
          <t>Iron ore pellets, ex-Barbil</t>
        </is>
      </c>
      <c r="D83" s="11" t="inlineStr">
        <is>
          <t>Broker weekly assessment</t>
        </is>
      </c>
      <c r="E83" s="11" t="inlineStr">
        <is>
          <t>Rs/t</t>
        </is>
      </c>
      <c r="F83" s="11" t="inlineStr">
        <is>
          <t>INR</t>
        </is>
      </c>
      <c r="G83" s="11" t="inlineStr">
        <is>
          <t>Week ended 22-Jun-2026</t>
        </is>
      </c>
      <c r="H83" s="18" t="n">
        <v>8000</v>
      </c>
      <c r="I83" s="11" t="inlineStr">
        <is>
          <t>Point-in-time</t>
        </is>
      </c>
      <c r="J83" s="11" t="inlineStr">
        <is>
          <t>S21</t>
        </is>
      </c>
      <c r="K83" s="14" t="n">
        <v>2</v>
      </c>
      <c r="L83" s="11" t="inlineStr">
        <is>
          <t>Medium</t>
        </is>
      </c>
      <c r="M83" s="12" t="inlineStr">
        <is>
          <t>52-week range Rs 7,900-9,250/t. The pellet-over-fines premium is the key margin driver for pellet-integrated producers such as Godawari Power and Shyam Metalics.</t>
        </is>
      </c>
    </row>
    <row r="84">
      <c r="A84" s="11" t="inlineStr">
        <is>
          <t>International spot</t>
        </is>
      </c>
      <c r="B84" s="11" t="inlineStr">
        <is>
          <t>IDBI Capital</t>
        </is>
      </c>
      <c r="C84" s="11" t="inlineStr">
        <is>
          <t>Iron ore, 62% Fe import fines</t>
        </is>
      </c>
      <c r="D84" s="11" t="inlineStr">
        <is>
          <t>Broker weekly assessment</t>
        </is>
      </c>
      <c r="E84" s="11" t="inlineStr">
        <is>
          <t>US$/t</t>
        </is>
      </c>
      <c r="F84" s="11" t="inlineStr">
        <is>
          <t>USD</t>
        </is>
      </c>
      <c r="G84" s="11" t="inlineStr">
        <is>
          <t>Week ended 22-Jun-2026</t>
        </is>
      </c>
      <c r="H84" s="18" t="n">
        <v>96</v>
      </c>
      <c r="I84" s="11" t="inlineStr">
        <is>
          <t>Point-in-time</t>
        </is>
      </c>
      <c r="J84" s="11" t="inlineStr">
        <is>
          <t>S21</t>
        </is>
      </c>
      <c r="K84" s="14" t="n">
        <v>2</v>
      </c>
      <c r="L84" s="11" t="inlineStr">
        <is>
          <t>Medium</t>
        </is>
      </c>
      <c r="M84" s="12" t="inlineStr">
        <is>
          <t>52-week range USD 88-107/t. Broadly consistent with the World Bank series (Jun-2026 monthly average USD 100.8/dmt), which is a reassuring independent cross-check on the international benchmark.</t>
        </is>
      </c>
    </row>
    <row r="85">
      <c r="A85" s="11" t="inlineStr">
        <is>
          <t>International spot</t>
        </is>
      </c>
      <c r="B85" s="11" t="inlineStr">
        <is>
          <t>IDBI Capital</t>
        </is>
      </c>
      <c r="C85" s="11" t="inlineStr">
        <is>
          <t>Iron ore pellets</t>
        </is>
      </c>
      <c r="D85" s="11" t="inlineStr">
        <is>
          <t>Broker weekly assessment</t>
        </is>
      </c>
      <c r="E85" s="11" t="inlineStr">
        <is>
          <t>US$/t</t>
        </is>
      </c>
      <c r="F85" s="11" t="inlineStr">
        <is>
          <t>USD</t>
        </is>
      </c>
      <c r="G85" s="11" t="inlineStr">
        <is>
          <t>Week ended 22-Jun-2026</t>
        </is>
      </c>
      <c r="H85" s="18" t="n">
        <v>144</v>
      </c>
      <c r="I85" s="11" t="inlineStr">
        <is>
          <t>Point-in-time</t>
        </is>
      </c>
      <c r="J85" s="11" t="inlineStr">
        <is>
          <t>S21</t>
        </is>
      </c>
      <c r="K85" s="14" t="n">
        <v>2</v>
      </c>
      <c r="L85" s="11" t="inlineStr">
        <is>
          <t>Medium</t>
        </is>
      </c>
      <c r="M85" s="12" t="inlineStr">
        <is>
          <t>Up 25.1% year on year; 52-week range USD 111-150/t.</t>
        </is>
      </c>
    </row>
    <row r="86">
      <c r="A86" s="11" t="inlineStr">
        <is>
          <t>Domestic assessment</t>
        </is>
      </c>
      <c r="B86" s="11" t="inlineStr">
        <is>
          <t>IDBI Capital</t>
        </is>
      </c>
      <c r="C86" s="11" t="inlineStr">
        <is>
          <t>Iron ore, domestic</t>
        </is>
      </c>
      <c r="D86" s="11" t="inlineStr">
        <is>
          <t>Broker monthly assessment</t>
        </is>
      </c>
      <c r="E86" s="11" t="inlineStr">
        <is>
          <t>Rs/t</t>
        </is>
      </c>
      <c r="F86" s="11" t="inlineStr">
        <is>
          <t>INR</t>
        </is>
      </c>
      <c r="G86" s="11" t="inlineStr">
        <is>
          <t>Mar-2026</t>
        </is>
      </c>
      <c r="H86" s="18" t="n">
        <v>7850</v>
      </c>
      <c r="I86" s="11" t="inlineStr">
        <is>
          <t>Month</t>
        </is>
      </c>
      <c r="J86" s="11" t="inlineStr">
        <is>
          <t>S20</t>
        </is>
      </c>
      <c r="K86" s="14" t="n">
        <v>2</v>
      </c>
      <c r="L86" s="11" t="inlineStr">
        <is>
          <t>Medium</t>
        </is>
      </c>
      <c r="M86" s="12" t="inlineStr">
        <is>
          <t>Flat month on month in Mar-2026 while the international benchmark rose 2.4% to USD 102/t.</t>
        </is>
      </c>
    </row>
    <row r="88">
      <c r="A88" s="13" t="inlineStr">
        <is>
          <t>The Australian thermal coal column in Sections C and D is included for energy-cost reference only and is NOT coking coal - see the Coking Coal Prices sheet and Conflict C15. The FY2026 NMDC notification series was not fully reconstructed within the research window; only the dated notifications verified are shown, and earlier months are deliberately left blank rather than interpolated.</t>
        </is>
      </c>
    </row>
  </sheetData>
  <printOptions horizontalCentered="1"/>
  <pageMargins left="0.75" right="0.75" top="1" bottom="1" header="0.5" footer="0.5"/>
  <pageSetup orientation="landscape" fitToHeight="0" fitToWidth="1"/>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xl/worksheets/sheet11.xml><?xml version="1.0" encoding="utf-8"?>
<worksheet xmlns="http://schemas.openxmlformats.org/spreadsheetml/2006/main">
  <sheetPr>
    <tabColor rgb="001F3864"/>
    <outlinePr summaryBelow="1" summaryRight="1"/>
    <pageSetUpPr fitToPage="1"/>
  </sheetPr>
  <dimension ref="A1:O31"/>
  <sheetViews>
    <sheetView showGridLines="0" workbookViewId="0">
      <pane xSplit="7" ySplit="19" topLeftCell="H20" activePane="bottomRight" state="frozen"/>
      <selection pane="topRight"/>
      <selection pane="bottomLeft"/>
      <selection pane="bottomRight" activeCell="A1" sqref="A1"/>
    </sheetView>
  </sheetViews>
  <sheetFormatPr baseColWidth="8" defaultRowHeight="15"/>
  <cols>
    <col width="52" customWidth="1" min="1" max="1"/>
    <col width="26" customWidth="1" min="2" max="2"/>
    <col width="46" customWidth="1" min="3" max="3"/>
    <col width="22" customWidth="1" min="4" max="4"/>
    <col width="10" customWidth="1" min="5" max="5"/>
    <col width="10" customWidth="1" min="6" max="6"/>
    <col width="24" customWidth="1" min="7" max="7"/>
    <col width="12" customWidth="1" min="8" max="8"/>
    <col width="13" customWidth="1" min="9" max="9"/>
    <col width="13" customWidth="1" min="10" max="10"/>
    <col width="16" customWidth="1" min="11" max="11"/>
    <col width="12" customWidth="1" min="12" max="12"/>
    <col width="8" customWidth="1" min="13" max="13"/>
    <col width="11" customWidth="1" min="14" max="14"/>
    <col width="90" customWidth="1" min="15" max="15"/>
  </cols>
  <sheetData>
    <row r="1" ht="19" customHeight="1">
      <c r="A1" s="1" t="inlineStr">
        <is>
          <t>9. Coking Coal Prices</t>
        </is>
      </c>
    </row>
    <row r="2">
      <c r="A2" s="4" t="inlineStr">
        <is>
          <t>Master Industry Database  |  Indian Steel Industry  |  Data cutoff: 03-Aug-2026</t>
        </is>
      </c>
    </row>
    <row r="3">
      <c r="A3" s="3" t="inlineStr"/>
    </row>
    <row r="4">
      <c r="A4" s="4" t="inlineStr">
        <is>
          <t>OBJECTIVE</t>
        </is>
      </c>
    </row>
    <row r="5">
      <c r="A5" s="3" t="inlineStr">
        <is>
          <t>Premium hard coking coal observations from the two series available in the public domain, presented separately and never blended, plus an Australian thermal coal reference that is explicitly excluded from any coking coal average.</t>
        </is>
      </c>
    </row>
    <row r="6">
      <c r="A6" s="4" t="inlineStr">
        <is>
          <t>UNITS AND CURRENCY</t>
        </is>
      </c>
    </row>
    <row r="7">
      <c r="A7" s="3" t="inlineStr">
        <is>
          <t>US$/t for coking coal; US$/mt for the thermal coal reference. All nominal USD.</t>
        </is>
      </c>
    </row>
    <row r="8">
      <c r="A8" s="4" t="inlineStr">
        <is>
          <t>COVERAGE AND HISTORICAL DEPTH</t>
        </is>
      </c>
    </row>
    <row r="9">
      <c r="A9" s="3" t="inlineStr">
        <is>
          <t>Ministry of Steel narrative observations from October 2023 to March 2026; broker observations for February 2026, March 2026 and June 2026. No continuous monthly history is available publicly.</t>
        </is>
      </c>
    </row>
    <row r="10">
      <c r="A10" s="4" t="inlineStr">
        <is>
          <t>DATA FREQUENCY</t>
        </is>
      </c>
    </row>
    <row r="11">
      <c r="A11" s="3" t="inlineStr">
        <is>
          <t>Monthly and weekly point observations.</t>
        </is>
      </c>
    </row>
    <row r="12">
      <c r="A12" s="4" t="inlineStr">
        <is>
          <t>SOURCE HIERARCHY APPLIED</t>
        </is>
      </c>
    </row>
    <row r="13">
      <c r="A13" s="3" t="inlineStr">
        <is>
          <t>Tier 1 first: World Bank Commodity Price Data and Ministry of Steel published assessments. Tier 2 rating agency and sell-side trackers are used only where no official series exists, and are labelled with the assessor on every row.</t>
        </is>
      </c>
    </row>
    <row r="14">
      <c r="A14" s="4" t="inlineStr">
        <is>
          <t>COLUMN RATIONALE</t>
        </is>
      </c>
    </row>
    <row r="15">
      <c r="A15" s="3" t="inlineStr">
        <is>
          <t>Benchmark and Assessor are carried on every row because 'coking coal FOB Australia' is not one price: it varies by grade (premium low-vol hard coking coal against mid-vol, PCI or semi-soft), by index provider, by delivery term (FOB Australia against CFR India) and by assessment convention (spot against monthly average against quarterly settlement). Source Tier is carried because the Ministry of Steel series is Tier 1 and the broker series is Tier 2, and they disagree by up to US$40/t.</t>
        </is>
      </c>
    </row>
    <row r="16">
      <c r="A16" s="3" t="inlineStr"/>
    </row>
    <row r="17">
      <c r="A17" s="3" t="inlineStr">
        <is>
          <t>CRITICAL - NO FISCAL-YEAR AVERAGE IS ASSERTED FOR COKING COAL. Neither of the two available series is published as a complete monthly history in the public domain, and the two disagree by up to US$40/t (see Conflict C01). Computing a fiscal-year average from four annotated chart points would create a false impression of precision. Obtain a licensed price-reporting-agency series - for example Platts Premium Low-Vol Hard Coking Coal FOB Australia - before using coking coal in a formal cost model or a DCF.</t>
        </is>
      </c>
    </row>
    <row r="18">
      <c r="A18" s="3" t="inlineStr"/>
    </row>
    <row r="19" ht="30" customHeight="1">
      <c r="A19" s="8" t="inlineStr">
        <is>
          <t>Benchmark / Assessment</t>
        </is>
      </c>
      <c r="B19" s="8" t="inlineStr">
        <is>
          <t>Assessor</t>
        </is>
      </c>
      <c r="C19" s="8" t="inlineStr">
        <is>
          <t>Grade</t>
        </is>
      </c>
      <c r="D19" s="8" t="inlineStr">
        <is>
          <t>Delivery Term</t>
        </is>
      </c>
      <c r="E19" s="7" t="inlineStr">
        <is>
          <t>Unit</t>
        </is>
      </c>
      <c r="F19" s="7" t="inlineStr">
        <is>
          <t>Currency</t>
        </is>
      </c>
      <c r="G19" s="8" t="inlineStr">
        <is>
          <t>Observation Date / Period</t>
        </is>
      </c>
      <c r="H19" s="7" t="inlineStr">
        <is>
          <t>Value</t>
        </is>
      </c>
      <c r="I19" s="7" t="inlineStr">
        <is>
          <t>52-Week High</t>
        </is>
      </c>
      <c r="J19" s="7" t="inlineStr">
        <is>
          <t>52-Week Low</t>
        </is>
      </c>
      <c r="K19" s="7" t="inlineStr">
        <is>
          <t>Period Type</t>
        </is>
      </c>
      <c r="L19" s="7" t="inlineStr">
        <is>
          <t>Source ID</t>
        </is>
      </c>
      <c r="M19" s="7" t="inlineStr">
        <is>
          <t>Source Tier</t>
        </is>
      </c>
      <c r="N19" s="7" t="inlineStr">
        <is>
          <t>Confidence</t>
        </is>
      </c>
      <c r="O19" s="7" t="inlineStr">
        <is>
          <t>Notes</t>
        </is>
      </c>
    </row>
    <row r="20">
      <c r="A20" s="11" t="inlineStr">
        <is>
          <t>Premium HCC - Ministry of Steel / JPC assessment</t>
        </is>
      </c>
      <c r="B20" s="11" t="inlineStr">
        <is>
          <t>Ministry of Steel / JPC</t>
        </is>
      </c>
      <c r="C20" s="11" t="inlineStr">
        <is>
          <t>Hard coking coal (HCC)</t>
        </is>
      </c>
      <c r="D20" s="11" t="inlineStr">
        <is>
          <t>FOB Australia</t>
        </is>
      </c>
      <c r="E20" s="11" t="inlineStr">
        <is>
          <t>US$/t</t>
        </is>
      </c>
      <c r="F20" s="11" t="inlineStr">
        <is>
          <t>USD</t>
        </is>
      </c>
      <c r="G20" s="11" t="inlineStr">
        <is>
          <t>Oct-2023</t>
        </is>
      </c>
      <c r="H20" s="18" t="n">
        <v>354</v>
      </c>
      <c r="I20" s="15" t="n"/>
      <c r="J20" s="15" t="n"/>
      <c r="K20" s="11" t="inlineStr">
        <is>
          <t>Month</t>
        </is>
      </c>
      <c r="L20" s="11" t="inlineStr">
        <is>
          <t>S01</t>
        </is>
      </c>
      <c r="M20" s="14" t="n">
        <v>1</v>
      </c>
      <c r="N20" s="11" t="inlineStr">
        <is>
          <t>High</t>
        </is>
      </c>
      <c r="O20" s="12" t="inlineStr">
        <is>
          <t>Cycle PEAK. The Ministry publishes this series as a chart in its Monthly Economic Report with narrative annotation of key levels. PREFERRED SERIES for modelling Indian integrated-mill cost - see Conflict C01.</t>
        </is>
      </c>
    </row>
    <row r="21">
      <c r="A21" s="11" t="inlineStr">
        <is>
          <t>Premium HCC - Ministry of Steel / JPC assessment</t>
        </is>
      </c>
      <c r="B21" s="11" t="inlineStr">
        <is>
          <t>Ministry of Steel / JPC</t>
        </is>
      </c>
      <c r="C21" s="11" t="inlineStr">
        <is>
          <t>Hard coking coal (HCC)</t>
        </is>
      </c>
      <c r="D21" s="11" t="inlineStr">
        <is>
          <t>FOB Australia</t>
        </is>
      </c>
      <c r="E21" s="11" t="inlineStr">
        <is>
          <t>US$/t</t>
        </is>
      </c>
      <c r="F21" s="11" t="inlineStr">
        <is>
          <t>USD</t>
        </is>
      </c>
      <c r="G21" s="11" t="inlineStr">
        <is>
          <t>Mar-2025</t>
        </is>
      </c>
      <c r="H21" s="18" t="n">
        <v>175</v>
      </c>
      <c r="I21" s="15" t="n"/>
      <c r="J21" s="15" t="n"/>
      <c r="K21" s="11" t="inlineStr">
        <is>
          <t>Month</t>
        </is>
      </c>
      <c r="L21" s="11" t="inlineStr">
        <is>
          <t>S01</t>
        </is>
      </c>
      <c r="M21" s="14" t="n">
        <v>1</v>
      </c>
      <c r="N21" s="11" t="inlineStr">
        <is>
          <t>High</t>
        </is>
      </c>
      <c r="O21" s="12" t="inlineStr">
        <is>
          <t>Cycle TROUGH, described by the Ministry as 'a low of around US$175 per tonne'. This marks the start of FY2026 and explains the strong first-half FY2026 margins for BF-BOF producers.</t>
        </is>
      </c>
    </row>
    <row r="22">
      <c r="A22" s="11" t="inlineStr">
        <is>
          <t>Premium HCC - Ministry of Steel / JPC assessment</t>
        </is>
      </c>
      <c r="B22" s="11" t="inlineStr">
        <is>
          <t>Ministry of Steel / JPC</t>
        </is>
      </c>
      <c r="C22" s="11" t="inlineStr">
        <is>
          <t>Hard coking coal (HCC)</t>
        </is>
      </c>
      <c r="D22" s="11" t="inlineStr">
        <is>
          <t>FOB Australia</t>
        </is>
      </c>
      <c r="E22" s="11" t="inlineStr">
        <is>
          <t>US$/t</t>
        </is>
      </c>
      <c r="F22" s="11" t="inlineStr">
        <is>
          <t>USD</t>
        </is>
      </c>
      <c r="G22" s="11" t="inlineStr">
        <is>
          <t>Feb-2026</t>
        </is>
      </c>
      <c r="H22" s="18" t="n">
        <v>246</v>
      </c>
      <c r="I22" s="15" t="n"/>
      <c r="J22" s="15" t="n"/>
      <c r="K22" s="11" t="inlineStr">
        <is>
          <t>Month</t>
        </is>
      </c>
      <c r="L22" s="11" t="inlineStr">
        <is>
          <t>S01</t>
        </is>
      </c>
      <c r="M22" s="14" t="n">
        <v>1</v>
      </c>
      <c r="N22" s="11" t="inlineStr">
        <is>
          <t>High</t>
        </is>
      </c>
      <c r="O22" s="12" t="inlineStr">
        <is>
          <t>FY2026 high point, up ~41% from the Mar-2025 trough. The principal cost headwind behind Q4FY2026 margin commentary from Tata Steel, SAIL and Jindal Steel.</t>
        </is>
      </c>
    </row>
    <row r="23">
      <c r="A23" s="11" t="inlineStr">
        <is>
          <t>Premium HCC - Ministry of Steel / JPC assessment</t>
        </is>
      </c>
      <c r="B23" s="11" t="inlineStr">
        <is>
          <t>Ministry of Steel / JPC</t>
        </is>
      </c>
      <c r="C23" s="11" t="inlineStr">
        <is>
          <t>Hard coking coal (HCC)</t>
        </is>
      </c>
      <c r="D23" s="11" t="inlineStr">
        <is>
          <t>FOB Australia</t>
        </is>
      </c>
      <c r="E23" s="11" t="inlineStr">
        <is>
          <t>US$/t</t>
        </is>
      </c>
      <c r="F23" s="11" t="inlineStr">
        <is>
          <t>USD</t>
        </is>
      </c>
      <c r="G23" s="11" t="inlineStr">
        <is>
          <t>Mar-2026</t>
        </is>
      </c>
      <c r="H23" s="18" t="n">
        <v>225</v>
      </c>
      <c r="I23" s="15" t="n"/>
      <c r="J23" s="15" t="n"/>
      <c r="K23" s="11" t="inlineStr">
        <is>
          <t>Month</t>
        </is>
      </c>
      <c r="L23" s="11" t="inlineStr">
        <is>
          <t>S01</t>
        </is>
      </c>
      <c r="M23" s="14" t="n">
        <v>1</v>
      </c>
      <c r="N23" s="11" t="inlineStr">
        <is>
          <t>High</t>
        </is>
      </c>
      <c r="O23" s="12" t="inlineStr">
        <is>
          <t>Eased from the Feb-2026 high. LATEST Ministry-published observation available at the data cutoff.</t>
        </is>
      </c>
    </row>
    <row r="24">
      <c r="A24" s="11" t="inlineStr">
        <is>
          <t>Coking coal - IDBI Capital tracker</t>
        </is>
      </c>
      <c r="B24" s="11" t="inlineStr">
        <is>
          <t>IDBI Capital</t>
        </is>
      </c>
      <c r="C24" s="11" t="inlineStr">
        <is>
          <t>Coking coal (grade not specified)</t>
        </is>
      </c>
      <c r="D24" s="11" t="inlineStr">
        <is>
          <t>FOB Australia</t>
        </is>
      </c>
      <c r="E24" s="11" t="inlineStr">
        <is>
          <t>US$/t</t>
        </is>
      </c>
      <c r="F24" s="11" t="inlineStr">
        <is>
          <t>USD</t>
        </is>
      </c>
      <c r="G24" s="11" t="inlineStr">
        <is>
          <t>Feb-2026</t>
        </is>
      </c>
      <c r="H24" s="18" t="n">
        <v>214</v>
      </c>
      <c r="I24" s="15" t="n"/>
      <c r="J24" s="15" t="n"/>
      <c r="K24" s="11" t="inlineStr">
        <is>
          <t>Month</t>
        </is>
      </c>
      <c r="L24" s="11" t="inlineStr">
        <is>
          <t>S20</t>
        </is>
      </c>
      <c r="M24" s="14" t="n">
        <v>2</v>
      </c>
      <c r="N24" s="11" t="inlineStr">
        <is>
          <t>Low</t>
        </is>
      </c>
      <c r="O24" s="12" t="inlineStr">
        <is>
          <t>IMPLIED, not directly stated: the broker reports Mar-2026 at USD 186/t 'flat month on month after declining 13% month on month in Feb-2026', which implies ~USD 214/t for Feb-2026. Shown to evidence the magnitude of the divergence from the Ministry series - see Conflict C01. DO NOT BLEND with the Ministry rows above.</t>
        </is>
      </c>
    </row>
    <row r="25">
      <c r="A25" s="11" t="inlineStr">
        <is>
          <t>Coking coal - IDBI Capital tracker</t>
        </is>
      </c>
      <c r="B25" s="11" t="inlineStr">
        <is>
          <t>IDBI Capital</t>
        </is>
      </c>
      <c r="C25" s="11" t="inlineStr">
        <is>
          <t>Coking coal (grade not specified)</t>
        </is>
      </c>
      <c r="D25" s="11" t="inlineStr">
        <is>
          <t>FOB Australia</t>
        </is>
      </c>
      <c r="E25" s="11" t="inlineStr">
        <is>
          <t>US$/t</t>
        </is>
      </c>
      <c r="F25" s="11" t="inlineStr">
        <is>
          <t>USD</t>
        </is>
      </c>
      <c r="G25" s="11" t="inlineStr">
        <is>
          <t>Mar-2026</t>
        </is>
      </c>
      <c r="H25" s="18" t="n">
        <v>186</v>
      </c>
      <c r="I25" s="15" t="n"/>
      <c r="J25" s="15" t="n"/>
      <c r="K25" s="11" t="inlineStr">
        <is>
          <t>Month</t>
        </is>
      </c>
      <c r="L25" s="11" t="inlineStr">
        <is>
          <t>S20</t>
        </is>
      </c>
      <c r="M25" s="14" t="n">
        <v>2</v>
      </c>
      <c r="N25" s="11" t="inlineStr">
        <is>
          <t>Medium</t>
        </is>
      </c>
      <c r="O25" s="12" t="inlineStr">
        <is>
          <t>Flat month on month. Sits USD 39/t BELOW the Ministry's ~USD 225/t for the same month, which is why the two series cannot be treated as the same assessment.</t>
        </is>
      </c>
    </row>
    <row r="26">
      <c r="A26" s="11" t="inlineStr">
        <is>
          <t>Coking coal - IDBI Capital tracker</t>
        </is>
      </c>
      <c r="B26" s="11" t="inlineStr">
        <is>
          <t>IDBI Capital</t>
        </is>
      </c>
      <c r="C26" s="11" t="inlineStr">
        <is>
          <t>Coking coal (grade not specified)</t>
        </is>
      </c>
      <c r="D26" s="11" t="inlineStr">
        <is>
          <t>FOB Australia</t>
        </is>
      </c>
      <c r="E26" s="11" t="inlineStr">
        <is>
          <t>US$/t</t>
        </is>
      </c>
      <c r="F26" s="11" t="inlineStr">
        <is>
          <t>USD</t>
        </is>
      </c>
      <c r="G26" s="11" t="inlineStr">
        <is>
          <t>Week ended 22-Jun-2026</t>
        </is>
      </c>
      <c r="H26" s="18" t="n">
        <v>200</v>
      </c>
      <c r="I26" s="18" t="n">
        <v>217</v>
      </c>
      <c r="J26" s="18" t="n">
        <v>135</v>
      </c>
      <c r="K26" s="11" t="inlineStr">
        <is>
          <t>Point-in-time</t>
        </is>
      </c>
      <c r="L26" s="11" t="inlineStr">
        <is>
          <t>S21</t>
        </is>
      </c>
      <c r="M26" s="14" t="n">
        <v>2</v>
      </c>
      <c r="N26" s="11" t="inlineStr">
        <is>
          <t>Medium</t>
        </is>
      </c>
      <c r="O26" s="12" t="inlineStr">
        <is>
          <t>Flat week on week; up 14.3% month on month; up 48.1% year on year. DECISIVE EVIDENCE for Conflict C01: this series' 52-week HIGH of USD 217/t is BELOW the Ministry's Feb-2026 level of USD 246/t, so they are demonstrably different assessments.</t>
        </is>
      </c>
    </row>
    <row r="27">
      <c r="A27" s="11" t="inlineStr">
        <is>
          <t>Australian THERMAL coal - energy cost reference ONLY</t>
        </is>
      </c>
      <c r="B27" s="11" t="inlineStr">
        <is>
          <t>World Bank</t>
        </is>
      </c>
      <c r="C27" s="11" t="inlineStr">
        <is>
          <t>THERMAL coal, 6000 kcal/kg - NOT coking coal</t>
        </is>
      </c>
      <c r="D27" s="11" t="inlineStr">
        <is>
          <t>FOB Newcastle (futures)</t>
        </is>
      </c>
      <c r="E27" s="11" t="inlineStr">
        <is>
          <t>US$/mt</t>
        </is>
      </c>
      <c r="F27" s="11" t="inlineStr">
        <is>
          <t>USD</t>
        </is>
      </c>
      <c r="G27" s="11" t="inlineStr">
        <is>
          <t>FY2026 average</t>
        </is>
      </c>
      <c r="H27" s="18" t="n">
        <v>111.5</v>
      </c>
      <c r="I27" s="15" t="n"/>
      <c r="J27" s="15" t="n"/>
      <c r="K27" s="11" t="inlineStr">
        <is>
          <t>Annual (FY)</t>
        </is>
      </c>
      <c r="L27" s="11" t="inlineStr">
        <is>
          <t>S17</t>
        </is>
      </c>
      <c r="M27" s="14" t="n">
        <v>1</v>
      </c>
      <c r="N27" s="11" t="inlineStr">
        <is>
          <t>High</t>
        </is>
      </c>
      <c r="O27" s="12" t="inlineStr">
        <is>
          <t>DO NOT USE AS A COKING COAL PROXY. This is thermal coal, priced off energy content, with no consistent relationship to metallurgical coal - see Conflict C15. Included solely as an input reference for captive power and for gas/coal-based DRI economics. Fiscal-year averages: FY2022 176.58, FY2023 343.40, FY2024 145.10, FY2025 131.89, FY2026 111.50. Calendar 2022 averaged USD 344.90/mt at the energy-crisis peak.</t>
        </is>
      </c>
    </row>
    <row r="28">
      <c r="A28" s="11" t="inlineStr">
        <is>
          <t>Australian THERMAL coal - energy cost reference ONLY</t>
        </is>
      </c>
      <c r="B28" s="11" t="inlineStr">
        <is>
          <t>World Bank</t>
        </is>
      </c>
      <c r="C28" s="11" t="inlineStr">
        <is>
          <t>THERMAL coal, 6000 kcal/kg - NOT coking coal</t>
        </is>
      </c>
      <c r="D28" s="11" t="inlineStr">
        <is>
          <t>FOB Newcastle (futures)</t>
        </is>
      </c>
      <c r="E28" s="11" t="inlineStr">
        <is>
          <t>US$/mt</t>
        </is>
      </c>
      <c r="F28" s="11" t="inlineStr">
        <is>
          <t>USD</t>
        </is>
      </c>
      <c r="G28" s="11" t="inlineStr">
        <is>
          <t>Q1 FY2027 average</t>
        </is>
      </c>
      <c r="H28" s="18" t="n">
        <v>135.43</v>
      </c>
      <c r="I28" s="15" t="n"/>
      <c r="J28" s="15" t="n"/>
      <c r="K28" s="11" t="inlineStr">
        <is>
          <t>Quarter</t>
        </is>
      </c>
      <c r="L28" s="11" t="inlineStr">
        <is>
          <t>S17</t>
        </is>
      </c>
      <c r="M28" s="14" t="n">
        <v>1</v>
      </c>
      <c r="N28" s="11" t="inlineStr">
        <is>
          <t>High</t>
        </is>
      </c>
      <c r="O28" s="12" t="inlineStr">
        <is>
          <t>Up 30% from the Q1FY2026 average of USD 104.00/mt. Rising through Q4FY2026 and into Q1FY2027 (Mar-2026 USD 138.6/mt), consistent with the West Asia energy disruption flagged by Tata Steel and Jindal Stainless. A cost headwind for DRI-EAF and captive-power-heavy producers.</t>
        </is>
      </c>
    </row>
    <row r="30">
      <c r="A30" s="13" t="inlineStr">
        <is>
          <t>CONFLICT C01 IS UNRESOLVED IN THE PUBLIC DOMAIN AND IS MATERIAL. For March 2026 the Ministry of Steel assesses premium HCC FOB Australia at ~US$225/t while IDBI Capital assesses coking coal FOB Australia at US$186/t. Decisively, the broker series' 52-week high of US$217/t as at June 2026 is BELOW the Ministry's February 2026 level of US$246/t, so the two are demonstrably different assessments and must not be averaged together.</t>
        </is>
      </c>
    </row>
    <row r="31">
      <c r="A31" s="13" t="inlineStr">
        <is>
          <t>Coking coal is the dominant swing factor in BF-BOF conversion cost. The rise from a ~US$175/t trough in March 2025 to ~US$246/t in February 2026 is the principal reason Q4FY2026 margin commentary was cost-focused across Tata Steel, SAIL and Jindal Steel, and it is why Jindal Steel's EBITDA per tonne fell 11% despite 14% volume growth.</t>
        </is>
      </c>
    </row>
  </sheetData>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tabColor rgb="001F3864"/>
    <outlinePr summaryBelow="1" summaryRight="1"/>
    <pageSetUpPr fitToPage="1"/>
  </sheetPr>
  <dimension ref="A1:K52"/>
  <sheetViews>
    <sheetView showGridLines="0" workbookViewId="0">
      <pane xSplit="1" ySplit="49" topLeftCell="B50" activePane="bottomRight" state="frozen"/>
      <selection pane="topRight"/>
      <selection pane="bottomLeft"/>
      <selection pane="bottom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22" customWidth="1" min="2" max="2"/>
    <col width="13" customWidth="1" min="3" max="3"/>
    <col width="22" customWidth="1" min="4" max="4"/>
    <col width="20" customWidth="1" min="5" max="5"/>
    <col width="20" customWidth="1" min="6" max="6"/>
    <col width="20" customWidth="1" min="7" max="7"/>
    <col width="18" customWidth="1" min="8" max="8"/>
    <col width="12" customWidth="1" min="9" max="9"/>
    <col width="11" customWidth="1" min="10" max="10"/>
    <col width="90" customWidth="1" min="11" max="11"/>
  </cols>
  <sheetData>
    <row r="1" ht="19" customHeight="1">
      <c r="A1" s="1" t="inlineStr">
        <is>
          <t>10. Demand &amp; Consumption</t>
        </is>
      </c>
    </row>
    <row r="2">
      <c r="A2" s="4" t="inlineStr">
        <is>
          <t>Master Industry Database  |  Indian Steel Industry  |  Data cutoff: 03-Aug-2026</t>
        </is>
      </c>
    </row>
    <row r="3">
      <c r="A3" s="3" t="inlineStr"/>
    </row>
    <row r="4">
      <c r="A4" s="4" t="inlineStr">
        <is>
          <t>OBJECTIVE</t>
        </is>
      </c>
    </row>
    <row r="5">
      <c r="A5" s="3" t="inlineStr">
        <is>
          <t>Apparent finished steel consumption for India over twelve fiscal years, the full supply-demand balance that derives it, per capita intensity against world and China, and the latest quarterly reading.</t>
        </is>
      </c>
    </row>
    <row r="6">
      <c r="A6" s="4" t="inlineStr">
        <is>
          <t>UNITS AND CURRENCY</t>
        </is>
      </c>
    </row>
    <row r="7">
      <c r="A7" s="3" t="inlineStr">
        <is>
          <t>Mt (million tonnes). Per capita in kg. Growth in per cent.</t>
        </is>
      </c>
    </row>
    <row r="8">
      <c r="A8" s="4" t="inlineStr">
        <is>
          <t>COVERAGE AND HISTORICAL DEPTH</t>
        </is>
      </c>
    </row>
    <row r="9">
      <c r="A9" s="3" t="inlineStr">
        <is>
          <t>FY2015 to FY2026, twelve fiscal years, plus Q1 FY2027. FY2026 is provisional.</t>
        </is>
      </c>
    </row>
    <row r="10">
      <c r="A10" s="4" t="inlineStr">
        <is>
          <t>DATA FREQUENCY</t>
        </is>
      </c>
    </row>
    <row r="11">
      <c r="A11" s="3" t="inlineStr">
        <is>
          <t>Annual (fiscal year); also published monthly by the Joint Plant Committee.</t>
        </is>
      </c>
    </row>
    <row r="12">
      <c r="A12" s="4" t="inlineStr">
        <is>
          <t>SOURCE HIERARCHY APPLIED</t>
        </is>
      </c>
    </row>
    <row r="13">
      <c r="A13" s="3" t="inlineStr">
        <is>
          <t>Tier 1 only: Ministry of Steel and Joint Plant Committee publications, Parliamentary answers, and the World Steel Association as reproduced by the Ministry. No secondary source is relied upon for any figure on this sheet.</t>
        </is>
      </c>
    </row>
    <row r="14">
      <c r="A14" s="4" t="inlineStr">
        <is>
          <t>COLUMN RATIONALE</t>
        </is>
      </c>
    </row>
    <row r="15">
      <c r="A15" s="3" t="inlineStr">
        <is>
          <t>Apparent consumption is production plus imports less exports adjusted for the change in stocks - it is an APPARENT, not end-use, measure and the balance is shown in full so a user can see exactly how it is derived and how sensitive it is to the stock line. Consumption As % Of Production is a live formula, not a hard-coded value. Per capita consumption is carried because it is the standard cross-country intensity comparator and the quantitative core of the long-run India demand thesis.</t>
        </is>
      </c>
    </row>
    <row r="16">
      <c r="A16" s="3" t="inlineStr"/>
    </row>
    <row r="17">
      <c r="A17" s="2" t="inlineStr">
        <is>
          <t>SECTION A - LONG-RUN CONSUMPTION SERIES</t>
        </is>
      </c>
    </row>
    <row r="18" ht="30" customHeight="1">
      <c r="A18" s="8" t="inlineStr">
        <is>
          <t>Fiscal Year</t>
        </is>
      </c>
      <c r="B18" s="7" t="inlineStr">
        <is>
          <t>Total Finished Steel Consumption (Mt)</t>
        </is>
      </c>
      <c r="C18" s="7" t="inlineStr">
        <is>
          <t>Growth (%)</t>
        </is>
      </c>
      <c r="D18" s="7" t="inlineStr">
        <is>
          <t>Total Finished Steel Production (Mt)</t>
        </is>
      </c>
      <c r="E18" s="7" t="inlineStr">
        <is>
          <t>Crude Steel Production (Mt)</t>
        </is>
      </c>
      <c r="F18" s="7" t="inlineStr">
        <is>
          <t>Crude Steel Capacity (Mtpa)</t>
        </is>
      </c>
      <c r="G18" s="7" t="inlineStr">
        <is>
          <t>Consumption As % Of Production</t>
        </is>
      </c>
      <c r="H18" s="7" t="inlineStr">
        <is>
          <t>Period Type</t>
        </is>
      </c>
      <c r="I18" s="7" t="inlineStr">
        <is>
          <t>Source ID</t>
        </is>
      </c>
      <c r="J18" s="7" t="inlineStr">
        <is>
          <t>Confidence</t>
        </is>
      </c>
      <c r="K18" s="7" t="inlineStr">
        <is>
          <t>Notes</t>
        </is>
      </c>
    </row>
    <row r="19">
      <c r="A19" s="11" t="inlineStr">
        <is>
          <t>FY2015</t>
        </is>
      </c>
      <c r="B19" s="18" t="n">
        <v>76.98999999999999</v>
      </c>
      <c r="C19" s="17" t="n">
        <v>0.039</v>
      </c>
      <c r="D19" s="18" t="n">
        <v>81.86</v>
      </c>
      <c r="E19" s="15" t="n"/>
      <c r="F19" s="15" t="n"/>
      <c r="G19" s="17">
        <f>IFERROR(IF(AND(ISNUMBER(B19),ISNUMBER(D19),D19&gt;0),B19/D19,""),"")</f>
        <v/>
      </c>
      <c r="H19" s="11" t="inlineStr">
        <is>
          <t>Annual (FY)</t>
        </is>
      </c>
      <c r="I19" s="11" t="inlineStr">
        <is>
          <t>S02</t>
        </is>
      </c>
      <c r="J19" s="11" t="inlineStr">
        <is>
          <t>High</t>
        </is>
      </c>
      <c r="K19" s="12" t="inlineStr"/>
    </row>
    <row r="20">
      <c r="A20" s="11" t="inlineStr">
        <is>
          <t>FY2016</t>
        </is>
      </c>
      <c r="B20" s="18" t="n">
        <v>81.52</v>
      </c>
      <c r="C20" s="17" t="n">
        <v>0.0588</v>
      </c>
      <c r="D20" s="18" t="n">
        <v>81.90000000000001</v>
      </c>
      <c r="E20" s="15" t="n"/>
      <c r="F20" s="15" t="n"/>
      <c r="G20" s="17">
        <f>IFERROR(IF(AND(ISNUMBER(B20),ISNUMBER(D20),D20&gt;0),B20/D20,""),"")</f>
        <v/>
      </c>
      <c r="H20" s="11" t="inlineStr">
        <is>
          <t>Annual (FY)</t>
        </is>
      </c>
      <c r="I20" s="11" t="inlineStr">
        <is>
          <t>S02</t>
        </is>
      </c>
      <c r="J20" s="11" t="inlineStr">
        <is>
          <t>High</t>
        </is>
      </c>
      <c r="K20" s="12" t="inlineStr"/>
    </row>
    <row r="21">
      <c r="A21" s="11" t="inlineStr">
        <is>
          <t>FY2017</t>
        </is>
      </c>
      <c r="B21" s="18" t="n">
        <v>84.04000000000001</v>
      </c>
      <c r="C21" s="17" t="n">
        <v>0.0309</v>
      </c>
      <c r="D21" s="18" t="n">
        <v>91.54000000000001</v>
      </c>
      <c r="E21" s="15" t="n"/>
      <c r="F21" s="15" t="n"/>
      <c r="G21" s="17">
        <f>IFERROR(IF(AND(ISNUMBER(B21),ISNUMBER(D21),D21&gt;0),B21/D21,""),"")</f>
        <v/>
      </c>
      <c r="H21" s="11" t="inlineStr">
        <is>
          <t>Annual (FY)</t>
        </is>
      </c>
      <c r="I21" s="11" t="inlineStr">
        <is>
          <t>S02</t>
        </is>
      </c>
      <c r="J21" s="11" t="inlineStr">
        <is>
          <t>High</t>
        </is>
      </c>
      <c r="K21" s="12" t="inlineStr"/>
    </row>
    <row r="22">
      <c r="A22" s="11" t="inlineStr">
        <is>
          <t>FY2018</t>
        </is>
      </c>
      <c r="B22" s="18" t="n">
        <v>90.70999999999999</v>
      </c>
      <c r="C22" s="17" t="n">
        <v>0.0794</v>
      </c>
      <c r="D22" s="18" t="n">
        <v>95.01000000000001</v>
      </c>
      <c r="E22" s="15" t="n"/>
      <c r="F22" s="15" t="n"/>
      <c r="G22" s="17">
        <f>IFERROR(IF(AND(ISNUMBER(B22),ISNUMBER(D22),D22&gt;0),B22/D22,""),"")</f>
        <v/>
      </c>
      <c r="H22" s="11" t="inlineStr">
        <is>
          <t>Annual (FY)</t>
        </is>
      </c>
      <c r="I22" s="11" t="inlineStr">
        <is>
          <t>S02</t>
        </is>
      </c>
      <c r="J22" s="11" t="inlineStr">
        <is>
          <t>High</t>
        </is>
      </c>
      <c r="K22" s="12" t="inlineStr"/>
    </row>
    <row r="23">
      <c r="A23" s="11" t="inlineStr">
        <is>
          <t>FY2019</t>
        </is>
      </c>
      <c r="B23" s="18" t="n">
        <v>98.70999999999999</v>
      </c>
      <c r="C23" s="17" t="n">
        <v>0.0882</v>
      </c>
      <c r="D23" s="18" t="n">
        <v>101.29</v>
      </c>
      <c r="E23" s="15" t="n"/>
      <c r="F23" s="15" t="n"/>
      <c r="G23" s="17">
        <f>IFERROR(IF(AND(ISNUMBER(B23),ISNUMBER(D23),D23&gt;0),B23/D23,""),"")</f>
        <v/>
      </c>
      <c r="H23" s="11" t="inlineStr">
        <is>
          <t>Annual (FY)</t>
        </is>
      </c>
      <c r="I23" s="11" t="inlineStr">
        <is>
          <t>S02</t>
        </is>
      </c>
      <c r="J23" s="11" t="inlineStr">
        <is>
          <t>High</t>
        </is>
      </c>
      <c r="K23" s="12" t="inlineStr"/>
    </row>
    <row r="24">
      <c r="A24" s="11" t="inlineStr">
        <is>
          <t>FY2020</t>
        </is>
      </c>
      <c r="B24" s="18" t="n">
        <v>100.17</v>
      </c>
      <c r="C24" s="17" t="n">
        <v>0.0147</v>
      </c>
      <c r="D24" s="18" t="n">
        <v>102.62</v>
      </c>
      <c r="E24" s="15" t="n"/>
      <c r="F24" s="15" t="n"/>
      <c r="G24" s="17">
        <f>IFERROR(IF(AND(ISNUMBER(B24),ISNUMBER(D24),D24&gt;0),B24/D24,""),"")</f>
        <v/>
      </c>
      <c r="H24" s="11" t="inlineStr">
        <is>
          <t>Annual (FY)</t>
        </is>
      </c>
      <c r="I24" s="11" t="inlineStr">
        <is>
          <t>S02</t>
        </is>
      </c>
      <c r="J24" s="11" t="inlineStr">
        <is>
          <t>High</t>
        </is>
      </c>
      <c r="K24" s="12" t="inlineStr"/>
    </row>
    <row r="25">
      <c r="A25" s="11" t="inlineStr">
        <is>
          <t>FY2021</t>
        </is>
      </c>
      <c r="B25" s="18" t="n">
        <v>94.89</v>
      </c>
      <c r="C25" s="17" t="n">
        <v>-0.0527</v>
      </c>
      <c r="D25" s="18" t="n">
        <v>96.2</v>
      </c>
      <c r="E25" s="18" t="n">
        <v>103.545</v>
      </c>
      <c r="F25" s="15" t="n"/>
      <c r="G25" s="17">
        <f>IFERROR(IF(AND(ISNUMBER(B25),ISNUMBER(D25),D25&gt;0),B25/D25,""),"")</f>
        <v/>
      </c>
      <c r="H25" s="11" t="inlineStr">
        <is>
          <t>Annual (FY)</t>
        </is>
      </c>
      <c r="I25" s="11" t="inlineStr">
        <is>
          <t>S02</t>
        </is>
      </c>
      <c r="J25" s="11" t="inlineStr">
        <is>
          <t>High</t>
        </is>
      </c>
      <c r="K25" s="12" t="inlineStr">
        <is>
          <t>Only contraction in the series, caused by COVID-19 construction and industrial shutdowns.</t>
        </is>
      </c>
    </row>
    <row r="26">
      <c r="A26" s="11" t="inlineStr">
        <is>
          <t>FY2022</t>
        </is>
      </c>
      <c r="B26" s="18" t="n">
        <v>105.75</v>
      </c>
      <c r="C26" s="17" t="n">
        <v>0.1144</v>
      </c>
      <c r="D26" s="18" t="n">
        <v>113.6</v>
      </c>
      <c r="E26" s="15" t="n"/>
      <c r="F26" s="15" t="n"/>
      <c r="G26" s="17">
        <f>IFERROR(IF(AND(ISNUMBER(B26),ISNUMBER(D26),D26&gt;0),B26/D26,""),"")</f>
        <v/>
      </c>
      <c r="H26" s="11" t="inlineStr">
        <is>
          <t>Annual (FY)</t>
        </is>
      </c>
      <c r="I26" s="11" t="inlineStr">
        <is>
          <t>S02</t>
        </is>
      </c>
      <c r="J26" s="11" t="inlineStr">
        <is>
          <t>High</t>
        </is>
      </c>
      <c r="K26" s="12" t="inlineStr"/>
    </row>
    <row r="27">
      <c r="A27" s="11" t="inlineStr">
        <is>
          <t>FY2023</t>
        </is>
      </c>
      <c r="B27" s="18" t="n">
        <v>119.89</v>
      </c>
      <c r="C27" s="17" t="n">
        <v>0.1337</v>
      </c>
      <c r="D27" s="18" t="n">
        <v>123.2</v>
      </c>
      <c r="E27" s="18" t="n">
        <v>127.2</v>
      </c>
      <c r="F27" s="15" t="n"/>
      <c r="G27" s="17">
        <f>IFERROR(IF(AND(ISNUMBER(B27),ISNUMBER(D27),D27&gt;0),B27/D27,""),"")</f>
        <v/>
      </c>
      <c r="H27" s="11" t="inlineStr">
        <is>
          <t>Annual (FY)</t>
        </is>
      </c>
      <c r="I27" s="11" t="inlineStr">
        <is>
          <t>S02</t>
        </is>
      </c>
      <c r="J27" s="11" t="inlineStr">
        <is>
          <t>High</t>
        </is>
      </c>
      <c r="K27" s="12" t="inlineStr"/>
    </row>
    <row r="28">
      <c r="A28" s="11" t="inlineStr">
        <is>
          <t>FY2024</t>
        </is>
      </c>
      <c r="B28" s="18" t="n">
        <v>136.29</v>
      </c>
      <c r="C28" s="17" t="n">
        <v>0.137</v>
      </c>
      <c r="D28" s="18" t="n">
        <v>139.15</v>
      </c>
      <c r="E28" s="18" t="n">
        <v>144.3</v>
      </c>
      <c r="F28" s="14" t="n">
        <v>179.51</v>
      </c>
      <c r="G28" s="17">
        <f>IFERROR(IF(AND(ISNUMBER(B28),ISNUMBER(D28),D28&gt;0),B28/D28,""),"")</f>
        <v/>
      </c>
      <c r="H28" s="11" t="inlineStr">
        <is>
          <t>Annual (FY)</t>
        </is>
      </c>
      <c r="I28" s="11" t="inlineStr">
        <is>
          <t>S02</t>
        </is>
      </c>
      <c r="J28" s="11" t="inlineStr">
        <is>
          <t>High</t>
        </is>
      </c>
      <c r="K28" s="12" t="inlineStr"/>
    </row>
    <row r="29">
      <c r="A29" s="11" t="inlineStr">
        <is>
          <t>FY2025</t>
        </is>
      </c>
      <c r="B29" s="18" t="n">
        <v>152.13</v>
      </c>
      <c r="C29" s="17" t="n">
        <v>0.1162</v>
      </c>
      <c r="D29" s="18" t="n">
        <v>146.69</v>
      </c>
      <c r="E29" s="18" t="n">
        <v>152.18</v>
      </c>
      <c r="F29" s="14" t="n">
        <v>200.33</v>
      </c>
      <c r="G29" s="17">
        <f>IFERROR(IF(AND(ISNUMBER(B29),ISNUMBER(D29),D29&gt;0),B29/D29,""),"")</f>
        <v/>
      </c>
      <c r="H29" s="11" t="inlineStr">
        <is>
          <t>Annual (FY)</t>
        </is>
      </c>
      <c r="I29" s="11" t="inlineStr">
        <is>
          <t>S02</t>
        </is>
      </c>
      <c r="J29" s="11" t="inlineStr">
        <is>
          <t>High</t>
        </is>
      </c>
      <c r="K29" s="12" t="inlineStr">
        <is>
          <t>India became a net importer of total finished steel in FY2025 for the first time in several years.</t>
        </is>
      </c>
    </row>
    <row r="30">
      <c r="A30" s="11" t="inlineStr">
        <is>
          <t>FY2026</t>
        </is>
      </c>
      <c r="B30" s="18" t="n">
        <v>164.19</v>
      </c>
      <c r="C30" s="17" t="n">
        <v>0.079</v>
      </c>
      <c r="D30" s="18" t="n">
        <v>161.74</v>
      </c>
      <c r="E30" s="18" t="n">
        <v>168.42</v>
      </c>
      <c r="F30" s="14" t="n">
        <v>220.4</v>
      </c>
      <c r="G30" s="17">
        <f>IFERROR(IF(AND(ISNUMBER(B30),ISNUMBER(D30),D30&gt;0),B30/D30,""),"")</f>
        <v/>
      </c>
      <c r="H30" s="11" t="inlineStr">
        <is>
          <t>Annual (FY)</t>
        </is>
      </c>
      <c r="I30" s="11" t="inlineStr">
        <is>
          <t>S02</t>
        </is>
      </c>
      <c r="J30" s="11" t="inlineStr">
        <is>
          <t>High</t>
        </is>
      </c>
      <c r="K30" s="12" t="inlineStr">
        <is>
          <t>Provisional. June-2026 JPC vintage; the April-2026 vintage shows consumption of 163.74 Mt and finished production of 160.94 Mt - see Conflict C03.</t>
        </is>
      </c>
    </row>
    <row r="32">
      <c r="A32" s="2" t="inlineStr">
        <is>
          <t>SECTION B - FINISHED STEEL SUPPLY-DEMAND BALANCE (APRIL 2026 JPC VINTAGE)</t>
        </is>
      </c>
    </row>
    <row r="33" ht="30" customHeight="1">
      <c r="A33" s="8" t="inlineStr">
        <is>
          <t>Line</t>
        </is>
      </c>
      <c r="B33" s="7" t="inlineStr">
        <is>
          <t>Unit</t>
        </is>
      </c>
      <c r="C33" s="7" t="inlineStr">
        <is>
          <t>FY2023</t>
        </is>
      </c>
      <c r="D33" s="7" t="inlineStr">
        <is>
          <t>FY2024</t>
        </is>
      </c>
      <c r="E33" s="7" t="inlineStr">
        <is>
          <t>FY2025</t>
        </is>
      </c>
      <c r="F33" s="7" t="inlineStr">
        <is>
          <t>FY2026 (P)</t>
        </is>
      </c>
      <c r="G33" s="7" t="inlineStr">
        <is>
          <t>Period Type</t>
        </is>
      </c>
      <c r="H33" s="7" t="inlineStr">
        <is>
          <t>Source ID</t>
        </is>
      </c>
      <c r="I33" s="7" t="inlineStr">
        <is>
          <t>Confidence</t>
        </is>
      </c>
      <c r="J33" s="7" t="inlineStr">
        <is>
          <t>Notes</t>
        </is>
      </c>
    </row>
    <row r="34">
      <c r="A34" s="11" t="inlineStr">
        <is>
          <t>1. Crude steel production</t>
        </is>
      </c>
      <c r="B34" s="11" t="inlineStr">
        <is>
          <t>Mt</t>
        </is>
      </c>
      <c r="C34" s="18" t="n">
        <v>127.2</v>
      </c>
      <c r="D34" s="18" t="n">
        <v>144.3</v>
      </c>
      <c r="E34" s="18" t="n">
        <v>152.18</v>
      </c>
      <c r="F34" s="18" t="n">
        <v>168.42</v>
      </c>
      <c r="G34" s="11" t="inlineStr">
        <is>
          <t>Annual (FY)</t>
        </is>
      </c>
      <c r="H34" s="11" t="inlineStr">
        <is>
          <t>S01</t>
        </is>
      </c>
      <c r="I34" s="11" t="inlineStr">
        <is>
          <t>High</t>
        </is>
      </c>
      <c r="J34" s="12" t="inlineStr">
        <is>
          <t>Memo item; not part of the finished steel balance below.</t>
        </is>
      </c>
    </row>
    <row r="35">
      <c r="A35" s="11" t="inlineStr">
        <is>
          <t>2. Finished steel production</t>
        </is>
      </c>
      <c r="B35" s="11" t="inlineStr">
        <is>
          <t>Mt</t>
        </is>
      </c>
      <c r="C35" s="18" t="n">
        <v>123.2</v>
      </c>
      <c r="D35" s="18" t="n">
        <v>139.15</v>
      </c>
      <c r="E35" s="18" t="n">
        <v>146.69</v>
      </c>
      <c r="F35" s="18" t="n">
        <v>160.94</v>
      </c>
      <c r="G35" s="11" t="inlineStr">
        <is>
          <t>Annual (FY)</t>
        </is>
      </c>
      <c r="H35" s="11" t="inlineStr">
        <is>
          <t>S01</t>
        </is>
      </c>
      <c r="I35" s="11" t="inlineStr">
        <is>
          <t>High</t>
        </is>
      </c>
      <c r="J35" s="12" t="inlineStr"/>
    </row>
    <row r="36">
      <c r="A36" s="11" t="inlineStr">
        <is>
          <t>3. Finished steel imports</t>
        </is>
      </c>
      <c r="B36" s="11" t="inlineStr">
        <is>
          <t>Mt</t>
        </is>
      </c>
      <c r="C36" s="18" t="n">
        <v>6.02</v>
      </c>
      <c r="D36" s="18" t="n">
        <v>8.32</v>
      </c>
      <c r="E36" s="18" t="n">
        <v>9.550000000000001</v>
      </c>
      <c r="F36" s="18" t="n">
        <v>6.52</v>
      </c>
      <c r="G36" s="11" t="inlineStr">
        <is>
          <t>Annual (FY)</t>
        </is>
      </c>
      <c r="H36" s="11" t="inlineStr">
        <is>
          <t>S01</t>
        </is>
      </c>
      <c r="I36" s="11" t="inlineStr">
        <is>
          <t>High</t>
        </is>
      </c>
      <c r="J36" s="12" t="inlineStr"/>
    </row>
    <row r="37">
      <c r="A37" s="11" t="inlineStr">
        <is>
          <t>4. Finished steel exports</t>
        </is>
      </c>
      <c r="B37" s="11" t="inlineStr">
        <is>
          <t>Mt</t>
        </is>
      </c>
      <c r="C37" s="18" t="n">
        <v>6.72</v>
      </c>
      <c r="D37" s="18" t="n">
        <v>7.49</v>
      </c>
      <c r="E37" s="18" t="n">
        <v>4.86</v>
      </c>
      <c r="F37" s="18" t="n">
        <v>6.6</v>
      </c>
      <c r="G37" s="11" t="inlineStr">
        <is>
          <t>Annual (FY)</t>
        </is>
      </c>
      <c r="H37" s="11" t="inlineStr">
        <is>
          <t>S01</t>
        </is>
      </c>
      <c r="I37" s="11" t="inlineStr">
        <is>
          <t>High</t>
        </is>
      </c>
      <c r="J37" s="12" t="inlineStr"/>
    </row>
    <row r="38">
      <c r="A38" s="11" t="inlineStr">
        <is>
          <t>5. Availability (2 + 3 - 4)</t>
        </is>
      </c>
      <c r="B38" s="11" t="inlineStr">
        <is>
          <t>Mt</t>
        </is>
      </c>
      <c r="C38" s="18" t="n">
        <v>122.5</v>
      </c>
      <c r="D38" s="18" t="n">
        <v>139.99</v>
      </c>
      <c r="E38" s="18" t="n">
        <v>151.38</v>
      </c>
      <c r="F38" s="18" t="n">
        <v>160.86</v>
      </c>
      <c r="G38" s="11" t="inlineStr">
        <is>
          <t>Annual (FY)</t>
        </is>
      </c>
      <c r="H38" s="11" t="inlineStr">
        <is>
          <t>S01</t>
        </is>
      </c>
      <c r="I38" s="11" t="inlineStr">
        <is>
          <t>High</t>
        </is>
      </c>
      <c r="J38" s="12" t="inlineStr"/>
    </row>
    <row r="39">
      <c r="A39" s="11" t="inlineStr">
        <is>
          <t>6. Variation in stock</t>
        </is>
      </c>
      <c r="B39" s="11" t="inlineStr">
        <is>
          <t>Mt</t>
        </is>
      </c>
      <c r="C39" s="18" t="n">
        <v>2.61</v>
      </c>
      <c r="D39" s="18" t="n">
        <v>3.69</v>
      </c>
      <c r="E39" s="18" t="n">
        <v>-0.75</v>
      </c>
      <c r="F39" s="18" t="n">
        <v>-2.88</v>
      </c>
      <c r="G39" s="11" t="inlineStr">
        <is>
          <t>Annual (FY)</t>
        </is>
      </c>
      <c r="H39" s="11" t="inlineStr">
        <is>
          <t>S01</t>
        </is>
      </c>
      <c r="I39" s="11" t="inlineStr">
        <is>
          <t>High</t>
        </is>
      </c>
      <c r="J39" s="12" t="inlineStr">
        <is>
          <t>NEGATIVE in FY2025 and FY2026, i.e. inventory was DRAWN DOWN, which added to apparent consumption. The FY2026 destock of 2.88 Mt is ~1.8% of consumption - a genuine demand signal, and it flatters the reported consumption growth.</t>
        </is>
      </c>
    </row>
    <row r="40">
      <c r="A40" s="11" t="inlineStr">
        <is>
          <t>7. Apparent finished steel consumption (5 - 6)</t>
        </is>
      </c>
      <c r="B40" s="11" t="inlineStr">
        <is>
          <t>Mt</t>
        </is>
      </c>
      <c r="C40" s="18" t="n">
        <v>119.89</v>
      </c>
      <c r="D40" s="18" t="n">
        <v>136.29</v>
      </c>
      <c r="E40" s="18" t="n">
        <v>152.13</v>
      </c>
      <c r="F40" s="18" t="n">
        <v>163.74</v>
      </c>
      <c r="G40" s="11" t="inlineStr">
        <is>
          <t>Annual (FY)</t>
        </is>
      </c>
      <c r="H40" s="11" t="inlineStr">
        <is>
          <t>S01</t>
        </is>
      </c>
      <c r="I40" s="11" t="inlineStr">
        <is>
          <t>High</t>
        </is>
      </c>
      <c r="J40" s="12" t="inlineStr">
        <is>
          <t>April-2026 JPC vintage, internally consistent with lines 2 to 6. The later June-2026 vintage shows 164.19 Mt - see Conflict C03.</t>
        </is>
      </c>
    </row>
    <row r="42">
      <c r="A42" s="2" t="inlineStr">
        <is>
          <t>SECTION C - PER CAPITA CONSUMPTION</t>
        </is>
      </c>
    </row>
    <row r="43" ht="30" customHeight="1">
      <c r="A43" s="8" t="inlineStr">
        <is>
          <t>Geography</t>
        </is>
      </c>
      <c r="B43" s="7" t="inlineStr">
        <is>
          <t>Unit</t>
        </is>
      </c>
      <c r="C43" s="7" t="inlineStr">
        <is>
          <t>Period</t>
        </is>
      </c>
      <c r="D43" s="7" t="inlineStr">
        <is>
          <t>Per Capita Finished Steel Consumption</t>
        </is>
      </c>
      <c r="E43" s="7" t="inlineStr">
        <is>
          <t>Period Type</t>
        </is>
      </c>
      <c r="F43" s="7" t="inlineStr">
        <is>
          <t>Source ID</t>
        </is>
      </c>
      <c r="G43" s="7" t="inlineStr">
        <is>
          <t>Confidence</t>
        </is>
      </c>
      <c r="H43" s="7" t="inlineStr">
        <is>
          <t>Notes</t>
        </is>
      </c>
    </row>
    <row r="44">
      <c r="A44" s="11" t="inlineStr">
        <is>
          <t>India</t>
        </is>
      </c>
      <c r="B44" s="11" t="inlineStr">
        <is>
          <t>kg</t>
        </is>
      </c>
      <c r="C44" s="11" t="inlineStr">
        <is>
          <t>FY2026</t>
        </is>
      </c>
      <c r="D44" s="14" t="n">
        <v>115.7</v>
      </c>
      <c r="E44" s="11" t="inlineStr">
        <is>
          <t>Annual (FY)</t>
        </is>
      </c>
      <c r="F44" s="11" t="inlineStr">
        <is>
          <t>S03</t>
        </is>
      </c>
      <c r="G44" s="11" t="inlineStr">
        <is>
          <t>High</t>
        </is>
      </c>
      <c r="H44" s="12" t="inlineStr">
        <is>
          <t>JPC. The Mar-2026 Ministry vintage stated 115 kg - see Conflict C05. India remains at roughly half the world average, which is the quantitative core of the long-run India steel demand thesis.</t>
        </is>
      </c>
    </row>
    <row r="45">
      <c r="A45" s="11" t="inlineStr">
        <is>
          <t>World</t>
        </is>
      </c>
      <c r="B45" s="11" t="inlineStr">
        <is>
          <t>kg</t>
        </is>
      </c>
      <c r="C45" s="11" t="inlineStr">
        <is>
          <t>CY2024</t>
        </is>
      </c>
      <c r="D45" s="14" t="n">
        <v>215</v>
      </c>
      <c r="E45" s="11" t="inlineStr">
        <is>
          <t>Calendar Year</t>
        </is>
      </c>
      <c r="F45" s="11" t="inlineStr">
        <is>
          <t>S03</t>
        </is>
      </c>
      <c r="G45" s="11" t="inlineStr">
        <is>
          <t>High</t>
        </is>
      </c>
      <c r="H45" s="12" t="inlineStr">
        <is>
          <t>World Steel Association, Steel Statistical Yearbook 2025. CALENDAR YEAR - not directly comparable to India's fiscal-year figure, though the gap is far too large to be explained by the period difference.</t>
        </is>
      </c>
    </row>
    <row r="46">
      <c r="A46" s="11" t="inlineStr">
        <is>
          <t>China</t>
        </is>
      </c>
      <c r="B46" s="11" t="inlineStr">
        <is>
          <t>kg</t>
        </is>
      </c>
      <c r="C46" s="11" t="inlineStr">
        <is>
          <t>CY2024</t>
        </is>
      </c>
      <c r="D46" s="14" t="n">
        <v>604</v>
      </c>
      <c r="E46" s="11" t="inlineStr">
        <is>
          <t>Calendar Year</t>
        </is>
      </c>
      <c r="F46" s="11" t="inlineStr">
        <is>
          <t>S03</t>
        </is>
      </c>
      <c r="G46" s="11" t="inlineStr">
        <is>
          <t>High</t>
        </is>
      </c>
      <c r="H46" s="12" t="inlineStr">
        <is>
          <t>World Steel Association, SSY-2025. China consumes ~5.2x India per capita. Convergence to even half the Chinese level would imply roughly a tripling of Indian demand.</t>
        </is>
      </c>
    </row>
    <row r="48">
      <c r="A48" s="2" t="inlineStr">
        <is>
          <t>SECTION D - LATEST QUARTER</t>
        </is>
      </c>
    </row>
    <row r="49" ht="30" customHeight="1">
      <c r="A49" s="8" t="inlineStr">
        <is>
          <t>Period</t>
        </is>
      </c>
      <c r="B49" s="7" t="inlineStr">
        <is>
          <t>Finished Steel Consumption (Mt)</t>
        </is>
      </c>
      <c r="C49" s="7" t="inlineStr">
        <is>
          <t>Growth YoY (%)</t>
        </is>
      </c>
      <c r="D49" s="7" t="inlineStr">
        <is>
          <t>Finished Steel Production (Mt)</t>
        </is>
      </c>
      <c r="E49" s="7" t="inlineStr">
        <is>
          <t>Production Growth YoY (%)</t>
        </is>
      </c>
      <c r="F49" s="7" t="inlineStr">
        <is>
          <t>Period Type</t>
        </is>
      </c>
      <c r="G49" s="7" t="inlineStr">
        <is>
          <t>Source ID</t>
        </is>
      </c>
      <c r="H49" s="7" t="inlineStr">
        <is>
          <t>Confidence</t>
        </is>
      </c>
      <c r="I49" s="7" t="inlineStr">
        <is>
          <t>Notes</t>
        </is>
      </c>
    </row>
    <row r="50">
      <c r="A50" s="11" t="inlineStr">
        <is>
          <t>Q1 FY2027 (Apr-Jun 2026)</t>
        </is>
      </c>
      <c r="B50" s="18" t="n">
        <v>41.57</v>
      </c>
      <c r="C50" s="17" t="n">
        <v>0.083</v>
      </c>
      <c r="D50" s="18" t="n">
        <v>41</v>
      </c>
      <c r="E50" s="17" t="n">
        <v>0.059</v>
      </c>
      <c r="F50" s="11" t="inlineStr">
        <is>
          <t>Quarter</t>
        </is>
      </c>
      <c r="G50" s="11" t="inlineStr">
        <is>
          <t>S05</t>
        </is>
      </c>
      <c r="H50" s="11" t="inlineStr">
        <is>
          <t>High</t>
        </is>
      </c>
      <c r="I50" s="12" t="inlineStr">
        <is>
          <t>Consumption growth of 8.3% OUTPACED production growth of 5.9%, indicating continued domestic demand strength and implying either further destocking or higher net imports in Q1FY2027. This is the most recent industry datapoint available at the data cutoff.</t>
        </is>
      </c>
    </row>
    <row r="52">
      <c r="A52" s="13" t="inlineStr">
        <is>
          <t>Sections A and B are on DIFFERENT JPC vintages and will not tie for FY2026: the June 2026 vintage in Section A shows consumption of 164.19 Mt while the internally consistent April 2026 balance in Section B shows 163.74 Mt. This is deliberate and is documented as Conflict C03. Note also that the stock line was negative in both FY2025 and FY2026, so destocking flattered reported consumption growth.</t>
        </is>
      </c>
    </row>
  </sheetData>
  <printOptions horizontalCentered="1"/>
  <pageMargins left="0.75" right="0.75" top="1" bottom="1" header="0.5" footer="0.5"/>
  <pageSetup orientation="landscape" fitToHeight="0" fitToWidth="1"/>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3.xml><?xml version="1.0" encoding="utf-8"?>
<worksheet xmlns="http://schemas.openxmlformats.org/spreadsheetml/2006/main">
  <sheetPr>
    <tabColor rgb="001F3864"/>
    <outlinePr summaryBelow="1" summaryRight="1"/>
    <pageSetUpPr fitToPage="1"/>
  </sheetPr>
  <dimension ref="A1:M74"/>
  <sheetViews>
    <sheetView showGridLines="0" workbookViewId="0">
      <pane xSplit="1" ySplit="67" topLeftCell="B68" activePane="bottomRight" state="frozen"/>
      <selection pane="topRight"/>
      <selection pane="bottomLeft"/>
      <selection pane="bottomRight"/>
      <selection pane="bottomLeft"/>
      <selection pane="bottomRight"/>
      <selection pane="bottomLeft"/>
      <selection pane="bottomRight"/>
      <selection pane="bottomLeft"/>
      <selection pane="bottomRight" activeCell="A1" sqref="A1"/>
    </sheetView>
  </sheetViews>
  <sheetFormatPr baseColWidth="8" defaultRowHeight="15"/>
  <cols>
    <col width="16" customWidth="1" min="1" max="1"/>
    <col width="30" customWidth="1" min="2" max="2"/>
    <col width="10" customWidth="1" min="3" max="3"/>
    <col width="16" customWidth="1" min="4" max="4"/>
    <col width="18" customWidth="1" min="5" max="5"/>
    <col width="16" customWidth="1" min="6" max="6"/>
    <col width="20" customWidth="1" min="7" max="7"/>
    <col width="20" customWidth="1" min="8" max="8"/>
    <col width="24" customWidth="1" min="9" max="9"/>
    <col width="18" customWidth="1" min="10" max="10"/>
    <col width="12" customWidth="1" min="11" max="11"/>
    <col width="11" customWidth="1" min="12" max="12"/>
    <col width="90" customWidth="1" min="13" max="13"/>
  </cols>
  <sheetData>
    <row r="1" ht="19" customHeight="1">
      <c r="A1" s="1" t="inlineStr">
        <is>
          <t>11. Imports &amp; Exports</t>
        </is>
      </c>
    </row>
    <row r="2">
      <c r="A2" s="4" t="inlineStr">
        <is>
          <t>Master Industry Database  |  Indian Steel Industry  |  Data cutoff: 03-Aug-2026</t>
        </is>
      </c>
    </row>
    <row r="3">
      <c r="A3" s="3" t="inlineStr"/>
    </row>
    <row r="4">
      <c r="A4" s="4" t="inlineStr">
        <is>
          <t>OBJECTIVE</t>
        </is>
      </c>
    </row>
    <row r="5">
      <c r="A5" s="3" t="inlineStr">
        <is>
          <t>India's finished steel trade over twelve fiscal years by volume and value, product mix for FY2025 and FY2026, source and destination country shares, and the monthly net-trade turning points around the safeguard duty.</t>
        </is>
      </c>
    </row>
    <row r="6">
      <c r="A6" s="4" t="inlineStr">
        <is>
          <t>UNITS AND CURRENCY</t>
        </is>
      </c>
    </row>
    <row r="7">
      <c r="A7" s="3" t="inlineStr">
        <is>
          <t>Mt (million tonnes) for finished steel; '000 tonnes for semis and pig iron; Rs crore for values. Shares in per cent.</t>
        </is>
      </c>
    </row>
    <row r="8">
      <c r="A8" s="4" t="inlineStr">
        <is>
          <t>COVERAGE AND HISTORICAL DEPTH</t>
        </is>
      </c>
    </row>
    <row r="9">
      <c r="A9" s="3" t="inlineStr">
        <is>
          <t>FY2015 to FY2026 for the annual series. Product and country detail for FY2025 and FY2026. Monthly turning points for March 2025 to March 2026.</t>
        </is>
      </c>
    </row>
    <row r="10">
      <c r="A10" s="4" t="inlineStr">
        <is>
          <t>DATA FREQUENCY</t>
        </is>
      </c>
    </row>
    <row r="11">
      <c r="A11" s="3" t="inlineStr">
        <is>
          <t>Annual, with monthly detail published by the Joint Plant Committee.</t>
        </is>
      </c>
    </row>
    <row r="12">
      <c r="A12" s="4" t="inlineStr">
        <is>
          <t>SOURCE HIERARCHY APPLIED</t>
        </is>
      </c>
    </row>
    <row r="13">
      <c r="A13" s="3" t="inlineStr">
        <is>
          <t>Tier 1 only: Ministry of Steel and Joint Plant Committee publications, Parliamentary answers, and the World Steel Association as reproduced by the Ministry. No secondary source is relied upon for any figure on this sheet.</t>
        </is>
      </c>
    </row>
    <row r="14">
      <c r="A14" s="4" t="inlineStr">
        <is>
          <t>COLUMN RATIONALE</t>
        </is>
      </c>
    </row>
    <row r="15">
      <c r="A15" s="3" t="inlineStr">
        <is>
          <t>Net Trade is a live formula, not a hard-coded value, and matters because it determines whether domestic prices set at import parity or export parity - which drives the entire domestic price deck. Product-level detail is carried because the safeguard duty covers flat products only, so the trade response is concentrated in specific HS categories rather than spread evenly. Country shares are carried because Korea and Japan supply under free trade agreements, which is central to the policy debate, and because EU destinations quantify India's CBAM exposure.</t>
        </is>
      </c>
    </row>
    <row r="16">
      <c r="A16" s="3" t="inlineStr"/>
    </row>
    <row r="17">
      <c r="A17" s="2" t="inlineStr">
        <is>
          <t>SECTION A - ANNUAL TRADE, FY2015 TO FY2026</t>
        </is>
      </c>
    </row>
    <row r="18" ht="30" customHeight="1">
      <c r="A18" s="8" t="inlineStr">
        <is>
          <t>Fiscal Year</t>
        </is>
      </c>
      <c r="B18" s="7" t="inlineStr">
        <is>
          <t>Finished Steel Imports (Mt)</t>
        </is>
      </c>
      <c r="C18" s="7" t="inlineStr">
        <is>
          <t>Finished Steel Exports (Mt)</t>
        </is>
      </c>
      <c r="D18" s="7" t="inlineStr">
        <is>
          <t>Net Trade (Mt)</t>
        </is>
      </c>
      <c r="E18" s="7" t="inlineStr">
        <is>
          <t>Semis Exports ('000 t)</t>
        </is>
      </c>
      <c r="F18" s="7" t="inlineStr">
        <is>
          <t>Pig Iron Imports ('000 t)</t>
        </is>
      </c>
      <c r="G18" s="7" t="inlineStr">
        <is>
          <t>Pig Iron Exports ('000 t)</t>
        </is>
      </c>
      <c r="H18" s="7" t="inlineStr">
        <is>
          <t>Import Value (Rs crore)</t>
        </is>
      </c>
      <c r="I18" s="7" t="inlineStr">
        <is>
          <t>Total Steel Export Value (Rs crore)</t>
        </is>
      </c>
      <c r="J18" s="7" t="inlineStr">
        <is>
          <t>Period Type</t>
        </is>
      </c>
      <c r="K18" s="7" t="inlineStr">
        <is>
          <t>Source ID</t>
        </is>
      </c>
      <c r="L18" s="7" t="inlineStr">
        <is>
          <t>Confidence</t>
        </is>
      </c>
      <c r="M18" s="7" t="inlineStr">
        <is>
          <t>Notes</t>
        </is>
      </c>
    </row>
    <row r="19">
      <c r="A19" s="11" t="inlineStr">
        <is>
          <t>FY2015</t>
        </is>
      </c>
      <c r="B19" s="16" t="n">
        <v>9.32</v>
      </c>
      <c r="C19" s="16" t="n">
        <v>5.595</v>
      </c>
      <c r="D19" s="16">
        <f>IFERROR(IF(AND(ISNUMBER(B19),ISNUMBER(C19)),C19-B19,""),"")</f>
        <v/>
      </c>
      <c r="E19" s="10" t="n">
        <v>640</v>
      </c>
      <c r="F19" s="10" t="n">
        <v>23</v>
      </c>
      <c r="G19" s="10" t="n">
        <v>540</v>
      </c>
      <c r="H19" s="10" t="n">
        <v>44893</v>
      </c>
      <c r="I19" s="10" t="n">
        <v>31283</v>
      </c>
      <c r="J19" s="11" t="inlineStr">
        <is>
          <t>Annual (FY)</t>
        </is>
      </c>
      <c r="K19" s="11" t="inlineStr">
        <is>
          <t>S02</t>
        </is>
      </c>
      <c r="L19" s="11" t="inlineStr">
        <is>
          <t>High</t>
        </is>
      </c>
      <c r="M19" s="12" t="inlineStr"/>
    </row>
    <row r="20">
      <c r="A20" s="11" t="inlineStr">
        <is>
          <t>FY2016</t>
        </is>
      </c>
      <c r="B20" s="16" t="n">
        <v>11.711</v>
      </c>
      <c r="C20" s="16" t="n">
        <v>4.079</v>
      </c>
      <c r="D20" s="16">
        <f>IFERROR(IF(AND(ISNUMBER(B20),ISNUMBER(C20)),C20-B20,""),"")</f>
        <v/>
      </c>
      <c r="E20" s="10" t="n">
        <v>639</v>
      </c>
      <c r="F20" s="10" t="n">
        <v>22</v>
      </c>
      <c r="G20" s="10" t="n">
        <v>297</v>
      </c>
      <c r="H20" s="10" t="n">
        <v>45044</v>
      </c>
      <c r="I20" s="10" t="n">
        <v>24083</v>
      </c>
      <c r="J20" s="11" t="inlineStr">
        <is>
          <t>Annual (FY)</t>
        </is>
      </c>
      <c r="K20" s="11" t="inlineStr">
        <is>
          <t>S02</t>
        </is>
      </c>
      <c r="L20" s="11" t="inlineStr">
        <is>
          <t>High</t>
        </is>
      </c>
      <c r="M20" s="12" t="inlineStr">
        <is>
          <t>Peak import year of the last decade; triggered the 2015-16 safeguard duty and minimum import price measures.</t>
        </is>
      </c>
    </row>
    <row r="21">
      <c r="A21" s="11" t="inlineStr">
        <is>
          <t>FY2017</t>
        </is>
      </c>
      <c r="B21" s="16" t="n">
        <v>7.224</v>
      </c>
      <c r="C21" s="16" t="n">
        <v>8.242000000000001</v>
      </c>
      <c r="D21" s="16">
        <f>IFERROR(IF(AND(ISNUMBER(B21),ISNUMBER(C21)),C21-B21,""),"")</f>
        <v/>
      </c>
      <c r="E21" s="10" t="n">
        <v>1192</v>
      </c>
      <c r="F21" s="10" t="n">
        <v>34</v>
      </c>
      <c r="G21" s="10" t="n">
        <v>387</v>
      </c>
      <c r="H21" s="10" t="n">
        <v>34104</v>
      </c>
      <c r="I21" s="10" t="n">
        <v>38182</v>
      </c>
      <c r="J21" s="11" t="inlineStr">
        <is>
          <t>Annual (FY)</t>
        </is>
      </c>
      <c r="K21" s="11" t="inlineStr">
        <is>
          <t>S02</t>
        </is>
      </c>
      <c r="L21" s="11" t="inlineStr">
        <is>
          <t>High</t>
        </is>
      </c>
      <c r="M21" s="12" t="inlineStr"/>
    </row>
    <row r="22">
      <c r="A22" s="11" t="inlineStr">
        <is>
          <t>FY2018</t>
        </is>
      </c>
      <c r="B22" s="16" t="n">
        <v>7.483</v>
      </c>
      <c r="C22" s="16" t="n">
        <v>9.619999999999999</v>
      </c>
      <c r="D22" s="16">
        <f>IFERROR(IF(AND(ISNUMBER(B22),ISNUMBER(C22)),C22-B22,""),"")</f>
        <v/>
      </c>
      <c r="E22" s="10" t="n">
        <v>1994</v>
      </c>
      <c r="F22" s="10" t="n">
        <v>16</v>
      </c>
      <c r="G22" s="10" t="n">
        <v>518</v>
      </c>
      <c r="H22" s="10" t="n">
        <v>39484</v>
      </c>
      <c r="I22" s="10" t="n">
        <v>52812</v>
      </c>
      <c r="J22" s="11" t="inlineStr">
        <is>
          <t>Annual (FY)</t>
        </is>
      </c>
      <c r="K22" s="11" t="inlineStr">
        <is>
          <t>S02</t>
        </is>
      </c>
      <c r="L22" s="11" t="inlineStr">
        <is>
          <t>High</t>
        </is>
      </c>
      <c r="M22" s="12" t="inlineStr"/>
    </row>
    <row r="23">
      <c r="A23" s="11" t="inlineStr">
        <is>
          <t>FY2019</t>
        </is>
      </c>
      <c r="B23" s="16" t="n">
        <v>7.835</v>
      </c>
      <c r="C23" s="16" t="n">
        <v>6.361</v>
      </c>
      <c r="D23" s="16">
        <f>IFERROR(IF(AND(ISNUMBER(B23),ISNUMBER(C23)),C23-B23,""),"")</f>
        <v/>
      </c>
      <c r="E23" s="10" t="n">
        <v>2183</v>
      </c>
      <c r="F23" s="10" t="n">
        <v>67</v>
      </c>
      <c r="G23" s="10" t="n">
        <v>319</v>
      </c>
      <c r="H23" s="10" t="n">
        <v>49317</v>
      </c>
      <c r="I23" s="10" t="n">
        <v>40900</v>
      </c>
      <c r="J23" s="11" t="inlineStr">
        <is>
          <t>Annual (FY)</t>
        </is>
      </c>
      <c r="K23" s="11" t="inlineStr">
        <is>
          <t>S02</t>
        </is>
      </c>
      <c r="L23" s="11" t="inlineStr">
        <is>
          <t>High</t>
        </is>
      </c>
      <c r="M23" s="12" t="inlineStr"/>
    </row>
    <row r="24">
      <c r="A24" s="11" t="inlineStr">
        <is>
          <t>FY2020</t>
        </is>
      </c>
      <c r="B24" s="16" t="n">
        <v>6.768</v>
      </c>
      <c r="C24" s="16" t="n">
        <v>8.355</v>
      </c>
      <c r="D24" s="16">
        <f>IFERROR(IF(AND(ISNUMBER(B24),ISNUMBER(C24)),C24-B24,""),"")</f>
        <v/>
      </c>
      <c r="E24" s="10" t="n">
        <v>2819</v>
      </c>
      <c r="F24" s="10" t="n">
        <v>11</v>
      </c>
      <c r="G24" s="10" t="n">
        <v>422</v>
      </c>
      <c r="H24" s="10" t="n">
        <v>44683</v>
      </c>
      <c r="I24" s="10" t="n">
        <v>45102</v>
      </c>
      <c r="J24" s="11" t="inlineStr">
        <is>
          <t>Annual (FY)</t>
        </is>
      </c>
      <c r="K24" s="11" t="inlineStr">
        <is>
          <t>S02</t>
        </is>
      </c>
      <c r="L24" s="11" t="inlineStr">
        <is>
          <t>High</t>
        </is>
      </c>
      <c r="M24" s="12" t="inlineStr"/>
    </row>
    <row r="25">
      <c r="A25" s="11" t="inlineStr">
        <is>
          <t>FY2021</t>
        </is>
      </c>
      <c r="B25" s="16" t="n">
        <v>4.752</v>
      </c>
      <c r="C25" s="16" t="n">
        <v>10.784</v>
      </c>
      <c r="D25" s="16">
        <f>IFERROR(IF(AND(ISNUMBER(B25),ISNUMBER(C25)),C25-B25,""),"")</f>
        <v/>
      </c>
      <c r="E25" s="10" t="n">
        <v>6553</v>
      </c>
      <c r="F25" s="10" t="n">
        <v>9</v>
      </c>
      <c r="G25" s="10" t="n">
        <v>1099</v>
      </c>
      <c r="H25" s="10" t="n">
        <v>32154</v>
      </c>
      <c r="I25" s="10" t="n">
        <v>67132</v>
      </c>
      <c r="J25" s="11" t="inlineStr">
        <is>
          <t>Annual (FY)</t>
        </is>
      </c>
      <c r="K25" s="11" t="inlineStr">
        <is>
          <t>S02</t>
        </is>
      </c>
      <c r="L25" s="11" t="inlineStr">
        <is>
          <t>High</t>
        </is>
      </c>
      <c r="M25" s="12" t="inlineStr">
        <is>
          <t>Record export year as India supplied a world short of Chinese material during COVID-19 disruption.</t>
        </is>
      </c>
    </row>
    <row r="26">
      <c r="A26" s="11" t="inlineStr">
        <is>
          <t>FY2022</t>
        </is>
      </c>
      <c r="B26" s="16" t="n">
        <v>4.669</v>
      </c>
      <c r="C26" s="16" t="n">
        <v>13.494</v>
      </c>
      <c r="D26" s="16">
        <f>IFERROR(IF(AND(ISNUMBER(B26),ISNUMBER(C26)),C26-B26,""),"")</f>
        <v/>
      </c>
      <c r="E26" s="10" t="n">
        <v>4878</v>
      </c>
      <c r="F26" s="10" t="n">
        <v>26</v>
      </c>
      <c r="G26" s="10" t="n">
        <v>1213</v>
      </c>
      <c r="H26" s="10" t="n">
        <v>46298</v>
      </c>
      <c r="I26" s="10" t="n">
        <v>122222</v>
      </c>
      <c r="J26" s="11" t="inlineStr">
        <is>
          <t>Annual (FY)</t>
        </is>
      </c>
      <c r="K26" s="11" t="inlineStr">
        <is>
          <t>S02</t>
        </is>
      </c>
      <c r="L26" s="11" t="inlineStr">
        <is>
          <t>High</t>
        </is>
      </c>
      <c r="M26" s="12" t="inlineStr">
        <is>
          <t>All-time high finished steel exports of 13.49 Mt and export value of Rs 1,22,222 cr.</t>
        </is>
      </c>
    </row>
    <row r="27">
      <c r="A27" s="11" t="inlineStr">
        <is>
          <t>FY2023</t>
        </is>
      </c>
      <c r="B27" s="16" t="n">
        <v>6.022</v>
      </c>
      <c r="C27" s="16" t="n">
        <v>6.716</v>
      </c>
      <c r="D27" s="16">
        <f>IFERROR(IF(AND(ISNUMBER(B27),ISNUMBER(C27)),C27-B27,""),"")</f>
        <v/>
      </c>
      <c r="E27" s="10" t="n">
        <v>1621</v>
      </c>
      <c r="F27" s="10" t="n">
        <v>118</v>
      </c>
      <c r="G27" s="10" t="n">
        <v>629</v>
      </c>
      <c r="H27" s="10" t="n">
        <v>64454</v>
      </c>
      <c r="I27" s="10" t="n">
        <v>65117</v>
      </c>
      <c r="J27" s="11" t="inlineStr">
        <is>
          <t>Annual (FY)</t>
        </is>
      </c>
      <c r="K27" s="11" t="inlineStr">
        <is>
          <t>S02</t>
        </is>
      </c>
      <c r="L27" s="11" t="inlineStr">
        <is>
          <t>High</t>
        </is>
      </c>
      <c r="M27" s="12" t="inlineStr">
        <is>
          <t>Exports halved after the 15% export duty was imposed in May-2022; the duty was withdrawn on 19-Nov-2022.</t>
        </is>
      </c>
    </row>
    <row r="28">
      <c r="A28" s="11" t="inlineStr">
        <is>
          <t>FY2024</t>
        </is>
      </c>
      <c r="B28" s="16" t="n">
        <v>8.32</v>
      </c>
      <c r="C28" s="16" t="n">
        <v>7.487</v>
      </c>
      <c r="D28" s="16">
        <f>IFERROR(IF(AND(ISNUMBER(B28),ISNUMBER(C28)),C28-B28,""),"")</f>
        <v/>
      </c>
      <c r="E28" s="10" t="n">
        <v>1055</v>
      </c>
      <c r="F28" s="10" t="n">
        <v>366</v>
      </c>
      <c r="G28" s="10" t="n">
        <v>385</v>
      </c>
      <c r="H28" s="10" t="n">
        <v>68193</v>
      </c>
      <c r="I28" s="10" t="n">
        <v>64634</v>
      </c>
      <c r="J28" s="11" t="inlineStr">
        <is>
          <t>Annual (FY)</t>
        </is>
      </c>
      <c r="K28" s="11" t="inlineStr">
        <is>
          <t>S02</t>
        </is>
      </c>
      <c r="L28" s="11" t="inlineStr">
        <is>
          <t>High</t>
        </is>
      </c>
      <c r="M28" s="12" t="inlineStr"/>
    </row>
    <row r="29">
      <c r="A29" s="11" t="inlineStr">
        <is>
          <t>FY2025</t>
        </is>
      </c>
      <c r="B29" s="16" t="n">
        <v>9.551</v>
      </c>
      <c r="C29" s="16" t="n">
        <v>4.858</v>
      </c>
      <c r="D29" s="16">
        <f>IFERROR(IF(AND(ISNUMBER(B29),ISNUMBER(C29)),C29-B29,""),"")</f>
        <v/>
      </c>
      <c r="E29" s="10" t="n">
        <v>1403</v>
      </c>
      <c r="F29" s="10" t="n">
        <v>326</v>
      </c>
      <c r="G29" s="10" t="n">
        <v>287</v>
      </c>
      <c r="H29" s="10" t="n">
        <v>80737</v>
      </c>
      <c r="I29" s="10" t="n">
        <v>46870</v>
      </c>
      <c r="J29" s="11" t="inlineStr">
        <is>
          <t>Annual (FY)</t>
        </is>
      </c>
      <c r="K29" s="11" t="inlineStr">
        <is>
          <t>S02</t>
        </is>
      </c>
      <c r="L29" s="11" t="inlineStr">
        <is>
          <t>High</t>
        </is>
      </c>
      <c r="M29" s="12" t="inlineStr">
        <is>
          <t>India was a NET IMPORTER of total finished steel. Imports at a decade high in value terms (Rs 80,737 cr) with exports at a decade low in volume. This is the evidential basis for the DGTR safeguard investigation.</t>
        </is>
      </c>
    </row>
    <row r="30">
      <c r="A30" s="11" t="inlineStr">
        <is>
          <t>FY2026</t>
        </is>
      </c>
      <c r="B30" s="16" t="n">
        <v>6.524</v>
      </c>
      <c r="C30" s="16" t="n">
        <v>6.602</v>
      </c>
      <c r="D30" s="16">
        <f>IFERROR(IF(AND(ISNUMBER(B30),ISNUMBER(C30)),C30-B30,""),"")</f>
        <v/>
      </c>
      <c r="E30" s="10" t="n">
        <v>1721</v>
      </c>
      <c r="F30" s="10" t="n">
        <v>182</v>
      </c>
      <c r="G30" s="10" t="n">
        <v>613</v>
      </c>
      <c r="H30" s="10" t="n">
        <v>61407</v>
      </c>
      <c r="I30" s="10" t="n">
        <v>56762</v>
      </c>
      <c r="J30" s="11" t="inlineStr">
        <is>
          <t>Annual (FY)</t>
        </is>
      </c>
      <c r="K30" s="11" t="inlineStr">
        <is>
          <t>S02</t>
        </is>
      </c>
      <c r="L30" s="11" t="inlineStr">
        <is>
          <t>High</t>
        </is>
      </c>
      <c r="M30" s="12" t="inlineStr">
        <is>
          <t>Provisional. India returned to NET EXPORTER status by a narrow 0.08 Mt. Imports fell 31.7% and exports rose 35.9% - the clearest measurable effect of the safeguard duty.</t>
        </is>
      </c>
    </row>
    <row r="32">
      <c r="A32" s="2" t="inlineStr">
        <is>
          <t>SECTION B - PRODUCT MIX</t>
        </is>
      </c>
    </row>
    <row r="33" ht="30" customHeight="1">
      <c r="A33" s="8" t="inlineStr">
        <is>
          <t>Direction</t>
        </is>
      </c>
      <c r="B33" s="8" t="inlineStr">
        <is>
          <t>Product</t>
        </is>
      </c>
      <c r="C33" s="7" t="inlineStr">
        <is>
          <t>Unit</t>
        </is>
      </c>
      <c r="D33" s="7" t="inlineStr">
        <is>
          <t>FY2025</t>
        </is>
      </c>
      <c r="E33" s="7" t="inlineStr">
        <is>
          <t>FY2026 (P)</t>
        </is>
      </c>
      <c r="F33" s="7" t="inlineStr">
        <is>
          <t>Change (%)</t>
        </is>
      </c>
      <c r="G33" s="7" t="inlineStr">
        <is>
          <t>Share Of FY2026 Total (%)</t>
        </is>
      </c>
      <c r="H33" s="7" t="inlineStr">
        <is>
          <t>Period Type</t>
        </is>
      </c>
      <c r="I33" s="7" t="inlineStr">
        <is>
          <t>Source ID</t>
        </is>
      </c>
      <c r="J33" s="7" t="inlineStr">
        <is>
          <t>Confidence</t>
        </is>
      </c>
      <c r="K33" s="7" t="inlineStr">
        <is>
          <t>Notes</t>
        </is>
      </c>
    </row>
    <row r="34">
      <c r="A34" s="11" t="inlineStr">
        <is>
          <t>Imports</t>
        </is>
      </c>
      <c r="B34" s="11" t="inlineStr">
        <is>
          <t>HR coil / strip</t>
        </is>
      </c>
      <c r="C34" s="11" t="inlineStr">
        <is>
          <t>Mt</t>
        </is>
      </c>
      <c r="D34" s="18" t="n">
        <v>3.96</v>
      </c>
      <c r="E34" s="18" t="n">
        <v>2.31</v>
      </c>
      <c r="F34" s="17" t="n">
        <v>-0.416</v>
      </c>
      <c r="G34" s="15" t="n"/>
      <c r="H34" s="11" t="inlineStr">
        <is>
          <t>Annual (FY)</t>
        </is>
      </c>
      <c r="I34" s="11" t="inlineStr">
        <is>
          <t>S01</t>
        </is>
      </c>
      <c r="J34" s="11" t="inlineStr">
        <is>
          <t>High</t>
        </is>
      </c>
      <c r="K34" s="12" t="inlineStr">
        <is>
          <t>The single largest swing factor: HR coil imports fell 1.65 Mt, accounting for 54% of the total 3.03 Mt fall in imports. HR coil is squarely within the safeguard duty's tariff headings.</t>
        </is>
      </c>
    </row>
    <row r="35">
      <c r="A35" s="11" t="inlineStr">
        <is>
          <t>Imports</t>
        </is>
      </c>
      <c r="B35" s="11" t="inlineStr">
        <is>
          <t>CR coil / sheets</t>
        </is>
      </c>
      <c r="C35" s="11" t="inlineStr">
        <is>
          <t>Mt</t>
        </is>
      </c>
      <c r="D35" s="18" t="n">
        <v>1.56</v>
      </c>
      <c r="E35" s="18" t="n">
        <v>1.17</v>
      </c>
      <c r="F35" s="17" t="n">
        <v>-0.249</v>
      </c>
      <c r="G35" s="15" t="n"/>
      <c r="H35" s="11" t="inlineStr">
        <is>
          <t>Annual (FY)</t>
        </is>
      </c>
      <c r="I35" s="11" t="inlineStr">
        <is>
          <t>S01</t>
        </is>
      </c>
      <c r="J35" s="11" t="inlineStr">
        <is>
          <t>High</t>
        </is>
      </c>
      <c r="K35" s="12" t="inlineStr"/>
    </row>
    <row r="36">
      <c r="A36" s="11" t="inlineStr">
        <is>
          <t>Imports</t>
        </is>
      </c>
      <c r="B36" s="11" t="inlineStr">
        <is>
          <t>GP / GC sheets and coil</t>
        </is>
      </c>
      <c r="C36" s="11" t="inlineStr">
        <is>
          <t>Mt</t>
        </is>
      </c>
      <c r="D36" s="18" t="n">
        <v>1.36</v>
      </c>
      <c r="E36" s="18" t="n">
        <v>1.01</v>
      </c>
      <c r="F36" s="17" t="n">
        <v>-0.255</v>
      </c>
      <c r="G36" s="15" t="n"/>
      <c r="H36" s="11" t="inlineStr">
        <is>
          <t>Annual (FY)</t>
        </is>
      </c>
      <c r="I36" s="11" t="inlineStr">
        <is>
          <t>S01</t>
        </is>
      </c>
      <c r="J36" s="11" t="inlineStr">
        <is>
          <t>High</t>
        </is>
      </c>
      <c r="K36" s="12" t="inlineStr"/>
    </row>
    <row r="37">
      <c r="A37" s="11" t="inlineStr">
        <is>
          <t>Imports</t>
        </is>
      </c>
      <c r="B37" s="11" t="inlineStr">
        <is>
          <t>Plates</t>
        </is>
      </c>
      <c r="C37" s="11" t="inlineStr">
        <is>
          <t>Mt</t>
        </is>
      </c>
      <c r="D37" s="18" t="n">
        <v>1.18</v>
      </c>
      <c r="E37" s="18" t="n">
        <v>0.67</v>
      </c>
      <c r="F37" s="17" t="n">
        <v>-0.433</v>
      </c>
      <c r="G37" s="15" t="n"/>
      <c r="H37" s="11" t="inlineStr">
        <is>
          <t>Annual (FY)</t>
        </is>
      </c>
      <c r="I37" s="11" t="inlineStr">
        <is>
          <t>S01</t>
        </is>
      </c>
      <c r="J37" s="11" t="inlineStr">
        <is>
          <t>High</t>
        </is>
      </c>
      <c r="K37" s="12" t="inlineStr">
        <is>
          <t>Largest percentage fall among the top five imported products.</t>
        </is>
      </c>
    </row>
    <row r="38">
      <c r="A38" s="11" t="inlineStr">
        <is>
          <t>Imports</t>
        </is>
      </c>
      <c r="B38" s="11" t="inlineStr">
        <is>
          <t>Electrical sheets</t>
        </is>
      </c>
      <c r="C38" s="11" t="inlineStr">
        <is>
          <t>Mt</t>
        </is>
      </c>
      <c r="D38" s="18" t="n">
        <v>0.49</v>
      </c>
      <c r="E38" s="18" t="n">
        <v>0.49</v>
      </c>
      <c r="F38" s="17" t="n">
        <v>0.003</v>
      </c>
      <c r="G38" s="15" t="n"/>
      <c r="H38" s="11" t="inlineStr">
        <is>
          <t>Annual (FY)</t>
        </is>
      </c>
      <c r="I38" s="11" t="inlineStr">
        <is>
          <t>S01</t>
        </is>
      </c>
      <c r="J38" s="11" t="inlineStr">
        <is>
          <t>High</t>
        </is>
      </c>
      <c r="K38" s="12" t="inlineStr">
        <is>
          <t>ESSENTIALLY FLAT while every other major import category fell sharply. Electrical steel - particularly CRGO - is a genuine domestic capability gap, which is why it is a PLI Specialty Steel category and why Budget 2026-27 extended customs duty exemptions on CRGO inputs to 31-Mar-2028.</t>
        </is>
      </c>
    </row>
    <row r="39">
      <c r="A39" s="11" t="inlineStr">
        <is>
          <t>Imports</t>
        </is>
      </c>
      <c r="B39" s="11" t="inlineStr">
        <is>
          <t>Others</t>
        </is>
      </c>
      <c r="C39" s="11" t="inlineStr">
        <is>
          <t>Mt</t>
        </is>
      </c>
      <c r="D39" s="18" t="n">
        <v>1</v>
      </c>
      <c r="E39" s="18" t="n">
        <v>0.86</v>
      </c>
      <c r="F39" s="17" t="n">
        <v>-0.134</v>
      </c>
      <c r="G39" s="15" t="n"/>
      <c r="H39" s="11" t="inlineStr">
        <is>
          <t>Annual (FY)</t>
        </is>
      </c>
      <c r="I39" s="11" t="inlineStr">
        <is>
          <t>S01</t>
        </is>
      </c>
      <c r="J39" s="11" t="inlineStr">
        <is>
          <t>High</t>
        </is>
      </c>
      <c r="K39" s="12" t="inlineStr"/>
    </row>
    <row r="40">
      <c r="A40" s="11" t="inlineStr">
        <is>
          <t>Imports</t>
        </is>
      </c>
      <c r="B40" s="11" t="inlineStr">
        <is>
          <t>TOTAL</t>
        </is>
      </c>
      <c r="C40" s="11" t="inlineStr">
        <is>
          <t>Mt</t>
        </is>
      </c>
      <c r="D40" s="18" t="n">
        <v>9.550000000000001</v>
      </c>
      <c r="E40" s="18" t="n">
        <v>6.52</v>
      </c>
      <c r="F40" s="17" t="n">
        <v>-0.317</v>
      </c>
      <c r="G40" s="17" t="n">
        <v>1</v>
      </c>
      <c r="H40" s="11" t="inlineStr">
        <is>
          <t>Annual (FY)</t>
        </is>
      </c>
      <c r="I40" s="11" t="inlineStr">
        <is>
          <t>S01</t>
        </is>
      </c>
      <c r="J40" s="11" t="inlineStr">
        <is>
          <t>High</t>
        </is>
      </c>
      <c r="K40" s="12" t="inlineStr"/>
    </row>
    <row r="41">
      <c r="A41" s="11" t="inlineStr">
        <is>
          <t>Exports</t>
        </is>
      </c>
      <c r="B41" s="11" t="inlineStr">
        <is>
          <t>HR coil / strip</t>
        </is>
      </c>
      <c r="C41" s="11" t="inlineStr">
        <is>
          <t>Mt</t>
        </is>
      </c>
      <c r="D41" s="18" t="n">
        <v>1.09</v>
      </c>
      <c r="E41" s="18" t="n">
        <v>2.53</v>
      </c>
      <c r="F41" s="17" t="n">
        <v>1.314</v>
      </c>
      <c r="G41" s="15" t="n"/>
      <c r="H41" s="11" t="inlineStr">
        <is>
          <t>Annual (FY)</t>
        </is>
      </c>
      <c r="I41" s="11" t="inlineStr">
        <is>
          <t>S01</t>
        </is>
      </c>
      <c r="J41" s="11" t="inlineStr">
        <is>
          <t>High</t>
        </is>
      </c>
      <c r="K41" s="12" t="inlineStr">
        <is>
          <t>MORE THAN DOUBLED. HR coil went from 1.09 Mt exported to 2.53 Mt while HR coil imports fell from 3.96 Mt to 2.31 Mt - a 3.09 Mt swing in the net trade position of a single product category in one year.</t>
        </is>
      </c>
    </row>
    <row r="42">
      <c r="A42" s="11" t="inlineStr">
        <is>
          <t>Exports</t>
        </is>
      </c>
      <c r="B42" s="11" t="inlineStr">
        <is>
          <t>Pipes</t>
        </is>
      </c>
      <c r="C42" s="11" t="inlineStr">
        <is>
          <t>Mt</t>
        </is>
      </c>
      <c r="D42" s="18" t="n">
        <v>0.71</v>
      </c>
      <c r="E42" s="18" t="n">
        <v>1.05</v>
      </c>
      <c r="F42" s="17" t="n">
        <v>0.481</v>
      </c>
      <c r="G42" s="15" t="n"/>
      <c r="H42" s="11" t="inlineStr">
        <is>
          <t>Annual (FY)</t>
        </is>
      </c>
      <c r="I42" s="11" t="inlineStr">
        <is>
          <t>S01</t>
        </is>
      </c>
      <c r="J42" s="11" t="inlineStr">
        <is>
          <t>High</t>
        </is>
      </c>
      <c r="K42" s="12" t="inlineStr">
        <is>
          <t>Value-added export growth, consistent with APL Apollo's revenue trajectory.</t>
        </is>
      </c>
    </row>
    <row r="43">
      <c r="A43" s="11" t="inlineStr">
        <is>
          <t>Exports</t>
        </is>
      </c>
      <c r="B43" s="11" t="inlineStr">
        <is>
          <t>GP / GC sheets and coil</t>
        </is>
      </c>
      <c r="C43" s="11" t="inlineStr">
        <is>
          <t>Mt</t>
        </is>
      </c>
      <c r="D43" s="18" t="n">
        <v>1.14</v>
      </c>
      <c r="E43" s="18" t="n">
        <v>0.91</v>
      </c>
      <c r="F43" s="17" t="n">
        <v>-0.201</v>
      </c>
      <c r="G43" s="15" t="n"/>
      <c r="H43" s="11" t="inlineStr">
        <is>
          <t>Annual (FY)</t>
        </is>
      </c>
      <c r="I43" s="11" t="inlineStr">
        <is>
          <t>S01</t>
        </is>
      </c>
      <c r="J43" s="11" t="inlineStr">
        <is>
          <t>High</t>
        </is>
      </c>
      <c r="K43" s="12" t="inlineStr">
        <is>
          <t>The only top-five export category to decline.</t>
        </is>
      </c>
    </row>
    <row r="44">
      <c r="A44" s="11" t="inlineStr">
        <is>
          <t>Exports</t>
        </is>
      </c>
      <c r="B44" s="11" t="inlineStr">
        <is>
          <t>Bars and rods</t>
        </is>
      </c>
      <c r="C44" s="11" t="inlineStr">
        <is>
          <t>Mt</t>
        </is>
      </c>
      <c r="D44" s="18" t="n">
        <v>0.62</v>
      </c>
      <c r="E44" s="18" t="n">
        <v>0.75</v>
      </c>
      <c r="F44" s="17" t="n">
        <v>0.202</v>
      </c>
      <c r="G44" s="15" t="n"/>
      <c r="H44" s="11" t="inlineStr">
        <is>
          <t>Annual (FY)</t>
        </is>
      </c>
      <c r="I44" s="11" t="inlineStr">
        <is>
          <t>S01</t>
        </is>
      </c>
      <c r="J44" s="11" t="inlineStr">
        <is>
          <t>High</t>
        </is>
      </c>
      <c r="K44" s="12" t="inlineStr"/>
    </row>
    <row r="45">
      <c r="A45" s="11" t="inlineStr">
        <is>
          <t>Exports</t>
        </is>
      </c>
      <c r="B45" s="11" t="inlineStr">
        <is>
          <t>CR coil / sheets</t>
        </is>
      </c>
      <c r="C45" s="11" t="inlineStr">
        <is>
          <t>Mt</t>
        </is>
      </c>
      <c r="D45" s="18" t="n">
        <v>0.59</v>
      </c>
      <c r="E45" s="18" t="n">
        <v>0.59</v>
      </c>
      <c r="F45" s="17" t="n">
        <v>-0.01</v>
      </c>
      <c r="G45" s="15" t="n"/>
      <c r="H45" s="11" t="inlineStr">
        <is>
          <t>Annual (FY)</t>
        </is>
      </c>
      <c r="I45" s="11" t="inlineStr">
        <is>
          <t>S01</t>
        </is>
      </c>
      <c r="J45" s="11" t="inlineStr">
        <is>
          <t>High</t>
        </is>
      </c>
      <c r="K45" s="12" t="inlineStr"/>
    </row>
    <row r="46">
      <c r="A46" s="11" t="inlineStr">
        <is>
          <t>Exports</t>
        </is>
      </c>
      <c r="B46" s="11" t="inlineStr">
        <is>
          <t>Others</t>
        </is>
      </c>
      <c r="C46" s="11" t="inlineStr">
        <is>
          <t>Mt</t>
        </is>
      </c>
      <c r="D46" s="18" t="n">
        <v>0.7</v>
      </c>
      <c r="E46" s="18" t="n">
        <v>0.77</v>
      </c>
      <c r="F46" s="17" t="n">
        <v>0.103</v>
      </c>
      <c r="G46" s="15" t="n"/>
      <c r="H46" s="11" t="inlineStr">
        <is>
          <t>Annual (FY)</t>
        </is>
      </c>
      <c r="I46" s="11" t="inlineStr">
        <is>
          <t>S01</t>
        </is>
      </c>
      <c r="J46" s="11" t="inlineStr">
        <is>
          <t>High</t>
        </is>
      </c>
      <c r="K46" s="12" t="inlineStr"/>
    </row>
    <row r="47">
      <c r="A47" s="11" t="inlineStr">
        <is>
          <t>Exports</t>
        </is>
      </c>
      <c r="B47" s="11" t="inlineStr">
        <is>
          <t>TOTAL</t>
        </is>
      </c>
      <c r="C47" s="11" t="inlineStr">
        <is>
          <t>Mt</t>
        </is>
      </c>
      <c r="D47" s="18" t="n">
        <v>4.86</v>
      </c>
      <c r="E47" s="18" t="n">
        <v>6.6</v>
      </c>
      <c r="F47" s="17" t="n">
        <v>0.359</v>
      </c>
      <c r="G47" s="17" t="n">
        <v>1</v>
      </c>
      <c r="H47" s="11" t="inlineStr">
        <is>
          <t>Annual (FY)</t>
        </is>
      </c>
      <c r="I47" s="11" t="inlineStr">
        <is>
          <t>S01</t>
        </is>
      </c>
      <c r="J47" s="11" t="inlineStr">
        <is>
          <t>High</t>
        </is>
      </c>
      <c r="K47" s="12" t="inlineStr"/>
    </row>
    <row r="49">
      <c r="A49" s="2" t="inlineStr">
        <is>
          <t>SECTION C - SOURCE AND DESTINATION COUNTRY SHARES</t>
        </is>
      </c>
    </row>
    <row r="50" ht="30" customHeight="1">
      <c r="A50" s="8" t="inlineStr">
        <is>
          <t>Direction</t>
        </is>
      </c>
      <c r="B50" s="8" t="inlineStr">
        <is>
          <t>Country</t>
        </is>
      </c>
      <c r="C50" s="7" t="inlineStr">
        <is>
          <t>Unit</t>
        </is>
      </c>
      <c r="D50" s="7" t="inlineStr">
        <is>
          <t>FY2025 Share</t>
        </is>
      </c>
      <c r="E50" s="7" t="inlineStr">
        <is>
          <t>FY2026 Share (P)</t>
        </is>
      </c>
      <c r="F50" s="7" t="inlineStr">
        <is>
          <t>Period Type</t>
        </is>
      </c>
      <c r="G50" s="7" t="inlineStr">
        <is>
          <t>Source ID</t>
        </is>
      </c>
      <c r="H50" s="7" t="inlineStr">
        <is>
          <t>Confidence</t>
        </is>
      </c>
      <c r="I50" s="7" t="inlineStr">
        <is>
          <t>Notes</t>
        </is>
      </c>
    </row>
    <row r="51">
      <c r="A51" s="11" t="inlineStr">
        <is>
          <t>Imports</t>
        </is>
      </c>
      <c r="B51" s="11" t="inlineStr">
        <is>
          <t>Korea</t>
        </is>
      </c>
      <c r="C51" s="11" t="inlineStr">
        <is>
          <t>%</t>
        </is>
      </c>
      <c r="D51" s="17" t="n">
        <v>0.294</v>
      </c>
      <c r="E51" s="17" t="n">
        <v>0.354</v>
      </c>
      <c r="F51" s="11" t="inlineStr">
        <is>
          <t>Annual (FY)</t>
        </is>
      </c>
      <c r="G51" s="11" t="inlineStr">
        <is>
          <t>S01</t>
        </is>
      </c>
      <c r="H51" s="12" t="inlineStr">
        <is>
          <t>High</t>
        </is>
      </c>
      <c r="I51" s="11" t="inlineStr">
        <is>
          <t>Largest source in both years and GAINED share as total imports fell, i.e. Korean material proved most resilient to the safeguard duty. Korea has a free trade agreement with India (CEPA), which is central to the ongoing policy debate.</t>
        </is>
      </c>
    </row>
    <row r="52">
      <c r="A52" s="11" t="inlineStr">
        <is>
          <t>Imports</t>
        </is>
      </c>
      <c r="B52" s="11" t="inlineStr">
        <is>
          <t>China</t>
        </is>
      </c>
      <c r="C52" s="11" t="inlineStr">
        <is>
          <t>%</t>
        </is>
      </c>
      <c r="D52" s="17" t="n">
        <v>0.265</v>
      </c>
      <c r="E52" s="17" t="n">
        <v>0.235</v>
      </c>
      <c r="F52" s="11" t="inlineStr">
        <is>
          <t>Annual (FY)</t>
        </is>
      </c>
      <c r="G52" s="11" t="inlineStr">
        <is>
          <t>S01</t>
        </is>
      </c>
      <c r="H52" s="12" t="inlineStr">
        <is>
          <t>High</t>
        </is>
      </c>
      <c r="I52" s="11" t="inlineStr">
        <is>
          <t>Lost share as the safeguard duty bit. Chinese crude steel output fell 4.4% in CY2025, also reducing exportable surplus.</t>
        </is>
      </c>
    </row>
    <row r="53">
      <c r="A53" s="11" t="inlineStr">
        <is>
          <t>Imports</t>
        </is>
      </c>
      <c r="B53" s="11" t="inlineStr">
        <is>
          <t>Japan</t>
        </is>
      </c>
      <c r="C53" s="11" t="inlineStr">
        <is>
          <t>%</t>
        </is>
      </c>
      <c r="D53" s="17" t="n">
        <v>0.211</v>
      </c>
      <c r="E53" s="17" t="n">
        <v>0.202</v>
      </c>
      <c r="F53" s="11" t="inlineStr">
        <is>
          <t>Annual (FY)</t>
        </is>
      </c>
      <c r="G53" s="11" t="inlineStr">
        <is>
          <t>S01</t>
        </is>
      </c>
      <c r="H53" s="12" t="inlineStr">
        <is>
          <t>High</t>
        </is>
      </c>
      <c r="I53" s="11" t="inlineStr">
        <is>
          <t>Broadly held share. Japan also has a CEPA with India.</t>
        </is>
      </c>
    </row>
    <row r="54">
      <c r="A54" s="11" t="inlineStr">
        <is>
          <t>Imports</t>
        </is>
      </c>
      <c r="B54" s="11" t="inlineStr">
        <is>
          <t>Vietnam</t>
        </is>
      </c>
      <c r="C54" s="11" t="inlineStr">
        <is>
          <t>%</t>
        </is>
      </c>
      <c r="D54" s="17" t="n">
        <v>0.073</v>
      </c>
      <c r="E54" s="11" t="inlineStr">
        <is>
          <t>Data Not Publicly Available</t>
        </is>
      </c>
      <c r="F54" s="11" t="inlineStr">
        <is>
          <t>Annual (FY)</t>
        </is>
      </c>
      <c r="G54" s="11" t="inlineStr">
        <is>
          <t>S01</t>
        </is>
      </c>
      <c r="H54" s="12" t="inlineStr">
        <is>
          <t>High</t>
        </is>
      </c>
      <c r="I54" s="11" t="inlineStr">
        <is>
          <t>Disclosed separately in FY2025 but folded into 'Others' in the FY2026 full-year disclosure. Vietnam was 6.3% of March-2026 monthly imports, so it remains a material source.</t>
        </is>
      </c>
    </row>
    <row r="55">
      <c r="A55" s="11" t="inlineStr">
        <is>
          <t>Imports</t>
        </is>
      </c>
      <c r="B55" s="11" t="inlineStr">
        <is>
          <t>Others</t>
        </is>
      </c>
      <c r="C55" s="11" t="inlineStr">
        <is>
          <t>%</t>
        </is>
      </c>
      <c r="D55" s="17" t="n">
        <v>0.156</v>
      </c>
      <c r="E55" s="17" t="n">
        <v>0.21</v>
      </c>
      <c r="F55" s="11" t="inlineStr">
        <is>
          <t>Annual (FY)</t>
        </is>
      </c>
      <c r="G55" s="11" t="inlineStr">
        <is>
          <t>S01</t>
        </is>
      </c>
      <c r="H55" s="12" t="inlineStr">
        <is>
          <t>High</t>
        </is>
      </c>
      <c r="I55" s="11" t="inlineStr">
        <is>
          <t>Korea, China and Japan together were 79.1% of FY2026 imports, against 77.0% in FY2025 - import sourcing CONCENTRATED rather than diversified under the safeguard duty.</t>
        </is>
      </c>
    </row>
    <row r="56">
      <c r="A56" s="11" t="inlineStr">
        <is>
          <t>Exports</t>
        </is>
      </c>
      <c r="B56" s="11" t="inlineStr">
        <is>
          <t>Italy</t>
        </is>
      </c>
      <c r="C56" s="11" t="inlineStr">
        <is>
          <t>%</t>
        </is>
      </c>
      <c r="D56" s="17" t="n">
        <v>0.146</v>
      </c>
      <c r="E56" s="17" t="n">
        <v>0.162</v>
      </c>
      <c r="F56" s="11" t="inlineStr">
        <is>
          <t>Annual (FY)</t>
        </is>
      </c>
      <c r="G56" s="11" t="inlineStr">
        <is>
          <t>S01</t>
        </is>
      </c>
      <c r="H56" s="12" t="inlineStr">
        <is>
          <t>High</t>
        </is>
      </c>
      <c r="I56" s="11" t="inlineStr">
        <is>
          <t>Largest destination in both years. EU exposure makes the EU CBAM, in its definitive regime from 01-Jan-2026, a direct commercial issue for Indian exporters.</t>
        </is>
      </c>
    </row>
    <row r="57">
      <c r="A57" s="11" t="inlineStr">
        <is>
          <t>Exports</t>
        </is>
      </c>
      <c r="B57" s="11" t="inlineStr">
        <is>
          <t>Vietnam</t>
        </is>
      </c>
      <c r="C57" s="11" t="inlineStr">
        <is>
          <t>%</t>
        </is>
      </c>
      <c r="D57" s="11" t="inlineStr">
        <is>
          <t>Data Not Publicly Available</t>
        </is>
      </c>
      <c r="E57" s="17" t="n">
        <v>0.117</v>
      </c>
      <c r="F57" s="11" t="inlineStr">
        <is>
          <t>Annual (FY)</t>
        </is>
      </c>
      <c r="G57" s="11" t="inlineStr">
        <is>
          <t>S01</t>
        </is>
      </c>
      <c r="H57" s="12" t="inlineStr">
        <is>
          <t>High</t>
        </is>
      </c>
      <c r="I57" s="11" t="inlineStr">
        <is>
          <t>New entrant to the top destinations in FY2026 and 32.3% of March-2026 monthly exports - a sharp, recent redirection of Indian material into South East Asia.</t>
        </is>
      </c>
    </row>
    <row r="58">
      <c r="A58" s="11" t="inlineStr">
        <is>
          <t>Exports</t>
        </is>
      </c>
      <c r="B58" s="11" t="inlineStr">
        <is>
          <t>Belgium</t>
        </is>
      </c>
      <c r="C58" s="11" t="inlineStr">
        <is>
          <t>%</t>
        </is>
      </c>
      <c r="D58" s="17" t="n">
        <v>0.112</v>
      </c>
      <c r="E58" s="17" t="n">
        <v>0.109</v>
      </c>
      <c r="F58" s="11" t="inlineStr">
        <is>
          <t>Annual (FY)</t>
        </is>
      </c>
      <c r="G58" s="11" t="inlineStr">
        <is>
          <t>S01</t>
        </is>
      </c>
      <c r="H58" s="12" t="inlineStr">
        <is>
          <t>High</t>
        </is>
      </c>
      <c r="I58" s="11" t="inlineStr"/>
    </row>
    <row r="59">
      <c r="A59" s="11" t="inlineStr">
        <is>
          <t>Exports</t>
        </is>
      </c>
      <c r="B59" s="11" t="inlineStr">
        <is>
          <t>UAE</t>
        </is>
      </c>
      <c r="C59" s="11" t="inlineStr">
        <is>
          <t>%</t>
        </is>
      </c>
      <c r="D59" s="17" t="n">
        <v>0.101</v>
      </c>
      <c r="E59" s="17" t="n">
        <v>0.074</v>
      </c>
      <c r="F59" s="11" t="inlineStr">
        <is>
          <t>Annual (FY)</t>
        </is>
      </c>
      <c r="G59" s="11" t="inlineStr">
        <is>
          <t>S01</t>
        </is>
      </c>
      <c r="H59" s="12" t="inlineStr">
        <is>
          <t>High</t>
        </is>
      </c>
      <c r="I59" s="11" t="inlineStr"/>
    </row>
    <row r="60">
      <c r="A60" s="11" t="inlineStr">
        <is>
          <t>Exports</t>
        </is>
      </c>
      <c r="B60" s="11" t="inlineStr">
        <is>
          <t>Spain</t>
        </is>
      </c>
      <c r="C60" s="11" t="inlineStr">
        <is>
          <t>%</t>
        </is>
      </c>
      <c r="D60" s="17" t="n">
        <v>0.08599999999999999</v>
      </c>
      <c r="E60" s="17" t="n">
        <v>0.073</v>
      </c>
      <c r="F60" s="11" t="inlineStr">
        <is>
          <t>Annual (FY)</t>
        </is>
      </c>
      <c r="G60" s="11" t="inlineStr">
        <is>
          <t>S01</t>
        </is>
      </c>
      <c r="H60" s="12" t="inlineStr">
        <is>
          <t>High</t>
        </is>
      </c>
      <c r="I60" s="11" t="inlineStr"/>
    </row>
    <row r="61">
      <c r="A61" s="11" t="inlineStr">
        <is>
          <t>Exports</t>
        </is>
      </c>
      <c r="B61" s="11" t="inlineStr">
        <is>
          <t>Nepal</t>
        </is>
      </c>
      <c r="C61" s="11" t="inlineStr">
        <is>
          <t>%</t>
        </is>
      </c>
      <c r="D61" s="17" t="n">
        <v>0.11</v>
      </c>
      <c r="E61" s="17" t="n">
        <v>0.065</v>
      </c>
      <c r="F61" s="11" t="inlineStr">
        <is>
          <t>Annual (FY)</t>
        </is>
      </c>
      <c r="G61" s="11" t="inlineStr">
        <is>
          <t>S01</t>
        </is>
      </c>
      <c r="H61" s="12" t="inlineStr">
        <is>
          <t>High</t>
        </is>
      </c>
      <c r="I61" s="11" t="inlineStr">
        <is>
          <t>Share roughly halved.</t>
        </is>
      </c>
    </row>
    <row r="62">
      <c r="A62" s="11" t="inlineStr">
        <is>
          <t>Exports</t>
        </is>
      </c>
      <c r="B62" s="11" t="inlineStr">
        <is>
          <t>Taiwan</t>
        </is>
      </c>
      <c r="C62" s="11" t="inlineStr">
        <is>
          <t>%</t>
        </is>
      </c>
      <c r="D62" s="11" t="inlineStr">
        <is>
          <t>Data Not Publicly Available</t>
        </is>
      </c>
      <c r="E62" s="17" t="n">
        <v>0.057</v>
      </c>
      <c r="F62" s="11" t="inlineStr">
        <is>
          <t>Annual (FY)</t>
        </is>
      </c>
      <c r="G62" s="11" t="inlineStr">
        <is>
          <t>S01</t>
        </is>
      </c>
      <c r="H62" s="12" t="inlineStr">
        <is>
          <t>High</t>
        </is>
      </c>
      <c r="I62" s="11" t="inlineStr">
        <is>
          <t>New entrant to the top destinations in FY2026.</t>
        </is>
      </c>
    </row>
    <row r="63">
      <c r="A63" s="11" t="inlineStr">
        <is>
          <t>Exports</t>
        </is>
      </c>
      <c r="B63" s="11" t="inlineStr">
        <is>
          <t>United Kingdom</t>
        </is>
      </c>
      <c r="C63" s="11" t="inlineStr">
        <is>
          <t>%</t>
        </is>
      </c>
      <c r="D63" s="17" t="n">
        <v>0.068</v>
      </c>
      <c r="E63" s="11" t="inlineStr">
        <is>
          <t>Data Not Publicly Available</t>
        </is>
      </c>
      <c r="F63" s="11" t="inlineStr">
        <is>
          <t>Annual (FY)</t>
        </is>
      </c>
      <c r="G63" s="11" t="inlineStr">
        <is>
          <t>S01</t>
        </is>
      </c>
      <c r="H63" s="12" t="inlineStr">
        <is>
          <t>High</t>
        </is>
      </c>
      <c r="I63" s="11" t="inlineStr">
        <is>
          <t>Disclosed in FY2025, folded into 'Others' in FY2026. UK import quota changes announced Mar-2026 are relevant.</t>
        </is>
      </c>
    </row>
    <row r="64">
      <c r="A64" s="11" t="inlineStr">
        <is>
          <t>Exports</t>
        </is>
      </c>
      <c r="B64" s="11" t="inlineStr">
        <is>
          <t>Others</t>
        </is>
      </c>
      <c r="C64" s="11" t="inlineStr">
        <is>
          <t>%</t>
        </is>
      </c>
      <c r="D64" s="17" t="n">
        <v>0.377</v>
      </c>
      <c r="E64" s="17" t="n">
        <v>0.343</v>
      </c>
      <c r="F64" s="11" t="inlineStr">
        <is>
          <t>Annual (FY)</t>
        </is>
      </c>
      <c r="G64" s="11" t="inlineStr">
        <is>
          <t>S01</t>
        </is>
      </c>
      <c r="H64" s="12" t="inlineStr">
        <is>
          <t>High</t>
        </is>
      </c>
      <c r="I64" s="11" t="inlineStr">
        <is>
          <t>EU destinations (Italy, Belgium, Spain) alone were 34.4% of FY2026 exports, which is the scale of India's CBAM exposure.</t>
        </is>
      </c>
    </row>
    <row r="66">
      <c r="A66" s="2" t="inlineStr">
        <is>
          <t>SECTION D - MONTHLY NET TRADE TURNING POINTS</t>
        </is>
      </c>
    </row>
    <row r="67" ht="30" customHeight="1">
      <c r="A67" s="8" t="inlineStr">
        <is>
          <t>Month</t>
        </is>
      </c>
      <c r="B67" s="7" t="inlineStr">
        <is>
          <t>Exports (Mt)</t>
        </is>
      </c>
      <c r="C67" s="7" t="inlineStr">
        <is>
          <t>Imports (Mt)</t>
        </is>
      </c>
      <c r="D67" s="7" t="inlineStr">
        <is>
          <t>Net Trade (Mt)</t>
        </is>
      </c>
      <c r="E67" s="7" t="inlineStr">
        <is>
          <t>Period Type</t>
        </is>
      </c>
      <c r="F67" s="7" t="inlineStr">
        <is>
          <t>Source ID</t>
        </is>
      </c>
      <c r="G67" s="7" t="inlineStr">
        <is>
          <t>Confidence</t>
        </is>
      </c>
      <c r="H67" s="7" t="inlineStr">
        <is>
          <t>Notes</t>
        </is>
      </c>
    </row>
    <row r="68">
      <c r="A68" s="11" t="inlineStr">
        <is>
          <t>Mar-2025</t>
        </is>
      </c>
      <c r="B68" s="18" t="n">
        <v>0.45</v>
      </c>
      <c r="C68" s="18" t="n">
        <v>0.58</v>
      </c>
      <c r="D68" s="18" t="n">
        <v>-0.13</v>
      </c>
      <c r="E68" s="11" t="inlineStr">
        <is>
          <t>Month</t>
        </is>
      </c>
      <c r="F68" s="11" t="inlineStr">
        <is>
          <t>S01</t>
        </is>
      </c>
      <c r="G68" s="11" t="inlineStr">
        <is>
          <t>High</t>
        </is>
      </c>
      <c r="H68" s="12" t="inlineStr">
        <is>
          <t>Net importer.</t>
        </is>
      </c>
    </row>
    <row r="69">
      <c r="A69" s="11" t="inlineStr">
        <is>
          <t>Feb-2026</t>
        </is>
      </c>
      <c r="B69" s="18" t="n">
        <v>0.54</v>
      </c>
      <c r="C69" s="18" t="n">
        <v>0.5600000000000001</v>
      </c>
      <c r="D69" s="18" t="n">
        <v>-0.02</v>
      </c>
      <c r="E69" s="11" t="inlineStr">
        <is>
          <t>Month</t>
        </is>
      </c>
      <c r="F69" s="11" t="inlineStr">
        <is>
          <t>S01</t>
        </is>
      </c>
      <c r="G69" s="11" t="inlineStr">
        <is>
          <t>High</t>
        </is>
      </c>
      <c r="H69" s="12" t="inlineStr">
        <is>
          <t>Marginally net importer.</t>
        </is>
      </c>
    </row>
    <row r="70">
      <c r="A70" s="11" t="inlineStr">
        <is>
          <t>Mar-2026</t>
        </is>
      </c>
      <c r="B70" s="18" t="n">
        <v>0.58</v>
      </c>
      <c r="C70" s="18" t="n">
        <v>0.52</v>
      </c>
      <c r="D70" s="18" t="n">
        <v>0.06</v>
      </c>
      <c r="E70" s="11" t="inlineStr">
        <is>
          <t>Month</t>
        </is>
      </c>
      <c r="F70" s="11" t="inlineStr">
        <is>
          <t>S01</t>
        </is>
      </c>
      <c r="G70" s="11" t="inlineStr">
        <is>
          <t>High</t>
        </is>
      </c>
      <c r="H70" s="12" t="inlineStr">
        <is>
          <t>Net exporter. Exports up 29.1% year on year; imports down 9.5%.</t>
        </is>
      </c>
    </row>
    <row r="72" ht="42" customHeight="1">
      <c r="A72" s="3" t="inlineStr">
        <is>
          <t>India had been a NET IMPORTER of steel in every month since April 2024 with only five exceptions - June 2025, October 2025, November 2025, January 2026 and March 2026. For FY2026 as a whole India was a net EXPORTER, with exports exceeding imports by 0.08 Mt. The clustering of the net-export months in the second half of FY2026, after the definitive safeguard duty notification of 30 December 2025, is the clearest month-level evidence of the policy's trade effect. Source: S01 (Joint Plant Committee, provisional).</t>
        </is>
      </c>
    </row>
    <row r="74">
      <c r="A74" s="13" t="inlineStr">
        <is>
          <t>Section A finished steel volumes are 'total finished steel' including alloy and stainless. FY2026 is provisional. Section B percentages are changes on FY2025, not shares, except the TOTAL rows.</t>
        </is>
      </c>
    </row>
  </sheetData>
  <printOptions horizontalCentered="1"/>
  <pageMargins left="0.75" right="0.75" top="1" bottom="1" header="0.5" footer="0.5"/>
  <pageSetup orientation="landscape" fitToHeight="0" fitToWidth="1"/>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4.xml><?xml version="1.0" encoding="utf-8"?>
<worksheet xmlns="http://schemas.openxmlformats.org/spreadsheetml/2006/main">
  <sheetPr>
    <tabColor rgb="001F3864"/>
    <outlinePr summaryBelow="1" summaryRight="1"/>
    <pageSetUpPr fitToPage="1"/>
  </sheetPr>
  <dimension ref="A1:O39"/>
  <sheetViews>
    <sheetView showGridLines="0" workbookViewId="0">
      <pane xSplit="12" ySplit="17" topLeftCell="M18" activePane="bottomRight" state="frozen"/>
      <selection pane="topRight"/>
      <selection pane="bottomLeft"/>
      <selection pane="bottomRight" activeCell="A1" sqref="A1"/>
    </sheetView>
  </sheetViews>
  <sheetFormatPr baseColWidth="8" defaultRowHeight="15"/>
  <cols>
    <col width="9" customWidth="1" min="1" max="1"/>
    <col width="52" customWidth="1" min="2" max="2"/>
    <col width="22" customWidth="1" min="3" max="3"/>
    <col width="40" customWidth="1" min="4" max="4"/>
    <col width="30" customWidth="1" min="5" max="5"/>
    <col width="34" customWidth="1" min="6" max="6"/>
    <col width="26" customWidth="1" min="7" max="7"/>
    <col width="34" customWidth="1" min="8" max="8"/>
    <col width="30" customWidth="1" min="9" max="9"/>
    <col width="62" customWidth="1" min="10" max="10"/>
    <col width="52" customWidth="1" min="11" max="11"/>
    <col width="78" customWidth="1" min="12" max="12"/>
    <col width="14" customWidth="1" min="13" max="13"/>
    <col width="11" customWidth="1" min="14" max="14"/>
    <col width="90" customWidth="1" min="15" max="15"/>
  </cols>
  <sheetData>
    <row r="1" ht="19" customHeight="1">
      <c r="A1" s="1" t="inlineStr">
        <is>
          <t>12. Government Policies</t>
        </is>
      </c>
    </row>
    <row r="2">
      <c r="A2" s="4" t="inlineStr">
        <is>
          <t>Master Industry Database  |  Indian Steel Industry  |  Data cutoff: 03-Aug-2026</t>
        </is>
      </c>
    </row>
    <row r="3">
      <c r="A3" s="3" t="inlineStr"/>
    </row>
    <row r="4">
      <c r="A4" s="4" t="inlineStr">
        <is>
          <t>OBJECTIVE</t>
        </is>
      </c>
    </row>
    <row r="5">
      <c r="A5" s="3" t="inlineStr">
        <is>
          <t>The policy and regulatory stack bearing on Indian steel, dated and scoped, covering trade remedies, standards and non-tariff measures, industrial policy, fiscal measures, decarbonisation, state support and the overseas regimes that affect Indian producers' export books and foreign operations.</t>
        </is>
      </c>
    </row>
    <row r="6">
      <c r="A6" s="4" t="inlineStr">
        <is>
          <t>UNITS AND CURRENCY</t>
        </is>
      </c>
    </row>
    <row r="7">
      <c r="A7" s="3" t="inlineStr">
        <is>
          <t>Rates in per cent; quanta in Rs crore, Mt or Mtpa as stated in the terms column.</t>
        </is>
      </c>
    </row>
    <row r="8">
      <c r="A8" s="4" t="inlineStr">
        <is>
          <t>COVERAGE AND HISTORICAL DEPTH</t>
        </is>
      </c>
    </row>
    <row r="9">
      <c r="A9" s="3" t="inlineStr">
        <is>
          <t>20 measures and events, from the National Steel Policy 2017 through to July 2026. Includes two overseas regimes (EU CBAM, UK quotas), one overseas enforcement action (Netherlands) and one geopolitical event, because all four are cited in issuers' own filed FY2026 disclosures.</t>
        </is>
      </c>
    </row>
    <row r="10">
      <c r="A10" s="4" t="inlineStr">
        <is>
          <t>DATA FREQUENCY</t>
        </is>
      </c>
    </row>
    <row r="11">
      <c r="A11" s="3" t="inlineStr">
        <is>
          <t>Event-driven. Reviewed each quarter and on any gazette notification.</t>
        </is>
      </c>
    </row>
    <row r="12">
      <c r="A12" s="4" t="inlineStr">
        <is>
          <t>SOURCE HIERARCHY APPLIED</t>
        </is>
      </c>
    </row>
    <row r="13">
      <c r="A13" s="3" t="inlineStr">
        <is>
          <t>Tier 1 throughout for the Indian measures: gazette notifications, DGTR determinations, Parliamentary answers and Ministry of Steel orders. Issuer results releases are used where an issuer is the primary source for an overseas measure's effect on it.</t>
        </is>
      </c>
    </row>
    <row r="14">
      <c r="A14" s="4" t="inlineStr">
        <is>
          <t>COLUMN RATIONALE</t>
        </is>
      </c>
    </row>
    <row r="15">
      <c r="A15" s="3" t="inlineStr">
        <is>
          <t>Announced date, Effective From and Effective To are separate columns because the single most consequential policy event of FY2026 - the safeguard duty - had a provisional measure that lapsed, a final recommendation, and a definitive notification whose year-one window is back-dated over the gap. Collapsing these into one date destroys the ability to explain the FY2026 price path. Status At Cutoff distinguishes measures in force from those superseded. Assessed Sector Impact states direction and magnitude rather than describing the measure again, because a database that only restates the gazette is of no use to an investment committee.</t>
        </is>
      </c>
    </row>
    <row r="16">
      <c r="A16" s="3" t="inlineStr"/>
    </row>
    <row r="17" ht="30" customHeight="1">
      <c r="A17" s="8" t="inlineStr">
        <is>
          <t>Policy ID</t>
        </is>
      </c>
      <c r="B17" s="8" t="inlineStr">
        <is>
          <t>Policy / Measure</t>
        </is>
      </c>
      <c r="C17" s="8" t="inlineStr">
        <is>
          <t>Category</t>
        </is>
      </c>
      <c r="D17" s="8" t="inlineStr">
        <is>
          <t>Issuing Authority</t>
        </is>
      </c>
      <c r="E17" s="8" t="inlineStr">
        <is>
          <t>Instrument</t>
        </is>
      </c>
      <c r="F17" s="8" t="inlineStr">
        <is>
          <t>Announced / Notified Date</t>
        </is>
      </c>
      <c r="G17" s="8" t="inlineStr">
        <is>
          <t>Effective From</t>
        </is>
      </c>
      <c r="H17" s="8" t="inlineStr">
        <is>
          <t>Effective To / Review</t>
        </is>
      </c>
      <c r="I17" s="8" t="inlineStr">
        <is>
          <t>Status At Cutoff</t>
        </is>
      </c>
      <c r="J17" s="8" t="inlineStr">
        <is>
          <t>Key Quantitative Terms</t>
        </is>
      </c>
      <c r="K17" s="8" t="inlineStr">
        <is>
          <t>Products / Scope Covered</t>
        </is>
      </c>
      <c r="L17" s="8" t="inlineStr">
        <is>
          <t>Assessed Sector Impact</t>
        </is>
      </c>
      <c r="M17" s="7" t="inlineStr">
        <is>
          <t>Source ID</t>
        </is>
      </c>
      <c r="N17" s="7" t="inlineStr">
        <is>
          <t>Confidence</t>
        </is>
      </c>
      <c r="O17" s="7" t="inlineStr">
        <is>
          <t>Notes</t>
        </is>
      </c>
    </row>
    <row r="18">
      <c r="A18" s="11" t="inlineStr">
        <is>
          <t>P01</t>
        </is>
      </c>
      <c r="B18" s="11" t="inlineStr">
        <is>
          <t>Provisional safeguard duty on steel flat products</t>
        </is>
      </c>
      <c r="C18" s="11" t="inlineStr">
        <is>
          <t>Trade remedy</t>
        </is>
      </c>
      <c r="D18" s="11" t="inlineStr">
        <is>
          <t>Ministry of Finance, Government of India</t>
        </is>
      </c>
      <c r="E18" s="11" t="inlineStr">
        <is>
          <t>Customs notification (safeguard duty)</t>
        </is>
      </c>
      <c r="F18" s="11" t="inlineStr">
        <is>
          <t>21-Apr-2025</t>
        </is>
      </c>
      <c r="G18" s="11" t="inlineStr">
        <is>
          <t>21-Apr-2025</t>
        </is>
      </c>
      <c r="H18" s="11" t="inlineStr">
        <is>
          <t>Lapsed on expiry of 200 days, ~07-Nov-2025</t>
        </is>
      </c>
      <c r="I18" s="11" t="inlineStr">
        <is>
          <t>Superseded by the definitive measure (P03)</t>
        </is>
      </c>
      <c r="J18" s="12" t="inlineStr">
        <is>
          <t>12% ad valorem for 200 days</t>
        </is>
      </c>
      <c r="K18" s="12" t="inlineStr">
        <is>
          <t>Five categories of non-alloy and alloy steel FLAT products, including hot rolled coils, sheets and plates</t>
        </is>
      </c>
      <c r="L18" s="12" t="inlineStr">
        <is>
          <t>POSITIVE for integrated flat producers; NEGATIVE for flat-steel consumers and downstream converters such as APL Apollo. Imposed amid fears of trade diversion into India following steep US duties on Chinese goods.</t>
        </is>
      </c>
      <c r="M18" s="11" t="inlineStr">
        <is>
          <t>S29</t>
        </is>
      </c>
      <c r="N18" s="11" t="inlineStr">
        <is>
          <t>High</t>
        </is>
      </c>
      <c r="O18" s="12" t="inlineStr">
        <is>
          <t>Imposed on an emergency basis. Its lapse in Nov-2025 coincides with domestic HRC falling to ~Rs 46,000/t in early Dec-2025.</t>
        </is>
      </c>
    </row>
    <row r="19">
      <c r="A19" s="11" t="inlineStr">
        <is>
          <t>P02</t>
        </is>
      </c>
      <c r="B19" s="11" t="inlineStr">
        <is>
          <t>DGTR final findings in the safeguard investigation</t>
        </is>
      </c>
      <c r="C19" s="11" t="inlineStr">
        <is>
          <t>Trade remedy</t>
        </is>
      </c>
      <c r="D19" s="11" t="inlineStr">
        <is>
          <t>Directorate General of Trade Remedies, Ministry of Commerce &amp; Industry</t>
        </is>
      </c>
      <c r="E19" s="11" t="inlineStr">
        <is>
          <t>Final findings and recommendation</t>
        </is>
      </c>
      <c r="F19" s="11" t="inlineStr">
        <is>
          <t>18-Aug-2025</t>
        </is>
      </c>
      <c r="G19" s="11" t="inlineStr">
        <is>
          <t>Recommendation only</t>
        </is>
      </c>
      <c r="H19" s="11" t="inlineStr">
        <is>
          <t>Recommendation adopted via P03</t>
        </is>
      </c>
      <c r="I19" s="11" t="inlineStr">
        <is>
          <t>Implemented</t>
        </is>
      </c>
      <c r="J19" s="12" t="inlineStr">
        <is>
          <t>Recommended a three-year duty tapering 12% / 11.5% / 11%</t>
        </is>
      </c>
      <c r="K19" s="12" t="inlineStr">
        <is>
          <t>Non-alloy and alloy steel flat products</t>
        </is>
      </c>
      <c r="L19" s="12" t="inlineStr">
        <is>
          <t>Set the template for the definitive measure. DGTR recorded 'a recent, sudden, sharp and significant increase in imports of the product under consideration'. Industry was divided, with primary producers in favour and MSME user industries opposed.</t>
        </is>
      </c>
      <c r="M19" s="11" t="inlineStr">
        <is>
          <t>S28</t>
        </is>
      </c>
      <c r="N19" s="11" t="inlineStr">
        <is>
          <t>High</t>
        </is>
      </c>
      <c r="O19" s="12" t="inlineStr">
        <is>
          <t>The taper is the mechanism by which protection is designed to withdraw as domestic capacity ramps up.</t>
        </is>
      </c>
    </row>
    <row r="20">
      <c r="A20" s="11" t="inlineStr">
        <is>
          <t>P03</t>
        </is>
      </c>
      <c r="B20" s="11" t="inlineStr">
        <is>
          <t>Definitive safeguard duty on steel flat products</t>
        </is>
      </c>
      <c r="C20" s="11" t="inlineStr">
        <is>
          <t>Trade remedy</t>
        </is>
      </c>
      <c r="D20" s="11" t="inlineStr">
        <is>
          <t>Ministry of Finance, Government of India</t>
        </is>
      </c>
      <c r="E20" s="11" t="inlineStr">
        <is>
          <t>Customs notification (safeguard duty)</t>
        </is>
      </c>
      <c r="F20" s="11" t="inlineStr">
        <is>
          <t>30-Dec-2025</t>
        </is>
      </c>
      <c r="G20" s="11" t="inlineStr">
        <is>
          <t>Year 1 dated from 21-Apr-2025</t>
        </is>
      </c>
      <c r="H20" s="11" t="inlineStr">
        <is>
          <t>20-Apr-2028, with a mid-term review provision</t>
        </is>
      </c>
      <c r="I20" s="11" t="inlineStr">
        <is>
          <t>IN FORCE - year 2 rate of 11.5% applies from 21-Apr-2026</t>
        </is>
      </c>
      <c r="J20" s="12" t="inlineStr">
        <is>
          <t>12% for 21-Apr-2025 to 20-Apr-2026; 11.5% for 21-Apr-2026 to 20-Apr-2027; 11% for 21-Apr-2027 to 20-Apr-2028</t>
        </is>
      </c>
      <c r="K20" s="12" t="inlineStr">
        <is>
          <t>Non-alloy and alloy steel flat products under tariff headings 7208, 7209, 7210, 7211, 7212, 7225 and 7226</t>
        </is>
      </c>
      <c r="L20" s="12" t="inlineStr">
        <is>
          <t>THE SINGLE MOST IMPORTANT POLICY DRIVER OF FY2026 EARNINGS. Domestic HRC rose from ~Rs 46,000/t in early Dec-2025 to Rs 57,700/t by end-Mar-2026, a ~25% move. FY2026 imports fell 31.7% and exports rose 35.9%, returning India to net exporter status. The 11.5% year-2 rate and the mid-term review are the key FY2027 monitorables.</t>
        </is>
      </c>
      <c r="M20" s="11" t="inlineStr">
        <is>
          <t>S27, S25</t>
        </is>
      </c>
      <c r="N20" s="11" t="inlineStr">
        <is>
          <t>High</t>
        </is>
      </c>
      <c r="O20" s="12" t="inlineStr">
        <is>
          <t>Scope independently confirmed by the Ministry of Steel in Rajya Sabha USQ 3350 (20-Mar-2026). Note the year-1 window back-fills the provisional period, so the levy appears continuous on the face of the notification despite an effective interruption - see Conflict C08. Covers FLAT products only, which is why longs outperformed flats on price.</t>
        </is>
      </c>
    </row>
    <row r="21">
      <c r="A21" s="11" t="inlineStr">
        <is>
          <t>P04</t>
        </is>
      </c>
      <c r="B21" s="11" t="inlineStr">
        <is>
          <t>Steel and Steel Products (Quality Control) Order, 2024</t>
        </is>
      </c>
      <c r="C21" s="11" t="inlineStr">
        <is>
          <t>Standards / non-tariff</t>
        </is>
      </c>
      <c r="D21" s="11" t="inlineStr">
        <is>
          <t>Ministry of Steel and Bureau of Indian Standards</t>
        </is>
      </c>
      <c r="E21" s="11" t="inlineStr">
        <is>
          <t>Quality Control Order</t>
        </is>
      </c>
      <c r="F21" s="11" t="inlineStr">
        <is>
          <t>2024</t>
        </is>
      </c>
      <c r="G21" s="11" t="inlineStr">
        <is>
          <t>2024</t>
        </is>
      </c>
      <c r="H21" s="11" t="inlineStr">
        <is>
          <t>Ongoing, subject to amendment</t>
        </is>
      </c>
      <c r="I21" s="11" t="inlineStr">
        <is>
          <t>In force, materially amended</t>
        </is>
      </c>
      <c r="J21" s="12" t="inlineStr">
        <is>
          <t>Mandatory BIS certification for covered steel and steel products</t>
        </is>
      </c>
      <c r="K21" s="12" t="inlineStr">
        <is>
          <t>Steel and steel products specified in the schedules to the Order</t>
        </is>
      </c>
      <c r="L21" s="12" t="inlineStr">
        <is>
          <t>A non-tariff barrier that operates alongside the safeguard duty. The Ministry of Steel describes it as 'banning sub-standard/defective steel products in domestic market as well as imports'. Its progressive dilution through FY2026 and FY2027 partially offsets the protection delivered by the safeguard duty.</t>
        </is>
      </c>
      <c r="M21" s="11" t="inlineStr">
        <is>
          <t>S25, S32</t>
        </is>
      </c>
      <c r="N21" s="11" t="inlineStr">
        <is>
          <t>High</t>
        </is>
      </c>
      <c r="O21" s="12" t="inlineStr">
        <is>
          <t>The governing instrument for the QCO regime. Subsequent measures P05 to P08 successively narrowed or deferred its application.</t>
        </is>
      </c>
    </row>
    <row r="22">
      <c r="A22" s="11" t="inlineStr">
        <is>
          <t>P05</t>
        </is>
      </c>
      <c r="B22" s="11" t="inlineStr">
        <is>
          <t>Extension of exemption from mandatory quality-norm compliance</t>
        </is>
      </c>
      <c r="C22" s="11" t="inlineStr">
        <is>
          <t>Standards / non-tariff</t>
        </is>
      </c>
      <c r="D22" s="11" t="inlineStr">
        <is>
          <t>Ministry of Steel</t>
        </is>
      </c>
      <c r="E22" s="11" t="inlineStr">
        <is>
          <t>Executive order</t>
        </is>
      </c>
      <c r="F22" s="11" t="inlineStr">
        <is>
          <t>~20-Nov-2025</t>
        </is>
      </c>
      <c r="G22" s="11" t="inlineStr">
        <is>
          <t>~20-Nov-2025</t>
        </is>
      </c>
      <c r="H22" s="11" t="inlineStr">
        <is>
          <t>Extended to March 2026</t>
        </is>
      </c>
      <c r="I22" s="11" t="inlineStr">
        <is>
          <t>Superseded by later measures</t>
        </is>
      </c>
      <c r="J22" s="12" t="inlineStr">
        <is>
          <t>Exemption extended for certain steel and stainless steel grades; separately, steel grades not covered by any QCO no longer require clarification or an NOC from the Ministry of Steel</t>
        </is>
      </c>
      <c r="K22" s="12" t="inlineStr">
        <is>
          <t>Certain specified steel and stainless steel grades</t>
        </is>
      </c>
      <c r="L22" s="12" t="inlineStr">
        <is>
          <t>MIXED. Eased input availability for downstream users and removed a significant administrative bottleneck on imports. Negative at the margin for domestic producers of the exempted grades. Motivated by preserving availability of critical steel products while domestic capacity ramps up.</t>
        </is>
      </c>
      <c r="M22" s="11" t="inlineStr">
        <is>
          <t>S32</t>
        </is>
      </c>
      <c r="N22" s="11" t="inlineStr">
        <is>
          <t>Medium</t>
        </is>
      </c>
      <c r="O22" s="12" t="inlineStr">
        <is>
          <t>For QCO-covered grades importers must still ensure the overseas manufacturer holds a BIS licence for those grades.</t>
        </is>
      </c>
    </row>
    <row r="23">
      <c r="A23" s="11" t="inlineStr">
        <is>
          <t>P06</t>
        </is>
      </c>
      <c r="B23" s="11" t="inlineStr">
        <is>
          <t>BIS amendments deferring enforcement for specified steel products</t>
        </is>
      </c>
      <c r="C23" s="11" t="inlineStr">
        <is>
          <t>Standards / non-tariff</t>
        </is>
      </c>
      <c r="D23" s="11" t="inlineStr">
        <is>
          <t>Bureau of Indian Standards / Ministry of Steel</t>
        </is>
      </c>
      <c r="E23" s="11" t="inlineStr">
        <is>
          <t>Amendment to the QCO</t>
        </is>
      </c>
      <c r="F23" s="11" t="inlineStr">
        <is>
          <t>Feb-2026</t>
        </is>
      </c>
      <c r="G23" s="11" t="inlineStr">
        <is>
          <t>Date of publication of the notification</t>
        </is>
      </c>
      <c r="H23" s="11" t="inlineStr">
        <is>
          <t>Deferred by three years from publication</t>
        </is>
      </c>
      <c r="I23" s="11" t="inlineStr">
        <is>
          <t>In force</t>
        </is>
      </c>
      <c r="J23" s="12" t="inlineStr">
        <is>
          <t>Three-year deferral of BIS enforcement</t>
        </is>
      </c>
      <c r="K23" s="12" t="inlineStr">
        <is>
          <t>Mild steel used in metal arc welding electrodes; steels for die blocks used in drop forging</t>
        </is>
      </c>
      <c r="L23" s="12" t="inlineStr">
        <is>
          <t>Narrow in scope. Relief for specific downstream engineering users; immaterial at sector level.</t>
        </is>
      </c>
      <c r="M23" s="11" t="inlineStr">
        <is>
          <t>S32</t>
        </is>
      </c>
      <c r="N23" s="11" t="inlineStr">
        <is>
          <t>Medium</t>
        </is>
      </c>
      <c r="O23" s="12" t="inlineStr">
        <is>
          <t>Made under the Steel and Steel Products (Quality Control) Order, 2024.</t>
        </is>
      </c>
    </row>
    <row r="24">
      <c r="A24" s="11" t="inlineStr">
        <is>
          <t>P07</t>
        </is>
      </c>
      <c r="B24" s="11" t="inlineStr">
        <is>
          <t>Suspension of the Quality Control Order for stainless steel products</t>
        </is>
      </c>
      <c r="C24" s="11" t="inlineStr">
        <is>
          <t>Standards / non-tariff</t>
        </is>
      </c>
      <c r="D24" s="11" t="inlineStr">
        <is>
          <t>Ministry of Steel</t>
        </is>
      </c>
      <c r="E24" s="11" t="inlineStr">
        <is>
          <t>Executive order</t>
        </is>
      </c>
      <c r="F24" s="11" t="inlineStr">
        <is>
          <t>Order dated 27-Apr-2026</t>
        </is>
      </c>
      <c r="G24" s="11" t="inlineStr">
        <is>
          <t>27-Apr-2026</t>
        </is>
      </c>
      <c r="H24" s="11" t="inlineStr">
        <is>
          <t>Not specified - described as temporary</t>
        </is>
      </c>
      <c r="I24" s="11" t="inlineStr">
        <is>
          <t>IN FORCE - active FY2027 risk</t>
        </is>
      </c>
      <c r="J24" s="12" t="inlineStr">
        <is>
          <t>Suspension of the requirement to use only BIS-certified items for various stainless steel products</t>
        </is>
      </c>
      <c r="K24" s="12" t="inlineStr">
        <is>
          <t>Various stainless steel products</t>
        </is>
      </c>
      <c r="L24" s="12" t="inlineStr">
        <is>
          <t>MATERIALLY NEGATIVE for domestic stainless producers, principally Jindal Stainless. Stated intent was to ease the compliance burden on domestic producers, especially MSMEs. Stainless-sector MSMEs have since flagged an import surge and urged the Government to reintroduce the Order.</t>
        </is>
      </c>
      <c r="M24" s="11" t="inlineStr">
        <is>
          <t>S32, S42, S12</t>
        </is>
      </c>
      <c r="N24" s="11" t="inlineStr">
        <is>
          <t>High</t>
        </is>
      </c>
      <c r="O24" s="12" t="inlineStr">
        <is>
          <t>CORROBORATED BY A PRIMARY ISSUER SOURCE: on Jindal Stainless's exchange-filed 4QFY26 earnings call the Managing Director called the suspension 'a matter of concern and a discouraging setback for quality-focused domestic industry players', noting inferior imported material continuing to enter India at scale. A rare instance where a policy risk is confirmed in an issuer's own filed disclosure.</t>
        </is>
      </c>
    </row>
    <row r="25">
      <c r="A25" s="11" t="inlineStr">
        <is>
          <t>P08</t>
        </is>
      </c>
      <c r="B25" s="11" t="inlineStr">
        <is>
          <t>Transition Facilitation (Quality Control) Order, 2026</t>
        </is>
      </c>
      <c r="C25" s="11" t="inlineStr">
        <is>
          <t>Standards / non-tariff</t>
        </is>
      </c>
      <c r="D25" s="11" t="inlineStr">
        <is>
          <t>Ministry of Commerce &amp; Industry</t>
        </is>
      </c>
      <c r="E25" s="11" t="inlineStr">
        <is>
          <t>Quality Control Order</t>
        </is>
      </c>
      <c r="F25" s="11" t="inlineStr">
        <is>
          <t>25-Jun-2026</t>
        </is>
      </c>
      <c r="G25" s="11" t="inlineStr">
        <is>
          <t>2026</t>
        </is>
      </c>
      <c r="H25" s="11" t="inlineStr">
        <is>
          <t>Five-year transition window</t>
        </is>
      </c>
      <c r="I25" s="11" t="inlineStr">
        <is>
          <t>IN FORCE</t>
        </is>
      </c>
      <c r="J25" s="12" t="inlineStr">
        <is>
          <t>Alternative risk-based compliance mechanism; simplified registration-based BIS certification in place of the conventional inspection-intensive process; easing across several sectors for five years</t>
        </is>
      </c>
      <c r="K25" s="12" t="inlineStr">
        <is>
          <t>Multiple sectors, including steel</t>
        </is>
      </c>
      <c r="L25" s="12" t="inlineStr">
        <is>
          <t>Structurally reduces the effectiveness of QCOs as a non-tariff barrier for the next five years, while lowering compliance cost for importers and for smaller domestic manufacturers. Directionally NEGATIVE for incumbent large domestic producers that had relied on QCO-based protection.</t>
        </is>
      </c>
      <c r="M25" s="11" t="inlineStr">
        <is>
          <t>S33</t>
        </is>
      </c>
      <c r="N25" s="11" t="inlineStr">
        <is>
          <t>Medium</t>
        </is>
      </c>
      <c r="O25" s="12" t="inlineStr">
        <is>
          <t>Described by the Ministry as facilitating 'a smooth transition for industry while maintaining quality assurance and consumer protection'.</t>
        </is>
      </c>
    </row>
    <row r="26">
      <c r="A26" s="11" t="inlineStr">
        <is>
          <t>P09</t>
        </is>
      </c>
      <c r="B26" s="11" t="inlineStr">
        <is>
          <t>Production Linked Incentive Scheme for Specialty Steel</t>
        </is>
      </c>
      <c r="C26" s="11" t="inlineStr">
        <is>
          <t>Industrial policy</t>
        </is>
      </c>
      <c r="D26" s="11" t="inlineStr">
        <is>
          <t>Ministry of Steel</t>
        </is>
      </c>
      <c r="E26" s="11" t="inlineStr">
        <is>
          <t>Central sector scheme</t>
        </is>
      </c>
      <c r="F26" s="11" t="inlineStr">
        <is>
          <t>Original scheme 2021; PLI 1.1 launched 06-Jan-2025</t>
        </is>
      </c>
      <c r="G26" s="11" t="inlineStr">
        <is>
          <t>Production period FY2026 to FY2030 for PLI 1.1</t>
        </is>
      </c>
      <c r="H26" s="11" t="inlineStr">
        <is>
          <t>FY2030 / FY2031 depending on round</t>
        </is>
      </c>
      <c r="I26" s="11" t="inlineStr">
        <is>
          <t>IN FORCE across three rounds</t>
        </is>
      </c>
      <c r="J26" s="12" t="inlineStr">
        <is>
          <t>Budgetary outlay Rs 6,322 crore. Cumulative across all three rounds as at 24-Mar-2026: 171 projects from 104 companies; committed investment Rs 55,993 crore; investment realised Rs 23,827 crore (42.6%); specialty steel capacity created 24 Mt; import substitution through incremental production valued at Rs 6,000 crore</t>
        </is>
      </c>
      <c r="K26" s="12" t="inlineStr">
        <is>
          <t>Five categories: coated/plated steel products; high strength and wear-resistant steel; specialty rails; alloy steel products and steel wires; electrical steel</t>
        </is>
      </c>
      <c r="L26" s="12" t="inlineStr">
        <is>
          <t>The principal industrial-policy lever aimed at India's value-added and import-dependent segments, especially electrical steel where imports were flat at 0.49 Mt in FY2026 while all other categories fell. Ministry expects specialty steel production to reach 42 Mt by end-FY2027.</t>
        </is>
      </c>
      <c r="M26" s="11" t="inlineStr">
        <is>
          <t>S24, S45, S44</t>
        </is>
      </c>
      <c r="N26" s="11" t="inlineStr">
        <is>
          <t>High</t>
        </is>
      </c>
      <c r="O26" s="12" t="inlineStr">
        <is>
          <t>Round detail: Round 1 44 projects / 19 companies; Round 2 42 projects / 25 companies; Round 3 85 projects / 60 companies. PLI 1.1 reduced investment thresholds and allowed excess production to be carried forward for incentive claims, to attract applications in sub-categories that drew none in the first round. PLI 1.2 secured Rs 11,887 crore of commitments for 8.7 Mt of capacity by FY2031.</t>
        </is>
      </c>
    </row>
    <row r="27">
      <c r="A27" s="11" t="inlineStr">
        <is>
          <t>P10</t>
        </is>
      </c>
      <c r="B27" s="11" t="inlineStr">
        <is>
          <t>National Steel Policy 2017</t>
        </is>
      </c>
      <c r="C27" s="11" t="inlineStr">
        <is>
          <t>Industrial policy</t>
        </is>
      </c>
      <c r="D27" s="11" t="inlineStr">
        <is>
          <t>Ministry of Steel</t>
        </is>
      </c>
      <c r="E27" s="11" t="inlineStr">
        <is>
          <t>Policy framework</t>
        </is>
      </c>
      <c r="F27" s="11" t="inlineStr">
        <is>
          <t>2017</t>
        </is>
      </c>
      <c r="G27" s="11" t="inlineStr">
        <is>
          <t>2017</t>
        </is>
      </c>
      <c r="H27" s="11" t="inlineStr">
        <is>
          <t>FY2031 horizon</t>
        </is>
      </c>
      <c r="I27" s="11" t="inlineStr">
        <is>
          <t>IN FORCE</t>
        </is>
      </c>
      <c r="J27" s="12" t="inlineStr">
        <is>
          <t>Target of 300 Mtpa crude steel capacity by FY2031, with per capita consumption and raw material security objectives</t>
        </is>
      </c>
      <c r="K27" s="12" t="inlineStr">
        <is>
          <t>Whole sector</t>
        </is>
      </c>
      <c r="L27" s="12" t="inlineStr">
        <is>
          <t>The anchor long-term planning document. Against the 300 Mtpa target, capacity stood at 220.4 Mt in FY2026, so ~80 Mtpa must be added in five years - roughly 16 Mtpa a year, against ~20 Mtpa actually added in each of FY2025 and FY2026. The target is therefore achievable on current run-rate, which is a materially more constructive read than the market generally assumes.</t>
        </is>
      </c>
      <c r="M27" s="11" t="inlineStr">
        <is>
          <t>S03, S02</t>
        </is>
      </c>
      <c r="N27" s="11" t="inlineStr">
        <is>
          <t>High</t>
        </is>
      </c>
      <c r="O27" s="12" t="inlineStr">
        <is>
          <t>Reducing the carbon footprint of the industry is also stated as an objective of the Policy.</t>
        </is>
      </c>
    </row>
    <row r="28">
      <c r="A28" s="11" t="inlineStr">
        <is>
          <t>P11</t>
        </is>
      </c>
      <c r="B28" s="11" t="inlineStr">
        <is>
          <t>Domestically Manufactured Iron &amp; Steel Products (DMI&amp;SP) Policy</t>
        </is>
      </c>
      <c r="C28" s="11" t="inlineStr">
        <is>
          <t>Public procurement</t>
        </is>
      </c>
      <c r="D28" s="11" t="inlineStr">
        <is>
          <t>Ministry of Steel</t>
        </is>
      </c>
      <c r="E28" s="11" t="inlineStr">
        <is>
          <t>Procurement policy</t>
        </is>
      </c>
      <c r="F28" s="11" t="inlineStr">
        <is>
          <t>In force during the period</t>
        </is>
      </c>
      <c r="G28" s="11" t="inlineStr">
        <is>
          <t>In force</t>
        </is>
      </c>
      <c r="H28" s="11" t="inlineStr">
        <is>
          <t>Ongoing</t>
        </is>
      </c>
      <c r="I28" s="11" t="inlineStr">
        <is>
          <t>IN FORCE</t>
        </is>
      </c>
      <c r="J28" s="12" t="inlineStr">
        <is>
          <t>Preference for domestically manufactured iron and steel in Government procurement</t>
        </is>
      </c>
      <c r="K28" s="12" t="inlineStr">
        <is>
          <t>Government and public sector procurement of iron and steel</t>
        </is>
      </c>
      <c r="L28" s="12" t="inlineStr">
        <is>
          <t>Provides a protected demand base for domestic producers, particularly for SAIL and RINL given their long-products and rails exposure to railways and infrastructure procurement.</t>
        </is>
      </c>
      <c r="M28" s="11" t="inlineStr">
        <is>
          <t>S25</t>
        </is>
      </c>
      <c r="N28" s="11" t="inlineStr">
        <is>
          <t>High</t>
        </is>
      </c>
      <c r="O28" s="12" t="inlineStr">
        <is>
          <t>Listed by the Ministry of Steel as a measure to safeguard India's steel trade position.</t>
        </is>
      </c>
    </row>
    <row r="29">
      <c r="A29" s="11" t="inlineStr">
        <is>
          <t>P12</t>
        </is>
      </c>
      <c r="B29" s="11" t="inlineStr">
        <is>
          <t>Countervailing duty on welded stainless steel pipes and tubes</t>
        </is>
      </c>
      <c r="C29" s="11" t="inlineStr">
        <is>
          <t>Trade remedy</t>
        </is>
      </c>
      <c r="D29" s="11" t="inlineStr">
        <is>
          <t>Ministry of Finance / DGTR</t>
        </is>
      </c>
      <c r="E29" s="11" t="inlineStr">
        <is>
          <t>Countervailing duty</t>
        </is>
      </c>
      <c r="F29" s="11" t="inlineStr">
        <is>
          <t>In force during the period</t>
        </is>
      </c>
      <c r="G29" s="11" t="inlineStr">
        <is>
          <t>In force</t>
        </is>
      </c>
      <c r="H29" s="11" t="inlineStr">
        <is>
          <t>Ongoing</t>
        </is>
      </c>
      <c r="I29" s="11" t="inlineStr">
        <is>
          <t>IN FORCE</t>
        </is>
      </c>
      <c r="J29" s="12" t="inlineStr">
        <is>
          <t>Countervailing duty in place</t>
        </is>
      </c>
      <c r="K29" s="12" t="inlineStr">
        <is>
          <t>Welded stainless steel pipes and tubes from China and Vietnam</t>
        </is>
      </c>
      <c r="L29" s="12" t="inlineStr">
        <is>
          <t>Narrow but directly supportive of domestic stainless pipe and tube producers, partially offsetting the effect of the stainless QCO suspension (P07).</t>
        </is>
      </c>
      <c r="M29" s="11" t="inlineStr">
        <is>
          <t>S25</t>
        </is>
      </c>
      <c r="N29" s="11" t="inlineStr">
        <is>
          <t>High</t>
        </is>
      </c>
      <c r="O29" s="12" t="inlineStr">
        <is>
          <t>Confirmed by the Ministry of Steel in Rajya Sabha USQ 3350.</t>
        </is>
      </c>
    </row>
    <row r="30">
      <c r="A30" s="11" t="inlineStr">
        <is>
          <t>P13</t>
        </is>
      </c>
      <c r="B30" s="11" t="inlineStr">
        <is>
          <t>Union Budget 2026-27 customs measures for steel</t>
        </is>
      </c>
      <c r="C30" s="11" t="inlineStr">
        <is>
          <t>Fiscal / customs</t>
        </is>
      </c>
      <c r="D30" s="11" t="inlineStr">
        <is>
          <t>Ministry of Finance</t>
        </is>
      </c>
      <c r="E30" s="11" t="inlineStr">
        <is>
          <t>Finance Act / customs notifications</t>
        </is>
      </c>
      <c r="F30" s="11" t="inlineStr">
        <is>
          <t>Union Budget 2026-27</t>
        </is>
      </c>
      <c r="G30" s="11" t="inlineStr">
        <is>
          <t>FY2027</t>
        </is>
      </c>
      <c r="H30" s="11" t="inlineStr">
        <is>
          <t>Exemptions extended to 31-Mar-2028</t>
        </is>
      </c>
      <c r="I30" s="11" t="inlineStr">
        <is>
          <t>IN FORCE</t>
        </is>
      </c>
      <c r="J30" s="12" t="inlineStr">
        <is>
          <t>Nil Basic Customs Duty continued on ferro-nickel; BCD exemption extended to 31-Mar-2028 on ferrous scrap, on magnesium oxide coated cold rolled steel coils used to manufacture cold rolled grain oriented (CRGO) steel, and on specified goods for the manufacture of CRGO steel</t>
        </is>
      </c>
      <c r="K30" s="12" t="inlineStr">
        <is>
          <t>Ferro-nickel; ferrous scrap; CRGO steel inputs</t>
        </is>
      </c>
      <c r="L30" s="12" t="inlineStr">
        <is>
          <t>POSITIVE for stainless producers (ferro-nickel is a primary input for Jindal Stainless), for scrap-based EAF operators including Tata Steel's Ludhiana EAF, and for prospective CRGO manufacturers. Directly targets the electrical steel import gap that PLI also addresses.</t>
        </is>
      </c>
      <c r="M30" s="11" t="inlineStr">
        <is>
          <t>S25</t>
        </is>
      </c>
      <c r="N30" s="11" t="inlineStr">
        <is>
          <t>High</t>
        </is>
      </c>
      <c r="O30" s="12" t="inlineStr">
        <is>
          <t>The CRGO input exemptions are the fiscal complement to the PLI electrical steel category.</t>
        </is>
      </c>
    </row>
    <row r="31">
      <c r="A31" s="11" t="inlineStr">
        <is>
          <t>P14</t>
        </is>
      </c>
      <c r="B31" s="11" t="inlineStr">
        <is>
          <t>Steel export duty - imposition and withdrawal</t>
        </is>
      </c>
      <c r="C31" s="11" t="inlineStr">
        <is>
          <t>Trade / fiscal</t>
        </is>
      </c>
      <c r="D31" s="11" t="inlineStr">
        <is>
          <t>Ministry of Finance</t>
        </is>
      </c>
      <c r="E31" s="11" t="inlineStr">
        <is>
          <t>Customs notification</t>
        </is>
      </c>
      <c r="F31" s="11" t="inlineStr">
        <is>
          <t>Imposed May-2022; withdrawn 19-Nov-2022</t>
        </is>
      </c>
      <c r="G31" s="11" t="inlineStr">
        <is>
          <t>May-2022</t>
        </is>
      </c>
      <c r="H31" s="11" t="inlineStr">
        <is>
          <t>Withdrawn with effect from 19-Nov-2022</t>
        </is>
      </c>
      <c r="I31" s="11" t="inlineStr">
        <is>
          <t>WITHDRAWN - tariff on finished steel is NIL (0%)</t>
        </is>
      </c>
      <c r="J31" s="12" t="inlineStr">
        <is>
          <t>15% export duty on finished steel, reduced to nil</t>
        </is>
      </c>
      <c r="K31" s="12" t="inlineStr">
        <is>
          <t>Finished steel</t>
        </is>
      </c>
      <c r="L31" s="12" t="inlineStr">
        <is>
          <t>Historical but essential context for interpreting the FY2023 volume series. Exports halved from 13.49 Mt in FY2022 to 6.72 Mt in FY2023. The duty was scrapped following severe industry pushback and a 15-20% correction in domestic steel prices.</t>
        </is>
      </c>
      <c r="M31" s="11" t="inlineStr">
        <is>
          <t>S02</t>
        </is>
      </c>
      <c r="N31" s="11" t="inlineStr">
        <is>
          <t>High</t>
        </is>
      </c>
      <c r="O31" s="12" t="inlineStr">
        <is>
          <t>Effected by Notification 58/2022-Customs.</t>
        </is>
      </c>
    </row>
    <row r="32">
      <c r="A32" s="11" t="inlineStr">
        <is>
          <t>P15</t>
        </is>
      </c>
      <c r="B32" s="11" t="inlineStr">
        <is>
          <t>Taxonomy for Green Steel</t>
        </is>
      </c>
      <c r="C32" s="11" t="inlineStr">
        <is>
          <t>Decarbonisation</t>
        </is>
      </c>
      <c r="D32" s="11" t="inlineStr">
        <is>
          <t>Ministry of Steel</t>
        </is>
      </c>
      <c r="E32" s="11" t="inlineStr">
        <is>
          <t>Notified taxonomy</t>
        </is>
      </c>
      <c r="F32" s="11" t="inlineStr">
        <is>
          <t>23-Dec-2024</t>
        </is>
      </c>
      <c r="G32" s="11" t="inlineStr">
        <is>
          <t>23-Dec-2024</t>
        </is>
      </c>
      <c r="H32" s="11" t="inlineStr">
        <is>
          <t>Ongoing</t>
        </is>
      </c>
      <c r="I32" s="11" t="inlineStr">
        <is>
          <t>IN FORCE</t>
        </is>
      </c>
      <c r="J32" s="12" t="inlineStr">
        <is>
          <t>Green steel defined as emission intensity below 2.2 tCO2e per tonne of finished steel. Star rating: 5-star below 1.6; 4-star 1.6 to 2.0; 3-star 2.0 to 2.2; above 2.2 not eligible</t>
        </is>
      </c>
      <c r="K32" s="12" t="inlineStr">
        <is>
          <t>All steel produced in India</t>
        </is>
      </c>
      <c r="L32" s="12" t="inlineStr">
        <is>
          <t>Establishes the measurement framework that will underpin green procurement, any future carbon pricing, and export documentation for CBAM purposes. Described as the world's first national green steel taxonomy. A 37% government procurement share for green steel has been PROPOSED but is not an enacted mandate.</t>
        </is>
      </c>
      <c r="M32" s="11" t="inlineStr">
        <is>
          <t>S25, S46</t>
        </is>
      </c>
      <c r="N32" s="11" t="inlineStr">
        <is>
          <t>High</t>
        </is>
      </c>
      <c r="O32" s="12" t="inlineStr">
        <is>
          <t>Notification date of 23-Dec-2024 confirmed by the Ministry of Steel in Rajya Sabha USQ 3350. A Guideline for Green Steel Certification dated 30-Dec-2025 operationalises the 2.2 tCO2e/tfs threshold.</t>
        </is>
      </c>
    </row>
    <row r="33">
      <c r="A33" s="11" t="inlineStr">
        <is>
          <t>P16</t>
        </is>
      </c>
      <c r="B33" s="11" t="inlineStr">
        <is>
          <t>EU Carbon Border Adjustment Mechanism (CBAM) - definitive regime</t>
        </is>
      </c>
      <c r="C33" s="11" t="inlineStr">
        <is>
          <t>Decarbonisation / trade</t>
        </is>
      </c>
      <c r="D33" s="11" t="inlineStr">
        <is>
          <t>European Union</t>
        </is>
      </c>
      <c r="E33" s="11" t="inlineStr">
        <is>
          <t>EU regulation</t>
        </is>
      </c>
      <c r="F33" s="11" t="inlineStr">
        <is>
          <t>Definitive regime commenced</t>
        </is>
      </c>
      <c r="G33" s="11" t="inlineStr">
        <is>
          <t>01-Jan-2026</t>
        </is>
      </c>
      <c r="H33" s="11" t="inlineStr">
        <is>
          <t>Ongoing</t>
        </is>
      </c>
      <c r="I33" s="11" t="inlineStr">
        <is>
          <t>IN FORCE</t>
        </is>
      </c>
      <c r="J33" s="12" t="inlineStr">
        <is>
          <t>Carbon cost applied at the EU border on embedded emissions of covered goods including iron and steel</t>
        </is>
      </c>
      <c r="K33" s="12" t="inlineStr">
        <is>
          <t>Iron and steel imports into the EU</t>
        </is>
      </c>
      <c r="L33" s="12" t="inlineStr">
        <is>
          <t>DIRECTLY MATERIAL. EU destinations - Italy, Belgium and Spain - were 34.4% of India's FY2026 finished steel exports. Indian BF-BOF emission intensity is well above the EU benchmark, so CBAM is a structural margin headwind on the EU export book and a strategic driver of the green steel investment case. The Ministry of Steel's answer to Rajya Sabha USQ 3350 was specifically framed around CBAM readiness.</t>
        </is>
      </c>
      <c r="M33" s="11" t="inlineStr">
        <is>
          <t>S08, S25</t>
        </is>
      </c>
      <c r="N33" s="11" t="inlineStr">
        <is>
          <t>High</t>
        </is>
      </c>
      <c r="O33" s="12" t="inlineStr">
        <is>
          <t>CONFIRMED FROM A PRIMARY ISSUER SOURCE: Tata Steel's 4QFY2026 press release states that in Europe 'import safeguards and roll out of the Carbon Border Adjustment Mechanism from 1st January has improved pricing conditions' - i.e. in the near term CBAM has supported EU domestic prices, which benefits Tata Steel's own Netherlands operations even as it raises the barrier for India-origin exports.</t>
        </is>
      </c>
    </row>
    <row r="34">
      <c r="A34" s="11" t="inlineStr">
        <is>
          <t>P17</t>
        </is>
      </c>
      <c r="B34" s="11" t="inlineStr">
        <is>
          <t>UK steel import quota changes</t>
        </is>
      </c>
      <c r="C34" s="11" t="inlineStr">
        <is>
          <t>Trade remedy (overseas)</t>
        </is>
      </c>
      <c r="D34" s="11" t="inlineStr">
        <is>
          <t>United Kingdom</t>
        </is>
      </c>
      <c r="E34" s="11" t="inlineStr">
        <is>
          <t>Import quota regime</t>
        </is>
      </c>
      <c r="F34" s="11" t="inlineStr">
        <is>
          <t>Announced Mar-2026</t>
        </is>
      </c>
      <c r="G34" s="11" t="inlineStr">
        <is>
          <t>2026</t>
        </is>
      </c>
      <c r="H34" s="11" t="inlineStr">
        <is>
          <t>Not specified</t>
        </is>
      </c>
      <c r="I34" s="11" t="inlineStr">
        <is>
          <t>IN FORCE</t>
        </is>
      </c>
      <c r="J34" s="12" t="inlineStr">
        <is>
          <t>Changes to UK steel import quotas</t>
        </is>
      </c>
      <c r="K34" s="12" t="inlineStr">
        <is>
          <t>Steel imports into the UK</t>
        </is>
      </c>
      <c r="L34" s="12" t="inlineStr">
        <is>
          <t>Relevant to Tata Steel specifically through Tata Steel UK. Management expects the changes to 'bring greater balance to a market where demand conditions continue to be cause for concern'. Supportive of the halving of Tata Steel UK's EBITDA loss to GBP 217m in FY2026.</t>
        </is>
      </c>
      <c r="M34" s="11" t="inlineStr">
        <is>
          <t>S08</t>
        </is>
      </c>
      <c r="N34" s="11" t="inlineStr">
        <is>
          <t>High</t>
        </is>
      </c>
      <c r="O34" s="12" t="inlineStr">
        <is>
          <t>Sourced from Tata Steel's own FY2026 results release.</t>
        </is>
      </c>
    </row>
    <row r="35">
      <c r="A35" s="11" t="inlineStr">
        <is>
          <t>P18</t>
        </is>
      </c>
      <c r="B35" s="11" t="inlineStr">
        <is>
          <t>Netherlands environmental enforcement against Tata Steel Netherlands</t>
        </is>
      </c>
      <c r="C35" s="11" t="inlineStr">
        <is>
          <t>Environmental regulation (overseas)</t>
        </is>
      </c>
      <c r="D35" s="11" t="inlineStr">
        <is>
          <t>Dutch Environment Agency and the Province (Netherlands)</t>
        </is>
      </c>
      <c r="E35" s="11" t="inlineStr">
        <is>
          <t>Enforcement action and notices</t>
        </is>
      </c>
      <c r="F35" s="11" t="inlineStr">
        <is>
          <t>Letter issued 23-Apr-2026</t>
        </is>
      </c>
      <c r="G35" s="11" t="inlineStr">
        <is>
          <t>2026</t>
        </is>
      </c>
      <c r="H35" s="11" t="inlineStr">
        <is>
          <t>Ongoing</t>
        </is>
      </c>
      <c r="I35" s="11" t="inlineStr">
        <is>
          <t>ACTIVE - unresolved at the data cutoff</t>
        </is>
      </c>
      <c r="J35" s="12" t="inlineStr">
        <is>
          <t>More than EUR 20 million of penalties paid in FY2026 in relation to the coke and gas plants; stated intention to revoke operating permits and trigger early closure of those plants</t>
        </is>
      </c>
      <c r="K35" s="12" t="inlineStr">
        <is>
          <t>Tata Steel Netherlands, IJmuiden site</t>
        </is>
      </c>
      <c r="L35" s="12" t="inlineStr">
        <is>
          <t>SEVERE AND COMPANY-SPECIFIC. Tata Steel Netherlands' financial statements have been prepared taking into account a MATERIAL UNCERTAINTY RELATED TO GOING CONCERN, in discussion with its auditors. Many penalties relate to exceedances for which the company states no technically and operationally feasible best practice is currently available globally given the 40 to 50 year vintage of the coke ovens. Tata Steel is exploring all options including legal recourse. Separately, Dutch requirements on classification and disposal of steel slag now exceed EU standards.</t>
        </is>
      </c>
      <c r="M35" s="11" t="inlineStr">
        <is>
          <t>S08</t>
        </is>
      </c>
      <c r="N35" s="11" t="inlineStr">
        <is>
          <t>High</t>
        </is>
      </c>
      <c r="O35" s="12" t="inlineStr">
        <is>
          <t>This is the single largest identifiable downside risk in the coverage universe and is disclosed in the issuer's own results release. Any Tata Steel valuation must sensitise for impairment or closure of the Netherlands operation.</t>
        </is>
      </c>
    </row>
    <row r="36">
      <c r="A36" s="11" t="inlineStr">
        <is>
          <t>P19</t>
        </is>
      </c>
      <c r="B36" s="11" t="inlineStr">
        <is>
          <t>RINL revival support</t>
        </is>
      </c>
      <c r="C36" s="11" t="inlineStr">
        <is>
          <t>State support / restructuring</t>
        </is>
      </c>
      <c r="D36" s="11" t="inlineStr">
        <is>
          <t>Government of India</t>
        </is>
      </c>
      <c r="E36" s="11" t="inlineStr">
        <is>
          <t>Equity infusion and support package</t>
        </is>
      </c>
      <c r="F36" s="11" t="inlineStr">
        <is>
          <t>Package under implementation; a further infusion reported under consideration Apr-2026</t>
        </is>
      </c>
      <c r="G36" s="11" t="inlineStr">
        <is>
          <t>FY2025-FY2026</t>
        </is>
      </c>
      <c r="H36" s="11" t="inlineStr">
        <is>
          <t>Ongoing</t>
        </is>
      </c>
      <c r="I36" s="11" t="inlineStr">
        <is>
          <t>IN FORCE</t>
        </is>
      </c>
      <c r="J36" s="12" t="inlineStr">
        <is>
          <t>A further equity infusion of approximately Rs 8,097 crore was reported to be under consideration</t>
        </is>
      </c>
      <c r="K36" s="12" t="inlineStr">
        <is>
          <t>Rashtriya Ispat Nigam Limited</t>
        </is>
      </c>
      <c r="L36" s="12" t="inlineStr">
        <is>
          <t>TRANSFORMATIONAL FOR RINL AND MATERIAL FOR INDIA SUPPLY. FY2026 crude steel output rose 51% to 5.43 Mt and turnover 22% to over Rs 22,300 crore, with a return to monthly cash profit of Rs 54 crore in Jan-2026 against a cash loss of Rs 486 crore in Sep-2024. Roughly 1.85 Mt of incremental supply, equal to ~1.1% of India's FY2026 crude steel output, came from RINL's restart alone. The Andhra Pradesh government has stated there is no proposal to privatise RINL.</t>
        </is>
      </c>
      <c r="M36" s="11" t="inlineStr">
        <is>
          <t>S16</t>
        </is>
      </c>
      <c r="N36" s="11" t="inlineStr">
        <is>
          <t>Medium</t>
        </is>
      </c>
      <c r="O36" s="12" t="inlineStr">
        <is>
          <t>The Rs 8,097 crore figure rests on press reporting and should be treated as indicative until a formal announcement.</t>
        </is>
      </c>
    </row>
    <row r="37">
      <c r="A37" s="11" t="inlineStr">
        <is>
          <t>P20</t>
        </is>
      </c>
      <c r="B37" s="11" t="inlineStr">
        <is>
          <t>West Asia conflict - supply chain and energy disruption</t>
        </is>
      </c>
      <c r="C37" s="11" t="inlineStr">
        <is>
          <t>Geopolitical (not a policy, tracked here for completeness)</t>
        </is>
      </c>
      <c r="D37" s="11" t="inlineStr">
        <is>
          <t>Not applicable</t>
        </is>
      </c>
      <c r="E37" s="11" t="inlineStr">
        <is>
          <t>External event</t>
        </is>
      </c>
      <c r="F37" s="11" t="inlineStr">
        <is>
          <t>Escalated from Q4FY2026</t>
        </is>
      </c>
      <c r="G37" s="11" t="inlineStr">
        <is>
          <t>Q4FY2026</t>
        </is>
      </c>
      <c r="H37" s="11" t="inlineStr">
        <is>
          <t>Ongoing</t>
        </is>
      </c>
      <c r="I37" s="11" t="inlineStr">
        <is>
          <t>ACTIVE - flagged as continuing into FY2027</t>
        </is>
      </c>
      <c r="J37" s="12" t="inlineStr">
        <is>
          <t>Not quantified by issuers</t>
        </is>
      </c>
      <c r="K37" s="12" t="inlineStr">
        <is>
          <t>Energy, oil, freight, currency markets; availability of propane, LPG, natural gas and ammonia; shipping-lane routing</t>
        </is>
      </c>
      <c r="L37" s="12" t="inlineStr">
        <is>
          <t>SECTOR-WIDE COST AND LOGISTICS HEADWIND. Tata Steel states that developments in West Asia began to pressure supply chains and input costs in Q4FY2026 and that these pressures continue into FY2027, with calibrated mitigating actions under way. Jindal Stainless cites constrained availability of industrial gases critical to stainless steelmaking, plus route diversions, extended transit times and intermittent cargo delays. Also cited as a driver of the Mar-2026 spike in Chinese and Indian steel prices and of the rise in Australian thermal coal from USD 118/mt in Feb-2026 to USD 139/mt in Mar-2026.</t>
        </is>
      </c>
      <c r="M37" s="11" t="inlineStr">
        <is>
          <t>S08, S12, S20</t>
        </is>
      </c>
      <c r="N37" s="11" t="inlineStr">
        <is>
          <t>High</t>
        </is>
      </c>
      <c r="O37" s="12" t="inlineStr">
        <is>
          <t>Included because two separate issuers independently flagged it in filed FY2026 disclosures, making it the most consistently cited forward risk in the coverage universe.</t>
        </is>
      </c>
    </row>
    <row r="39">
      <c r="A39" s="13" t="inlineStr">
        <is>
          <t>P01, P02 and P03 must be read as a single sequence - see Conflict C08. The year-two safeguard rate of 11.5% has applied since 21 April 2026 and a mid-term review is provided for: this is the key FY2027 policy monitorable. P07, the suspension of the stainless steel Quality Control Order, is the clearest live downside risk to a specific issuer in the universe and is corroborated in Jindal Stainless's own exchange-filed earnings call. P18, the Netherlands enforcement action, carries a disclosed material uncertainty related to going concern at Tata Steel Netherlands and is the largest single identifiable downside in the coverage universe.</t>
        </is>
      </c>
    </row>
  </sheetData>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tabColor rgb="001F3864"/>
    <outlinePr summaryBelow="1" summaryRight="1"/>
    <pageSetUpPr fitToPage="1"/>
  </sheetPr>
  <dimension ref="A1:N43"/>
  <sheetViews>
    <sheetView showGridLines="0" workbookViewId="0">
      <pane xSplit="12" ySplit="17" topLeftCell="M18" activePane="bottomRight" state="frozen"/>
      <selection pane="topRight"/>
      <selection pane="bottomLeft"/>
      <selection pane="bottomRight" activeCell="A1" sqref="A1"/>
    </sheetView>
  </sheetViews>
  <sheetFormatPr baseColWidth="8" defaultRowHeight="15"/>
  <cols>
    <col width="9" customWidth="1" min="1" max="1"/>
    <col width="52" customWidth="1" min="2" max="2"/>
    <col width="18" customWidth="1" min="3" max="3"/>
    <col width="13" customWidth="1" min="4" max="4"/>
    <col width="16" customWidth="1" min="5" max="5"/>
    <col width="16" customWidth="1" min="6" max="6"/>
    <col width="16" customWidth="1" min="7" max="7"/>
    <col width="18" customWidth="1" min="8" max="8"/>
    <col width="24" customWidth="1" min="9" max="9"/>
    <col width="30" customWidth="1" min="10" max="10"/>
    <col width="14" customWidth="1" min="11" max="11"/>
    <col width="52" customWidth="1" min="12" max="12"/>
    <col width="11" customWidth="1" min="13" max="13"/>
    <col width="90" customWidth="1" min="14" max="14"/>
  </cols>
  <sheetData>
    <row r="1" ht="19" customHeight="1">
      <c r="A1" s="1" t="inlineStr">
        <is>
          <t>13. Industry KPIs</t>
        </is>
      </c>
    </row>
    <row r="2">
      <c r="A2" s="4" t="inlineStr">
        <is>
          <t>Master Industry Database  |  Indian Steel Industry  |  Data cutoff: 03-Aug-2026</t>
        </is>
      </c>
    </row>
    <row r="3">
      <c r="A3" s="3" t="inlineStr"/>
    </row>
    <row r="4">
      <c r="A4" s="4" t="inlineStr">
        <is>
          <t>OBJECTIVE</t>
        </is>
      </c>
    </row>
    <row r="5">
      <c r="A5" s="3" t="inlineStr">
        <is>
          <t>A single dashboard-ready indicator set spanning supply, demand, trade, input costs, realisations, policy and coverage, so that downstream tools bind to one sheet rather than scraping every sheet in the workbook.</t>
        </is>
      </c>
    </row>
    <row r="6">
      <c r="A6" s="4" t="inlineStr">
        <is>
          <t>UNITS AND CURRENCY</t>
        </is>
      </c>
    </row>
    <row r="7">
      <c r="A7" s="3" t="inlineStr">
        <is>
          <t>As labelled per row. Percentages are stored as decimals and formatted as per cent.</t>
        </is>
      </c>
    </row>
    <row r="8">
      <c r="A8" s="4" t="inlineStr">
        <is>
          <t>COVERAGE AND HISTORICAL DEPTH</t>
        </is>
      </c>
    </row>
    <row r="9">
      <c r="A9" s="3" t="inlineStr">
        <is>
          <t>FY2024 to FY2026 plus the latest available reading. 24 indicators.</t>
        </is>
      </c>
    </row>
    <row r="10">
      <c r="A10" s="4" t="inlineStr">
        <is>
          <t>DATA FREQUENCY</t>
        </is>
      </c>
    </row>
    <row r="11">
      <c r="A11" s="3" t="inlineStr">
        <is>
          <t>Mixed - annual, quarterly, monthly and point-in-time, stated per row.</t>
        </is>
      </c>
    </row>
    <row r="12">
      <c r="A12" s="4" t="inlineStr">
        <is>
          <t>SOURCE HIERARCHY APPLIED</t>
        </is>
      </c>
    </row>
    <row r="13">
      <c r="A13" s="3" t="inlineStr">
        <is>
          <t>Inherits the source of each underlying sheet; Source ID is carried on every row.</t>
        </is>
      </c>
    </row>
    <row r="14">
      <c r="A14" s="4" t="inlineStr">
        <is>
          <t>COLUMN RATIONALE</t>
        </is>
      </c>
    </row>
    <row r="15">
      <c r="A15" s="3" t="inlineStr">
        <is>
          <t>Every KPI carries a stable KPI ID so a dashboard or Power BI model can reference it without depending on row position. Latest Available and Latest Period are separate from the fiscal-year columns because several indicators have a more recent reading than FY2026 - the most recent industry datapoint in this workbook is Q1 FY2027 consumption. 'Why This KPI Matters' is carried because an indicator without a stated investment rationale invites misuse.</t>
        </is>
      </c>
    </row>
    <row r="16">
      <c r="A16" s="3" t="inlineStr"/>
    </row>
    <row r="17" ht="30" customHeight="1">
      <c r="A17" s="8" t="inlineStr">
        <is>
          <t>KPI ID</t>
        </is>
      </c>
      <c r="B17" s="8" t="inlineStr">
        <is>
          <t>KPI</t>
        </is>
      </c>
      <c r="C17" s="8" t="inlineStr">
        <is>
          <t>Category</t>
        </is>
      </c>
      <c r="D17" s="7" t="inlineStr">
        <is>
          <t>Unit</t>
        </is>
      </c>
      <c r="E17" s="7" t="inlineStr">
        <is>
          <t>FY2024</t>
        </is>
      </c>
      <c r="F17" s="7" t="inlineStr">
        <is>
          <t>FY2025</t>
        </is>
      </c>
      <c r="G17" s="7" t="inlineStr">
        <is>
          <t>FY2026</t>
        </is>
      </c>
      <c r="H17" s="7" t="inlineStr">
        <is>
          <t>Latest Available</t>
        </is>
      </c>
      <c r="I17" s="8" t="inlineStr">
        <is>
          <t>Latest Period</t>
        </is>
      </c>
      <c r="J17" s="8" t="inlineStr">
        <is>
          <t>Period Type</t>
        </is>
      </c>
      <c r="K17" s="7" t="inlineStr">
        <is>
          <t>Source ID</t>
        </is>
      </c>
      <c r="L17" s="8" t="inlineStr">
        <is>
          <t>Methodology</t>
        </is>
      </c>
      <c r="M17" s="7" t="inlineStr">
        <is>
          <t>Confidence</t>
        </is>
      </c>
      <c r="N17" s="7" t="inlineStr">
        <is>
          <t>Why This KPI Matters</t>
        </is>
      </c>
    </row>
    <row r="18">
      <c r="A18" s="11" t="inlineStr">
        <is>
          <t>K01</t>
        </is>
      </c>
      <c r="B18" s="11" t="inlineStr">
        <is>
          <t>Crude steel production</t>
        </is>
      </c>
      <c r="C18" s="11" t="inlineStr">
        <is>
          <t>Supply</t>
        </is>
      </c>
      <c r="D18" s="11" t="inlineStr">
        <is>
          <t>Mt</t>
        </is>
      </c>
      <c r="E18" s="14" t="n">
        <v>144.3</v>
      </c>
      <c r="F18" s="14" t="n">
        <v>152.18</v>
      </c>
      <c r="G18" s="14" t="n">
        <v>168.42</v>
      </c>
      <c r="H18" s="14" t="n">
        <v>168.42</v>
      </c>
      <c r="I18" s="11" t="inlineStr">
        <is>
          <t>FY2026</t>
        </is>
      </c>
      <c r="J18" s="11" t="inlineStr">
        <is>
          <t>Annual (FY)</t>
        </is>
      </c>
      <c r="K18" s="11" t="inlineStr">
        <is>
          <t>S01</t>
        </is>
      </c>
      <c r="L18" s="12" t="inlineStr">
        <is>
          <t>As reported</t>
        </is>
      </c>
      <c r="M18" s="11" t="inlineStr">
        <is>
          <t>High</t>
        </is>
      </c>
      <c r="N18" s="12" t="inlineStr">
        <is>
          <t>The headline supply number for the world's second-largest producer and the fastest-growing at scale.</t>
        </is>
      </c>
    </row>
    <row r="19">
      <c r="A19" s="11" t="inlineStr">
        <is>
          <t>K02</t>
        </is>
      </c>
      <c r="B19" s="11" t="inlineStr">
        <is>
          <t>Crude steel capacity</t>
        </is>
      </c>
      <c r="C19" s="11" t="inlineStr">
        <is>
          <t>Supply</t>
        </is>
      </c>
      <c r="D19" s="11" t="inlineStr">
        <is>
          <t>Mtpa</t>
        </is>
      </c>
      <c r="E19" s="14" t="n">
        <v>179.51</v>
      </c>
      <c r="F19" s="14" t="n">
        <v>200.33</v>
      </c>
      <c r="G19" s="14" t="n">
        <v>220.4</v>
      </c>
      <c r="H19" s="14" t="n">
        <v>220.4</v>
      </c>
      <c r="I19" s="11" t="inlineStr">
        <is>
          <t>FY2026</t>
        </is>
      </c>
      <c r="J19" s="11" t="inlineStr">
        <is>
          <t>Annual (FY), year-end</t>
        </is>
      </c>
      <c r="K19" s="11" t="inlineStr">
        <is>
          <t>S02, S03</t>
        </is>
      </c>
      <c r="L19" s="12" t="inlineStr">
        <is>
          <t>As reported</t>
        </is>
      </c>
      <c r="M19" s="11" t="inlineStr">
        <is>
          <t>High</t>
        </is>
      </c>
      <c r="N19" s="12" t="inlineStr">
        <is>
          <t>The denominator for utilisation and the gauge of progress towards the 300 Mtpa National Steel Policy target.</t>
        </is>
      </c>
    </row>
    <row r="20">
      <c r="A20" s="11" t="inlineStr">
        <is>
          <t>K03</t>
        </is>
      </c>
      <c r="B20" s="11" t="inlineStr">
        <is>
          <t>Capacity utilisation (crude steel)</t>
        </is>
      </c>
      <c r="C20" s="11" t="inlineStr">
        <is>
          <t>Supply</t>
        </is>
      </c>
      <c r="D20" s="11" t="inlineStr">
        <is>
          <t>%</t>
        </is>
      </c>
      <c r="E20" s="14" t="n">
        <v>0.8038999999999999</v>
      </c>
      <c r="F20" s="14" t="n">
        <v>0.7596000000000001</v>
      </c>
      <c r="G20" s="14" t="n">
        <v>0.7642</v>
      </c>
      <c r="H20" s="14" t="n">
        <v>0.7642</v>
      </c>
      <c r="I20" s="11" t="inlineStr">
        <is>
          <t>FY2026</t>
        </is>
      </c>
      <c r="J20" s="11" t="inlineStr">
        <is>
          <t>Annual (FY)</t>
        </is>
      </c>
      <c r="K20" s="11" t="inlineStr">
        <is>
          <t>S01, S02</t>
        </is>
      </c>
      <c r="L20" s="12" t="inlineStr">
        <is>
          <t>Computed: production divided by year-end capacity</t>
        </is>
      </c>
      <c r="M20" s="11" t="inlineStr">
        <is>
          <t>High</t>
        </is>
      </c>
      <c r="N20" s="12" t="inlineStr">
        <is>
          <t>Fell from 80% to 76% as capacity outran production. On a year-end denominator this understates true utilisation in heavy commissioning years, but the direction is the point: India is building ahead of demand, which caps domestic pricing power.</t>
        </is>
      </c>
    </row>
    <row r="21">
      <c r="A21" s="11" t="inlineStr">
        <is>
          <t>K04</t>
        </is>
      </c>
      <c r="B21" s="11" t="inlineStr">
        <is>
          <t>Total finished steel production</t>
        </is>
      </c>
      <c r="C21" s="11" t="inlineStr">
        <is>
          <t>Supply</t>
        </is>
      </c>
      <c r="D21" s="11" t="inlineStr">
        <is>
          <t>Mt</t>
        </is>
      </c>
      <c r="E21" s="14" t="n">
        <v>139.15</v>
      </c>
      <c r="F21" s="14" t="n">
        <v>146.69</v>
      </c>
      <c r="G21" s="14" t="n">
        <v>161.74</v>
      </c>
      <c r="H21" s="14" t="n">
        <v>161.74</v>
      </c>
      <c r="I21" s="11" t="inlineStr">
        <is>
          <t>FY2026</t>
        </is>
      </c>
      <c r="J21" s="11" t="inlineStr">
        <is>
          <t>Annual (FY)</t>
        </is>
      </c>
      <c r="K21" s="11" t="inlineStr">
        <is>
          <t>S02</t>
        </is>
      </c>
      <c r="L21" s="12" t="inlineStr">
        <is>
          <t>As reported</t>
        </is>
      </c>
      <c r="M21" s="11" t="inlineStr">
        <is>
          <t>High</t>
        </is>
      </c>
      <c r="N21" s="12" t="inlineStr">
        <is>
          <t>The relevant supply measure for the finished steel balance and for market-share work.</t>
        </is>
      </c>
    </row>
    <row r="22">
      <c r="A22" s="11" t="inlineStr">
        <is>
          <t>K05</t>
        </is>
      </c>
      <c r="B22" s="11" t="inlineStr">
        <is>
          <t>Apparent finished steel consumption</t>
        </is>
      </c>
      <c r="C22" s="11" t="inlineStr">
        <is>
          <t>Demand</t>
        </is>
      </c>
      <c r="D22" s="11" t="inlineStr">
        <is>
          <t>Mt</t>
        </is>
      </c>
      <c r="E22" s="14" t="n">
        <v>136.29</v>
      </c>
      <c r="F22" s="14" t="n">
        <v>152.13</v>
      </c>
      <c r="G22" s="14" t="n">
        <v>164.19</v>
      </c>
      <c r="H22" s="14" t="n">
        <v>41.57</v>
      </c>
      <c r="I22" s="11" t="inlineStr">
        <is>
          <t>Q1 FY2027</t>
        </is>
      </c>
      <c r="J22" s="11" t="inlineStr">
        <is>
          <t>Annual (FY); latest is a quarter</t>
        </is>
      </c>
      <c r="K22" s="11" t="inlineStr">
        <is>
          <t>S02, S05</t>
        </is>
      </c>
      <c r="L22" s="12" t="inlineStr">
        <is>
          <t>As reported</t>
        </is>
      </c>
      <c r="M22" s="11" t="inlineStr">
        <is>
          <t>High</t>
        </is>
      </c>
      <c r="N22" s="12" t="inlineStr">
        <is>
          <t>The demand anchor. Grew at a 10.6% CAGR over FY2022-FY2026. Latest quarter shows 8.3% year-on-year growth.</t>
        </is>
      </c>
    </row>
    <row r="23">
      <c r="A23" s="11" t="inlineStr">
        <is>
          <t>K06</t>
        </is>
      </c>
      <c r="B23" s="11" t="inlineStr">
        <is>
          <t>Finished steel consumption growth</t>
        </is>
      </c>
      <c r="C23" s="11" t="inlineStr">
        <is>
          <t>Demand</t>
        </is>
      </c>
      <c r="D23" s="11" t="inlineStr">
        <is>
          <t>%</t>
        </is>
      </c>
      <c r="E23" s="14" t="n">
        <v>0.137</v>
      </c>
      <c r="F23" s="14" t="n">
        <v>0.1162</v>
      </c>
      <c r="G23" s="14" t="n">
        <v>0.079</v>
      </c>
      <c r="H23" s="14" t="n">
        <v>0.083</v>
      </c>
      <c r="I23" s="11" t="inlineStr">
        <is>
          <t>Q1 FY2027</t>
        </is>
      </c>
      <c r="J23" s="11" t="inlineStr">
        <is>
          <t>Annual (FY); latest is a quarter</t>
        </is>
      </c>
      <c r="K23" s="11" t="inlineStr">
        <is>
          <t>S02, S05</t>
        </is>
      </c>
      <c r="L23" s="12" t="inlineStr">
        <is>
          <t>As reported</t>
        </is>
      </c>
      <c r="M23" s="11" t="inlineStr">
        <is>
          <t>High</t>
        </is>
      </c>
      <c r="N23" s="12" t="inlineStr">
        <is>
          <t>Decelerating on the annual view from 13.7% to 7.9%, but the latest quarter re-accelerated to 8.3%. The most important single forward indicator in the sector.</t>
        </is>
      </c>
    </row>
    <row r="24">
      <c r="A24" s="11" t="inlineStr">
        <is>
          <t>K07</t>
        </is>
      </c>
      <c r="B24" s="11" t="inlineStr">
        <is>
          <t>Per capita finished steel consumption</t>
        </is>
      </c>
      <c r="C24" s="11" t="inlineStr">
        <is>
          <t>Demand</t>
        </is>
      </c>
      <c r="D24" s="11" t="inlineStr">
        <is>
          <t>kg</t>
        </is>
      </c>
      <c r="E24" s="15" t="n"/>
      <c r="F24" s="15" t="n"/>
      <c r="G24" s="14" t="n">
        <v>115.7</v>
      </c>
      <c r="H24" s="14" t="n">
        <v>115.7</v>
      </c>
      <c r="I24" s="11" t="inlineStr">
        <is>
          <t>FY2026</t>
        </is>
      </c>
      <c r="J24" s="11" t="inlineStr">
        <is>
          <t>Annual (FY)</t>
        </is>
      </c>
      <c r="K24" s="11" t="inlineStr">
        <is>
          <t>S03</t>
        </is>
      </c>
      <c r="L24" s="12" t="inlineStr">
        <is>
          <t>As reported</t>
        </is>
      </c>
      <c r="M24" s="11" t="inlineStr">
        <is>
          <t>High</t>
        </is>
      </c>
      <c r="N24" s="12" t="inlineStr">
        <is>
          <t>Roughly half the world average of 215 kg and about a fifth of China's 604 kg. The quantitative core of the multi-decade India demand thesis.</t>
        </is>
      </c>
    </row>
    <row r="25">
      <c r="A25" s="11" t="inlineStr">
        <is>
          <t>K08</t>
        </is>
      </c>
      <c r="B25" s="11" t="inlineStr">
        <is>
          <t>Sponge iron (DRI) production</t>
        </is>
      </c>
      <c r="C25" s="11" t="inlineStr">
        <is>
          <t>Supply mix</t>
        </is>
      </c>
      <c r="D25" s="11" t="inlineStr">
        <is>
          <t>Mt</t>
        </is>
      </c>
      <c r="E25" s="14" t="n">
        <v>51.56</v>
      </c>
      <c r="F25" s="14" t="n">
        <v>55.76</v>
      </c>
      <c r="G25" s="14" t="n">
        <v>60.3</v>
      </c>
      <c r="H25" s="14" t="n">
        <v>60.3</v>
      </c>
      <c r="I25" s="11" t="inlineStr">
        <is>
          <t>FY2026</t>
        </is>
      </c>
      <c r="J25" s="11" t="inlineStr">
        <is>
          <t>Annual (FY)</t>
        </is>
      </c>
      <c r="K25" s="11" t="inlineStr">
        <is>
          <t>S02</t>
        </is>
      </c>
      <c r="L25" s="12" t="inlineStr">
        <is>
          <t>As reported</t>
        </is>
      </c>
      <c r="M25" s="11" t="inlineStr">
        <is>
          <t>High</t>
        </is>
      </c>
      <c r="N25" s="12" t="inlineStr">
        <is>
          <t>India is the world's largest DRI producer. DRI-EAF is exposed to thermal coal, gas and scrap rather than coking coal, which materially changes the sector's cost sensitivity relative to a BF-BOF-dominated industry.</t>
        </is>
      </c>
    </row>
    <row r="26">
      <c r="A26" s="11" t="inlineStr">
        <is>
          <t>K09</t>
        </is>
      </c>
      <c r="B26" s="11" t="inlineStr">
        <is>
          <t>Pig iron production</t>
        </is>
      </c>
      <c r="C26" s="11" t="inlineStr">
        <is>
          <t>Supply mix</t>
        </is>
      </c>
      <c r="D26" s="11" t="inlineStr">
        <is>
          <t>Mt</t>
        </is>
      </c>
      <c r="E26" s="14" t="n">
        <v>7.36</v>
      </c>
      <c r="F26" s="14" t="n">
        <v>8.33</v>
      </c>
      <c r="G26" s="14" t="n">
        <v>8.369999999999999</v>
      </c>
      <c r="H26" s="14" t="n">
        <v>8.369999999999999</v>
      </c>
      <c r="I26" s="11" t="inlineStr">
        <is>
          <t>FY2026</t>
        </is>
      </c>
      <c r="J26" s="11" t="inlineStr">
        <is>
          <t>Annual (FY)</t>
        </is>
      </c>
      <c r="K26" s="11" t="inlineStr">
        <is>
          <t>S02</t>
        </is>
      </c>
      <c r="L26" s="12" t="inlineStr">
        <is>
          <t>As reported</t>
        </is>
      </c>
      <c r="M26" s="11" t="inlineStr">
        <is>
          <t>High</t>
        </is>
      </c>
      <c r="N26" s="12" t="inlineStr">
        <is>
          <t>Structurally declining in share. A read on merchant foundry and casting demand.</t>
        </is>
      </c>
    </row>
    <row r="27">
      <c r="A27" s="11" t="inlineStr">
        <is>
          <t>K10</t>
        </is>
      </c>
      <c r="B27" s="11" t="inlineStr">
        <is>
          <t>Finished steel imports</t>
        </is>
      </c>
      <c r="C27" s="11" t="inlineStr">
        <is>
          <t>Trade</t>
        </is>
      </c>
      <c r="D27" s="11" t="inlineStr">
        <is>
          <t>Mt</t>
        </is>
      </c>
      <c r="E27" s="14" t="n">
        <v>8.32</v>
      </c>
      <c r="F27" s="14" t="n">
        <v>9.551</v>
      </c>
      <c r="G27" s="14" t="n">
        <v>6.524</v>
      </c>
      <c r="H27" s="14" t="n">
        <v>6.524</v>
      </c>
      <c r="I27" s="11" t="inlineStr">
        <is>
          <t>FY2026</t>
        </is>
      </c>
      <c r="J27" s="11" t="inlineStr">
        <is>
          <t>Annual (FY)</t>
        </is>
      </c>
      <c r="K27" s="11" t="inlineStr">
        <is>
          <t>S02</t>
        </is>
      </c>
      <c r="L27" s="12" t="inlineStr">
        <is>
          <t>As reported</t>
        </is>
      </c>
      <c r="M27" s="11" t="inlineStr">
        <is>
          <t>High</t>
        </is>
      </c>
      <c r="N27" s="12" t="inlineStr">
        <is>
          <t>Down 31.7% in FY2026. The most direct measure of the safeguard duty's effect.</t>
        </is>
      </c>
    </row>
    <row r="28">
      <c r="A28" s="11" t="inlineStr">
        <is>
          <t>K11</t>
        </is>
      </c>
      <c r="B28" s="11" t="inlineStr">
        <is>
          <t>Finished steel exports</t>
        </is>
      </c>
      <c r="C28" s="11" t="inlineStr">
        <is>
          <t>Trade</t>
        </is>
      </c>
      <c r="D28" s="11" t="inlineStr">
        <is>
          <t>Mt</t>
        </is>
      </c>
      <c r="E28" s="14" t="n">
        <v>7.487</v>
      </c>
      <c r="F28" s="14" t="n">
        <v>4.858</v>
      </c>
      <c r="G28" s="14" t="n">
        <v>6.602</v>
      </c>
      <c r="H28" s="14" t="n">
        <v>6.602</v>
      </c>
      <c r="I28" s="11" t="inlineStr">
        <is>
          <t>FY2026</t>
        </is>
      </c>
      <c r="J28" s="11" t="inlineStr">
        <is>
          <t>Annual (FY)</t>
        </is>
      </c>
      <c r="K28" s="11" t="inlineStr">
        <is>
          <t>S02</t>
        </is>
      </c>
      <c r="L28" s="12" t="inlineStr">
        <is>
          <t>As reported</t>
        </is>
      </c>
      <c r="M28" s="11" t="inlineStr">
        <is>
          <t>High</t>
        </is>
      </c>
      <c r="N28" s="12" t="inlineStr">
        <is>
          <t>Up 35.9% in FY2026 from a decade low.</t>
        </is>
      </c>
    </row>
    <row r="29">
      <c r="A29" s="11" t="inlineStr">
        <is>
          <t>K12</t>
        </is>
      </c>
      <c r="B29" s="11" t="inlineStr">
        <is>
          <t>Net trade position (exports less imports)</t>
        </is>
      </c>
      <c r="C29" s="11" t="inlineStr">
        <is>
          <t>Trade</t>
        </is>
      </c>
      <c r="D29" s="11" t="inlineStr">
        <is>
          <t>Mt</t>
        </is>
      </c>
      <c r="E29" s="14" t="n">
        <v>-0.833</v>
      </c>
      <c r="F29" s="14" t="n">
        <v>-4.693</v>
      </c>
      <c r="G29" s="14" t="n">
        <v>0.078</v>
      </c>
      <c r="H29" s="14" t="n">
        <v>0.06</v>
      </c>
      <c r="I29" s="11" t="inlineStr">
        <is>
          <t>Mar-2026</t>
        </is>
      </c>
      <c r="J29" s="11" t="inlineStr">
        <is>
          <t>Annual (FY); latest is a month</t>
        </is>
      </c>
      <c r="K29" s="11" t="inlineStr">
        <is>
          <t>S01, S02</t>
        </is>
      </c>
      <c r="L29" s="12" t="inlineStr">
        <is>
          <t>Computed from reported imports and exports</t>
        </is>
      </c>
      <c r="M29" s="11" t="inlineStr">
        <is>
          <t>High</t>
        </is>
      </c>
      <c r="N29" s="12" t="inlineStr">
        <is>
          <t>India swung from a 4.69 Mt net import position in FY2025 to a 0.08 Mt net export position in FY2026 - a 4.77 Mt swing in one year. This determines whether domestic prices set at import parity or export parity, which drives the entire domestic price deck.</t>
        </is>
      </c>
    </row>
    <row r="30">
      <c r="A30" s="11" t="inlineStr">
        <is>
          <t>K13</t>
        </is>
      </c>
      <c r="B30" s="11" t="inlineStr">
        <is>
          <t>Import penetration (imports as % of consumption)</t>
        </is>
      </c>
      <c r="C30" s="11" t="inlineStr">
        <is>
          <t>Trade</t>
        </is>
      </c>
      <c r="D30" s="11" t="inlineStr">
        <is>
          <t>%</t>
        </is>
      </c>
      <c r="E30" s="14" t="n">
        <v>0.061</v>
      </c>
      <c r="F30" s="14" t="n">
        <v>0.06279999999999999</v>
      </c>
      <c r="G30" s="14" t="n">
        <v>0.0397</v>
      </c>
      <c r="H30" s="14" t="n">
        <v>0.0397</v>
      </c>
      <c r="I30" s="11" t="inlineStr">
        <is>
          <t>FY2026</t>
        </is>
      </c>
      <c r="J30" s="11" t="inlineStr">
        <is>
          <t>Annual (FY)</t>
        </is>
      </c>
      <c r="K30" s="11" t="inlineStr">
        <is>
          <t>S02</t>
        </is>
      </c>
      <c r="L30" s="12" t="inlineStr">
        <is>
          <t>Computed: imports divided by consumption</t>
        </is>
      </c>
      <c r="M30" s="11" t="inlineStr">
        <is>
          <t>High</t>
        </is>
      </c>
      <c r="N30" s="12" t="inlineStr">
        <is>
          <t>Fell from 6.3% to 4.0%. Below 5% is generally consistent with domestic producers retaining pricing power.</t>
        </is>
      </c>
    </row>
    <row r="31">
      <c r="A31" s="11" t="inlineStr">
        <is>
          <t>K14</t>
        </is>
      </c>
      <c r="B31" s="11" t="inlineStr">
        <is>
          <t>Export intensity (exports as % of production)</t>
        </is>
      </c>
      <c r="C31" s="11" t="inlineStr">
        <is>
          <t>Trade</t>
        </is>
      </c>
      <c r="D31" s="11" t="inlineStr">
        <is>
          <t>%</t>
        </is>
      </c>
      <c r="E31" s="14" t="n">
        <v>0.0538</v>
      </c>
      <c r="F31" s="14" t="n">
        <v>0.0331</v>
      </c>
      <c r="G31" s="14" t="n">
        <v>0.0408</v>
      </c>
      <c r="H31" s="14" t="n">
        <v>0.0408</v>
      </c>
      <c r="I31" s="11" t="inlineStr">
        <is>
          <t>FY2026</t>
        </is>
      </c>
      <c r="J31" s="11" t="inlineStr">
        <is>
          <t>Annual (FY)</t>
        </is>
      </c>
      <c r="K31" s="11" t="inlineStr">
        <is>
          <t>S02</t>
        </is>
      </c>
      <c r="L31" s="12" t="inlineStr">
        <is>
          <t>Computed: exports divided by finished steel production</t>
        </is>
      </c>
      <c r="M31" s="11" t="inlineStr">
        <is>
          <t>High</t>
        </is>
      </c>
      <c r="N31" s="12" t="inlineStr">
        <is>
          <t>India remains a fundamentally domestic market: only ~4% of finished output is exported, so global steel prices matter through the import channel rather than the export channel.</t>
        </is>
      </c>
    </row>
    <row r="32">
      <c r="A32" s="11" t="inlineStr">
        <is>
          <t>K15</t>
        </is>
      </c>
      <c r="B32" s="11" t="inlineStr">
        <is>
          <t>Iron ore price, 62% Fe fines CFR China</t>
        </is>
      </c>
      <c r="C32" s="11" t="inlineStr">
        <is>
          <t>Input cost</t>
        </is>
      </c>
      <c r="D32" s="11" t="inlineStr">
        <is>
          <t>US$/dmt</t>
        </is>
      </c>
      <c r="E32" s="14" t="n">
        <v>119.91</v>
      </c>
      <c r="F32" s="14" t="n">
        <v>103.97</v>
      </c>
      <c r="G32" s="14" t="n">
        <v>100.52</v>
      </c>
      <c r="H32" s="14" t="n">
        <v>105.17</v>
      </c>
      <c r="I32" s="11" t="inlineStr">
        <is>
          <t>Q1 FY2027</t>
        </is>
      </c>
      <c r="J32" s="11" t="inlineStr">
        <is>
          <t>Annual (FY) average; latest is a quarter average</t>
        </is>
      </c>
      <c r="K32" s="11" t="inlineStr">
        <is>
          <t>S17</t>
        </is>
      </c>
      <c r="L32" s="12" t="inlineStr">
        <is>
          <t>Computed: average of World Bank monthly nominal series</t>
        </is>
      </c>
      <c r="M32" s="11" t="inlineStr">
        <is>
          <t>High</t>
        </is>
      </c>
      <c r="N32" s="12" t="inlineStr">
        <is>
          <t>Down for a third consecutive year, a persistent tailwind for non-integrated producers and a headwind for iron-ore-integrated names such as Godawari Power and NMDC.</t>
        </is>
      </c>
    </row>
    <row r="33">
      <c r="A33" s="11" t="inlineStr">
        <is>
          <t>K16</t>
        </is>
      </c>
      <c r="B33" s="11" t="inlineStr">
        <is>
          <t>Premium HCC coking coal, FOB Australia</t>
        </is>
      </c>
      <c r="C33" s="11" t="inlineStr">
        <is>
          <t>Input cost</t>
        </is>
      </c>
      <c r="D33" s="11" t="inlineStr">
        <is>
          <t>US$/t</t>
        </is>
      </c>
      <c r="E33" s="15" t="n"/>
      <c r="F33" s="15" t="n"/>
      <c r="G33" s="15" t="n"/>
      <c r="H33" s="14" t="n">
        <v>225</v>
      </c>
      <c r="I33" s="11" t="inlineStr">
        <is>
          <t>Mar-2026</t>
        </is>
      </c>
      <c r="J33" s="11" t="inlineStr">
        <is>
          <t>Month</t>
        </is>
      </c>
      <c r="K33" s="11" t="inlineStr">
        <is>
          <t>S01</t>
        </is>
      </c>
      <c r="L33" s="12" t="inlineStr">
        <is>
          <t>As reported (Ministry of Steel assessment)</t>
        </is>
      </c>
      <c r="M33" s="11" t="inlineStr">
        <is>
          <t>Medium</t>
        </is>
      </c>
      <c r="N33" s="12" t="inlineStr">
        <is>
          <t>NO FISCAL-YEAR AVERAGE IS ASSERTED - see Conflict C01. The available observations show a rise from a ~USD 175/t trough in Mar-2025 to ~USD 246/t in Feb-2026 before easing to ~USD 225/t in Mar-2026. This is the dominant swing factor in BF-BOF cost and the reason Q4FY2026 margin commentary was cost-focused across the integrated names.</t>
        </is>
      </c>
    </row>
    <row r="34">
      <c r="A34" s="11" t="inlineStr">
        <is>
          <t>K17</t>
        </is>
      </c>
      <c r="B34" s="11" t="inlineStr">
        <is>
          <t>Australian thermal coal, FOB Newcastle</t>
        </is>
      </c>
      <c r="C34" s="11" t="inlineStr">
        <is>
          <t>Input cost</t>
        </is>
      </c>
      <c r="D34" s="11" t="inlineStr">
        <is>
          <t>US$/mt</t>
        </is>
      </c>
      <c r="E34" s="14" t="n">
        <v>145.1</v>
      </c>
      <c r="F34" s="14" t="n">
        <v>131.89</v>
      </c>
      <c r="G34" s="14" t="n">
        <v>111.5</v>
      </c>
      <c r="H34" s="14" t="n">
        <v>135.43</v>
      </c>
      <c r="I34" s="11" t="inlineStr">
        <is>
          <t>Q1 FY2027</t>
        </is>
      </c>
      <c r="J34" s="11" t="inlineStr">
        <is>
          <t>Annual (FY) average; latest is a quarter average</t>
        </is>
      </c>
      <c r="K34" s="11" t="inlineStr">
        <is>
          <t>S17</t>
        </is>
      </c>
      <c r="L34" s="12" t="inlineStr">
        <is>
          <t>Computed: average of World Bank monthly nominal series</t>
        </is>
      </c>
      <c r="M34" s="11" t="inlineStr">
        <is>
          <t>High</t>
        </is>
      </c>
      <c r="N34" s="12" t="inlineStr">
        <is>
          <t>THERMAL, not coking coal. Fell through FY2026 but rose 30% into Q1FY2027 versus Q1FY2026, a fresh headwind for DRI-EAF and captive-power-heavy producers.</t>
        </is>
      </c>
    </row>
    <row r="35">
      <c r="A35" s="11" t="inlineStr">
        <is>
          <t>K18</t>
        </is>
      </c>
      <c r="B35" s="11" t="inlineStr">
        <is>
          <t>Domestic HRC price</t>
        </is>
      </c>
      <c r="C35" s="11" t="inlineStr">
        <is>
          <t>Realisation</t>
        </is>
      </c>
      <c r="D35" s="11" t="inlineStr">
        <is>
          <t>Rs/t</t>
        </is>
      </c>
      <c r="E35" s="15" t="n"/>
      <c r="F35" s="15" t="n"/>
      <c r="G35" s="14" t="n">
        <v>57700</v>
      </c>
      <c r="H35" s="14" t="n">
        <v>58200</v>
      </c>
      <c r="I35" s="11" t="inlineStr">
        <is>
          <t>Week ended 22-Jun-2026</t>
        </is>
      </c>
      <c r="J35" s="11" t="inlineStr">
        <is>
          <t>Point-in-time</t>
        </is>
      </c>
      <c r="K35" s="11" t="inlineStr">
        <is>
          <t>S19, S21</t>
        </is>
      </c>
      <c r="L35" s="12" t="inlineStr">
        <is>
          <t>As reported</t>
        </is>
      </c>
      <c r="M35" s="11" t="inlineStr">
        <is>
          <t>Medium</t>
        </is>
      </c>
      <c r="N35" s="12" t="inlineStr">
        <is>
          <t>FY2026 column shows the ICRA end-March 2026 assessment. The 52-week range of Rs 45,700-59,600/t is a ~30% swing, which is the single largest source of FY2027 earnings uncertainty in the sector.</t>
        </is>
      </c>
    </row>
    <row r="36">
      <c r="A36" s="11" t="inlineStr">
        <is>
          <t>K19</t>
        </is>
      </c>
      <c r="B36" s="11" t="inlineStr">
        <is>
          <t>India-China HRC spread</t>
        </is>
      </c>
      <c r="C36" s="11" t="inlineStr">
        <is>
          <t>Realisation</t>
        </is>
      </c>
      <c r="D36" s="11" t="inlineStr">
        <is>
          <t>Rs/t</t>
        </is>
      </c>
      <c r="E36" s="15" t="n"/>
      <c r="F36" s="15" t="n"/>
      <c r="G36" s="15" t="n"/>
      <c r="H36" s="14" t="n">
        <v>9620</v>
      </c>
      <c r="I36" s="11" t="inlineStr">
        <is>
          <t>Week ended 22-Jun-2026</t>
        </is>
      </c>
      <c r="J36" s="11" t="inlineStr">
        <is>
          <t>Point-in-time</t>
        </is>
      </c>
      <c r="K36" s="11" t="inlineStr">
        <is>
          <t>S21</t>
        </is>
      </c>
      <c r="L36" s="12" t="inlineStr">
        <is>
          <t>Computed: Indian HRC less China HRC FOB, both as converted to INR by the source</t>
        </is>
      </c>
      <c r="M36" s="11" t="inlineStr">
        <is>
          <t>Medium</t>
        </is>
      </c>
      <c r="N36" s="12" t="inlineStr">
        <is>
          <t>A ~20% premium. This spread is what the safeguard duty defends; if it widens materially further, pressure to dilute the duty at the mid-term review will grow.</t>
        </is>
      </c>
    </row>
    <row r="37">
      <c r="A37" s="11" t="inlineStr">
        <is>
          <t>K20</t>
        </is>
      </c>
      <c r="B37" s="11" t="inlineStr">
        <is>
          <t>Number of companies in coverage universe</t>
        </is>
      </c>
      <c r="C37" s="11" t="inlineStr">
        <is>
          <t>Coverage</t>
        </is>
      </c>
      <c r="D37" s="11" t="inlineStr">
        <is>
          <t>Number</t>
        </is>
      </c>
      <c r="E37" s="14" t="n">
        <v>15</v>
      </c>
      <c r="F37" s="14" t="n">
        <v>15</v>
      </c>
      <c r="G37" s="14" t="n">
        <v>15</v>
      </c>
      <c r="H37" s="14" t="n">
        <v>15</v>
      </c>
      <c r="I37" s="11" t="inlineStr">
        <is>
          <t>FY2026</t>
        </is>
      </c>
      <c r="J37" s="11" t="inlineStr">
        <is>
          <t>Point-in-time</t>
        </is>
      </c>
      <c r="K37" s="11" t="inlineStr">
        <is>
          <t>S30</t>
        </is>
      </c>
      <c r="L37" s="12" t="inlineStr">
        <is>
          <t>Computed</t>
        </is>
      </c>
      <c r="M37" s="11" t="inlineStr">
        <is>
          <t>High</t>
        </is>
      </c>
      <c r="N37" s="12" t="inlineStr">
        <is>
          <t>Seven Core Coverage and eight Supporting Coverage names, of which twelve are listed, one is an unlisted joint venture, one is an unlisted state-owned enterprise and two are delisted.</t>
        </is>
      </c>
    </row>
    <row r="38">
      <c r="A38" s="11" t="inlineStr">
        <is>
          <t>K21</t>
        </is>
      </c>
      <c r="B38" s="11" t="inlineStr">
        <is>
          <t>Aggregate coverage revenue (listed Indian names, consolidated)</t>
        </is>
      </c>
      <c r="C38" s="11" t="inlineStr">
        <is>
          <t>Coverage</t>
        </is>
      </c>
      <c r="D38" s="11" t="inlineStr">
        <is>
          <t>Rs crore</t>
        </is>
      </c>
      <c r="E38" s="15" t="n"/>
      <c r="F38" s="15" t="n"/>
      <c r="G38" s="14" t="n">
        <v>693921</v>
      </c>
      <c r="H38" s="14" t="n">
        <v>693921</v>
      </c>
      <c r="I38" s="11" t="inlineStr">
        <is>
          <t>FY2026</t>
        </is>
      </c>
      <c r="J38" s="11" t="inlineStr">
        <is>
          <t>Annual (FY)</t>
        </is>
      </c>
      <c r="K38" s="11" t="inlineStr">
        <is>
          <t>S30</t>
        </is>
      </c>
      <c r="L38" s="12" t="inlineStr">
        <is>
          <t>Computed: sum of FY2026 revenue from operations for the eleven listed names with data</t>
        </is>
      </c>
      <c r="M38" s="11" t="inlineStr">
        <is>
          <t>Medium</t>
        </is>
      </c>
      <c r="N38" s="12" t="inlineStr">
        <is>
          <t>Sum of Tata Steel, JSW Steel, SAIL, Jindal Steel, Jindal Stainless, Shyam Metalics, Godawari Power, APL Apollo, Mukand, Gallantt and Kirloskar Ferrous. Excludes AM/NS India (USD, calendar year), RINL, Uttam Galva and Electrosteel. Not an industry total - it double-counts nothing but omits the large secondary sector.</t>
        </is>
      </c>
    </row>
    <row r="39">
      <c r="A39" s="11" t="inlineStr">
        <is>
          <t>K22</t>
        </is>
      </c>
      <c r="B39" s="11" t="inlineStr">
        <is>
          <t>PLI Specialty Steel investment realised</t>
        </is>
      </c>
      <c r="C39" s="11" t="inlineStr">
        <is>
          <t>Policy</t>
        </is>
      </c>
      <c r="D39" s="11" t="inlineStr">
        <is>
          <t>Rs crore</t>
        </is>
      </c>
      <c r="E39" s="15" t="n"/>
      <c r="F39" s="15" t="n"/>
      <c r="G39" s="14" t="n">
        <v>23827</v>
      </c>
      <c r="H39" s="14" t="n">
        <v>23827</v>
      </c>
      <c r="I39" s="11" t="inlineStr">
        <is>
          <t>24-Mar-2026</t>
        </is>
      </c>
      <c r="J39" s="11" t="inlineStr">
        <is>
          <t>Point-in-time</t>
        </is>
      </c>
      <c r="K39" s="11" t="inlineStr">
        <is>
          <t>S24</t>
        </is>
      </c>
      <c r="L39" s="12" t="inlineStr">
        <is>
          <t>As reported</t>
        </is>
      </c>
      <c r="M39" s="11" t="inlineStr">
        <is>
          <t>High</t>
        </is>
      </c>
      <c r="N39" s="12" t="inlineStr">
        <is>
          <t>Against Rs 55,993 crore committed, i.e. 42.6% realised. The gap is the pipeline of specialty steel capacity still to be built and is a direct read on import substitution in electrical and high-strength steels.</t>
        </is>
      </c>
    </row>
    <row r="40">
      <c r="A40" s="11" t="inlineStr">
        <is>
          <t>K23</t>
        </is>
      </c>
      <c r="B40" s="11" t="inlineStr">
        <is>
          <t>Safeguard duty rate in force</t>
        </is>
      </c>
      <c r="C40" s="11" t="inlineStr">
        <is>
          <t>Policy</t>
        </is>
      </c>
      <c r="D40" s="11" t="inlineStr">
        <is>
          <t>%</t>
        </is>
      </c>
      <c r="E40" s="15" t="n"/>
      <c r="F40" s="14" t="n">
        <v>0.12</v>
      </c>
      <c r="G40" s="14" t="n">
        <v>0.12</v>
      </c>
      <c r="H40" s="14" t="n">
        <v>0.115</v>
      </c>
      <c r="I40" s="11" t="inlineStr">
        <is>
          <t>From 21-Apr-2026</t>
        </is>
      </c>
      <c r="J40" s="11" t="inlineStr">
        <is>
          <t>Point-in-time</t>
        </is>
      </c>
      <c r="K40" s="11" t="inlineStr">
        <is>
          <t>S27</t>
        </is>
      </c>
      <c r="L40" s="12" t="inlineStr">
        <is>
          <t>As reported</t>
        </is>
      </c>
      <c r="M40" s="11" t="inlineStr">
        <is>
          <t>High</t>
        </is>
      </c>
      <c r="N40" s="12" t="inlineStr">
        <is>
          <t>12% applied for year 1 (21-Apr-2025 to 20-Apr-2026); 11.5% applies for year 2 from 21-Apr-2026; 11% for year 3. A mid-term review is provided for and is the key policy monitorable for FY2027.</t>
        </is>
      </c>
    </row>
    <row r="41">
      <c r="A41" s="11" t="inlineStr">
        <is>
          <t>K24</t>
        </is>
      </c>
      <c r="B41" s="11" t="inlineStr">
        <is>
          <t>Green steel threshold</t>
        </is>
      </c>
      <c r="C41" s="11" t="inlineStr">
        <is>
          <t>Policy / ESG</t>
        </is>
      </c>
      <c r="D41" s="11" t="inlineStr">
        <is>
          <t>tCO2e/tfs</t>
        </is>
      </c>
      <c r="E41" s="15" t="n"/>
      <c r="F41" s="14" t="n">
        <v>2.2</v>
      </c>
      <c r="G41" s="14" t="n">
        <v>2.2</v>
      </c>
      <c r="H41" s="14" t="n">
        <v>2.2</v>
      </c>
      <c r="I41" s="11" t="inlineStr">
        <is>
          <t>In force</t>
        </is>
      </c>
      <c r="J41" s="11" t="inlineStr">
        <is>
          <t>Point-in-time</t>
        </is>
      </c>
      <c r="K41" s="11" t="inlineStr">
        <is>
          <t>S25, S46</t>
        </is>
      </c>
      <c r="L41" s="12" t="inlineStr">
        <is>
          <t>As reported</t>
        </is>
      </c>
      <c r="M41" s="11" t="inlineStr">
        <is>
          <t>High</t>
        </is>
      </c>
      <c r="N41" s="12" t="inlineStr">
        <is>
          <t>Steel below 2.2 tCO2e per tonne of finished steel qualifies as green, with 5-star below 1.6, 4-star 1.6-2.0 and 3-star 2.0-2.2. Sets the measurement basis for future green procurement and for CBAM documentation.</t>
        </is>
      </c>
    </row>
    <row r="43">
      <c r="A43" s="13" t="inlineStr">
        <is>
          <t>K16, premium HCC coking coal, deliberately shows no fiscal-year values: no defensible fiscal-year average exists in the public domain - see Conflict C01. K03 uses year-end capacity as the denominator and therefore understates true utilisation in years of heavy commissioning. K21 is a coverage aggregate, not an industry total: it omits AM/NS India, RINL and the large secondary sector.</t>
        </is>
      </c>
    </row>
  </sheetData>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tabColor rgb="001F3864"/>
    <outlinePr summaryBelow="1" summaryRight="1"/>
    <pageSetUpPr fitToPage="1"/>
  </sheetPr>
  <dimension ref="A1:L66"/>
  <sheetViews>
    <sheetView showGridLines="0" workbookViewId="0">
      <pane xSplit="11" ySplit="17" topLeftCell="L18"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40" customWidth="1" min="3" max="3"/>
    <col width="52" customWidth="1" min="4" max="4"/>
    <col width="66" customWidth="1" min="5" max="5"/>
    <col width="34" customWidth="1" min="6" max="6"/>
    <col width="56" customWidth="1" min="7" max="7"/>
    <col width="34" customWidth="1" min="8" max="8"/>
    <col width="96" customWidth="1" min="9" max="9"/>
    <col width="60" customWidth="1" min="10" max="10"/>
    <col width="14" customWidth="1" min="11" max="11"/>
    <col width="90" customWidth="1" min="12" max="12"/>
  </cols>
  <sheetData>
    <row r="1" ht="19" customHeight="1">
      <c r="A1" s="1" t="inlineStr">
        <is>
          <t>14. Sources</t>
        </is>
      </c>
    </row>
    <row r="2">
      <c r="A2" s="4" t="inlineStr">
        <is>
          <t>Master Industry Database  |  Indian Steel Industry  |  Data cutoff: 03-Aug-2026</t>
        </is>
      </c>
    </row>
    <row r="3">
      <c r="A3" s="3" t="inlineStr"/>
    </row>
    <row r="4">
      <c r="A4" s="4" t="inlineStr">
        <is>
          <t>OBJECTIVE</t>
        </is>
      </c>
    </row>
    <row r="5">
      <c r="A5" s="3" t="inlineStr">
        <is>
          <t>The authority record for the workbook. Every figure on every sheet carries a Source ID that resolves to exactly one row here, giving publisher, publication, date, section or page, period covered, URL and verification status.</t>
        </is>
      </c>
    </row>
    <row r="6">
      <c r="A6" s="4" t="inlineStr">
        <is>
          <t>UNITS AND CURRENCY</t>
        </is>
      </c>
    </row>
    <row r="7">
      <c r="A7" s="3" t="inlineStr">
        <is>
          <t>Not applicable - reference sheet.</t>
        </is>
      </c>
    </row>
    <row r="8">
      <c r="A8" s="4" t="inlineStr">
        <is>
          <t>COVERAGE AND HISTORICAL DEPTH</t>
        </is>
      </c>
    </row>
    <row r="9">
      <c r="A9" s="3" t="inlineStr">
        <is>
          <t>47 sources. Source IDs are stable and must never be re-pointed at a different document; if a document is superseded, add a new ID and retire the old one.</t>
        </is>
      </c>
    </row>
    <row r="10">
      <c r="A10" s="4" t="inlineStr">
        <is>
          <t>DATA FREQUENCY</t>
        </is>
      </c>
    </row>
    <row r="11">
      <c r="A11" s="3" t="inlineStr">
        <is>
          <t>Updated whenever a figure is added or refreshed.</t>
        </is>
      </c>
    </row>
    <row r="12">
      <c r="A12" s="4" t="inlineStr">
        <is>
          <t>SOURCE HIERARCHY APPLIED</t>
        </is>
      </c>
    </row>
    <row r="13">
      <c r="A13" s="3" t="inlineStr">
        <is>
          <t>Not applicable - this sheet defines the hierarchy used elsewhere.</t>
        </is>
      </c>
    </row>
    <row r="14">
      <c r="A14" s="4" t="inlineStr">
        <is>
          <t>COLUMN RATIONALE</t>
        </is>
      </c>
    </row>
    <row r="15">
      <c r="A15" s="3" t="inlineStr">
        <is>
          <t>Tier classifies the source: 1 primary (issuer, government, official statistical agency), 2 secondary (rating agency, sell-side, price reporting agency), 3 tertiary (aggregator of filings, general press). Verification Status is explicit about what was actually done - whether a document was retrieved and parsed in full, or a figure was taken from a search snippet, or a value was reconciled arithmetically. This distinction is what allows a reviewer to decide how much weight a figure carries. Section or Page Reference is given so a figure can be re-found rather than re-hunted.</t>
        </is>
      </c>
    </row>
    <row r="16">
      <c r="A16" s="3" t="inlineStr"/>
    </row>
    <row r="17" ht="30" customHeight="1">
      <c r="A17" s="8" t="inlineStr">
        <is>
          <t>Source ID</t>
        </is>
      </c>
      <c r="B17" s="7" t="inlineStr">
        <is>
          <t>Tier</t>
        </is>
      </c>
      <c r="C17" s="8" t="inlineStr">
        <is>
          <t>Source Type</t>
        </is>
      </c>
      <c r="D17" s="8" t="inlineStr">
        <is>
          <t>Publisher / Issuer</t>
        </is>
      </c>
      <c r="E17" s="8" t="inlineStr">
        <is>
          <t>Publication</t>
        </is>
      </c>
      <c r="F17" s="8" t="inlineStr">
        <is>
          <t>Publication / Filing Date</t>
        </is>
      </c>
      <c r="G17" s="8" t="inlineStr">
        <is>
          <t>Section / Page Reference</t>
        </is>
      </c>
      <c r="H17" s="8" t="inlineStr">
        <is>
          <t>Period Covered</t>
        </is>
      </c>
      <c r="I17" s="8" t="inlineStr">
        <is>
          <t>URL</t>
        </is>
      </c>
      <c r="J17" s="8" t="inlineStr">
        <is>
          <t>Verification Status</t>
        </is>
      </c>
      <c r="K17" s="8" t="inlineStr">
        <is>
          <t>Access Date</t>
        </is>
      </c>
      <c r="L17" s="7" t="inlineStr">
        <is>
          <t>Notes</t>
        </is>
      </c>
    </row>
    <row r="18">
      <c r="A18" s="11" t="inlineStr">
        <is>
          <t>S01</t>
        </is>
      </c>
      <c r="B18" s="10" t="n">
        <v>1</v>
      </c>
      <c r="C18" s="11" t="inlineStr">
        <is>
          <t>Government statistical release</t>
        </is>
      </c>
      <c r="D18" s="11" t="inlineStr">
        <is>
          <t>Ministry of Steel, Government of India</t>
        </is>
      </c>
      <c r="E18" s="11" t="inlineStr">
        <is>
          <t>Monthly Economic Report for the month of March, 2026</t>
        </is>
      </c>
      <c r="F18" s="11" t="inlineStr">
        <is>
          <t>Apr-2026</t>
        </is>
      </c>
      <c r="G18" s="11" t="inlineStr">
        <is>
          <t>Paras 1-10; Annexure-I p.7; Annexure-II p.8; Annexure-III p.9</t>
        </is>
      </c>
      <c r="H18" s="11" t="inlineStr">
        <is>
          <t>FY2023-FY2026 (FY2026 provisional)</t>
        </is>
      </c>
      <c r="I18" s="12" t="inlineStr">
        <is>
          <t>https://www.steel.gov.in/sites/default/files/2026-04/Monthly%20Economic%20Report-%20March%202026%20(5).pdf</t>
        </is>
      </c>
      <c r="J18" s="12" t="inlineStr">
        <is>
          <t>Verified - full text retrieved and parsed</t>
        </is>
      </c>
      <c r="K18" s="11" t="inlineStr">
        <is>
          <t>03-Aug-2026</t>
        </is>
      </c>
      <c r="L18" s="12" t="inlineStr">
        <is>
          <t>Underlying data compiler is the Joint Plant Committee (JPC). This is the April-2026 data vintage.</t>
        </is>
      </c>
    </row>
    <row r="19">
      <c r="A19" s="11" t="inlineStr">
        <is>
          <t>S02</t>
        </is>
      </c>
      <c r="B19" s="10" t="n">
        <v>1</v>
      </c>
      <c r="C19" s="11" t="inlineStr">
        <is>
          <t>Government statistical release</t>
        </is>
      </c>
      <c r="D19" s="11" t="inlineStr">
        <is>
          <t>Ministry of Steel, Government of India</t>
        </is>
      </c>
      <c r="E19" s="11" t="inlineStr">
        <is>
          <t>Development of Indian Steel Sector since 2014-15</t>
        </is>
      </c>
      <c r="F19" s="11" t="inlineStr">
        <is>
          <t>Jun-2026</t>
        </is>
      </c>
      <c r="G19" s="11" t="inlineStr">
        <is>
          <t>Sections (a)-(e) and capacity paragraph, pp.1-14</t>
        </is>
      </c>
      <c r="H19" s="11" t="inlineStr">
        <is>
          <t>FY2015-FY2026 (FY2026 provisional)</t>
        </is>
      </c>
      <c r="I19" s="12" t="inlineStr">
        <is>
          <t>https://steel.gov.in/sites/default/files/2026-06/Development%20of%20Indian%20Steel%20Sector%20since%202014-15_0.pdf</t>
        </is>
      </c>
      <c r="J19" s="12" t="inlineStr">
        <is>
          <t>Verified - full text retrieved and parsed</t>
        </is>
      </c>
      <c r="K19" s="11" t="inlineStr">
        <is>
          <t>03-Aug-2026</t>
        </is>
      </c>
      <c r="L19" s="12" t="inlineStr">
        <is>
          <t>Later data vintage than S01; used for the long-run series. Bilingual document; English tables used.</t>
        </is>
      </c>
    </row>
    <row r="20">
      <c r="A20" s="11" t="inlineStr">
        <is>
          <t>S03</t>
        </is>
      </c>
      <c r="B20" s="10" t="n">
        <v>1</v>
      </c>
      <c r="C20" s="11" t="inlineStr">
        <is>
          <t>Government statistical release</t>
        </is>
      </c>
      <c r="D20" s="11" t="inlineStr">
        <is>
          <t>Ministry of Steel, Government of India</t>
        </is>
      </c>
      <c r="E20" s="11" t="inlineStr">
        <is>
          <t>An Overview of Steel Sector for the month of June, 2026</t>
        </is>
      </c>
      <c r="F20" s="11" t="inlineStr">
        <is>
          <t>Jul-2026</t>
        </is>
      </c>
      <c r="G20" s="11" t="inlineStr">
        <is>
          <t>Global Scenario; Domestic Scenario</t>
        </is>
      </c>
      <c r="H20" s="11" t="inlineStr">
        <is>
          <t>FY2026; CY2024-CY2025</t>
        </is>
      </c>
      <c r="I20" s="12" t="inlineStr">
        <is>
          <t>https://steel.gov.in/sites/default/files/2026-07/An%20Overview%20of%20Steel%20Sector%20for%20the%20month%20of%20June,%202026.pdf</t>
        </is>
      </c>
      <c r="J20" s="12" t="inlineStr">
        <is>
          <t>Verified - retrieved via search snippet and cross-checked against S02</t>
        </is>
      </c>
      <c r="K20" s="11" t="inlineStr">
        <is>
          <t>03-Aug-2026</t>
        </is>
      </c>
      <c r="L20" s="12" t="inlineStr">
        <is>
          <t>Source of crude steel capacity 220.4 Mt (FY2026) and per-capita consumption 115.7 kg (FY2026).</t>
        </is>
      </c>
    </row>
    <row r="21">
      <c r="A21" s="11" t="inlineStr">
        <is>
          <t>S04</t>
        </is>
      </c>
      <c r="B21" s="10" t="n">
        <v>1</v>
      </c>
      <c r="C21" s="11" t="inlineStr">
        <is>
          <t>Government statistical release</t>
        </is>
      </c>
      <c r="D21" s="11" t="inlineStr">
        <is>
          <t>Ministry of Steel, Government of India</t>
        </is>
      </c>
      <c r="E21" s="11" t="inlineStr">
        <is>
          <t>An Overview of Steel Sector (March 2026)</t>
        </is>
      </c>
      <c r="F21" s="11" t="inlineStr">
        <is>
          <t>Apr-2026</t>
        </is>
      </c>
      <c r="G21" s="11" t="inlineStr">
        <is>
          <t>Global Scenario; Domestic Scenario</t>
        </is>
      </c>
      <c r="H21" s="11" t="inlineStr">
        <is>
          <t>FY2026; CY2024-CY2025</t>
        </is>
      </c>
      <c r="I21" s="12" t="inlineStr">
        <is>
          <t>https://steel.gov.in/sites/default/files/2026-04/An%20Overview%20of%20Steel%20Sector%20(Mar.%202026)%20(2).pdf</t>
        </is>
      </c>
      <c r="J21" s="12" t="inlineStr">
        <is>
          <t>Verified - retrieved via search snippet</t>
        </is>
      </c>
      <c r="K21" s="11" t="inlineStr">
        <is>
          <t>03-Aug-2026</t>
        </is>
      </c>
      <c r="L21" s="12" t="inlineStr">
        <is>
          <t>Earlier vintage of S03; states capacity 220.3 Mt and per-capita 115 kg. Retained to evidence Conflict C04/C05.</t>
        </is>
      </c>
    </row>
    <row r="22">
      <c r="A22" s="11" t="inlineStr">
        <is>
          <t>S05</t>
        </is>
      </c>
      <c r="B22" s="10" t="n">
        <v>1</v>
      </c>
      <c r="C22" s="11" t="inlineStr">
        <is>
          <t>Government statistical release</t>
        </is>
      </c>
      <c r="D22" s="11" t="inlineStr">
        <is>
          <t>Ministry of Steel, Government of India</t>
        </is>
      </c>
      <c r="E22" s="11" t="inlineStr">
        <is>
          <t>Monthly Economic Report for the month of June, 2026</t>
        </is>
      </c>
      <c r="F22" s="11" t="inlineStr">
        <is>
          <t>Jul-2026</t>
        </is>
      </c>
      <c r="G22" s="11" t="inlineStr">
        <is>
          <t>Paras 1-4</t>
        </is>
      </c>
      <c r="H22" s="11" t="inlineStr">
        <is>
          <t>Q1 FY2027 (Apr-Jun 2026)</t>
        </is>
      </c>
      <c r="I22" s="12" t="inlineStr">
        <is>
          <t>https://steel.gov.in/sites/default/files/2026-07/Monthly%20Economic%20Report-%20June%202026%20(1).pdf</t>
        </is>
      </c>
      <c r="J22" s="12" t="inlineStr">
        <is>
          <t>Verified - retrieved via search snippet</t>
        </is>
      </c>
      <c r="K22" s="11" t="inlineStr">
        <is>
          <t>03-Aug-2026</t>
        </is>
      </c>
      <c r="L22" s="12" t="inlineStr">
        <is>
          <t>Latest available monthly vintage at the data cutoff. Source of Q1 FY2027 consumption 41.57 Mt.</t>
        </is>
      </c>
    </row>
    <row r="23">
      <c r="A23" s="11" t="inlineStr">
        <is>
          <t>S06</t>
        </is>
      </c>
      <c r="B23" s="10" t="n">
        <v>1</v>
      </c>
      <c r="C23" s="11" t="inlineStr">
        <is>
          <t>Government annual report</t>
        </is>
      </c>
      <c r="D23" s="11" t="inlineStr">
        <is>
          <t>Ministry of Steel, Government of India</t>
        </is>
      </c>
      <c r="E23" s="11" t="inlineStr">
        <is>
          <t>Annual Report 2025-26</t>
        </is>
      </c>
      <c r="F23" s="11" t="inlineStr">
        <is>
          <t>Apr-2026</t>
        </is>
      </c>
      <c r="G23" s="11" t="inlineStr">
        <is>
          <t>Crude steel production section</t>
        </is>
      </c>
      <c r="H23" s="11" t="inlineStr">
        <is>
          <t>FY2021-FY2025</t>
        </is>
      </c>
      <c r="I23" s="12" t="inlineStr">
        <is>
          <t>https://steel.gov.in/sites/default/files/2026-04/Final%20Annual%20Report%202025-26%20(English%20Version).pdf</t>
        </is>
      </c>
      <c r="J23" s="12" t="inlineStr">
        <is>
          <t>Verified - retrieved via search snippet</t>
        </is>
      </c>
      <c r="K23" s="11" t="inlineStr">
        <is>
          <t>03-Aug-2026</t>
        </is>
      </c>
      <c r="L23" s="12" t="inlineStr">
        <is>
          <t>Confirms FY2025 crude steel 152.180 Mt, +5.4% over FY2024 144.299 Mt.</t>
        </is>
      </c>
    </row>
    <row r="24">
      <c r="A24" s="11" t="inlineStr">
        <is>
          <t>S07</t>
        </is>
      </c>
      <c r="B24" s="10" t="n">
        <v>1</v>
      </c>
      <c r="C24" s="11" t="inlineStr">
        <is>
          <t>International statistical agency</t>
        </is>
      </c>
      <c r="D24" s="11" t="inlineStr">
        <is>
          <t>World Steel Association (worldsteel)</t>
        </is>
      </c>
      <c r="E24" s="11" t="inlineStr">
        <is>
          <t>Monthly crude steel production statistics, as reproduced in Annexure-II of S01</t>
        </is>
      </c>
      <c r="F24" s="11" t="inlineStr">
        <is>
          <t>Apr-2026</t>
        </is>
      </c>
      <c r="G24" s="11" t="inlineStr">
        <is>
          <t>Annexure-II, p.8</t>
        </is>
      </c>
      <c r="H24" s="11" t="inlineStr">
        <is>
          <t>CY2024-CY2025 and monthly to Feb-2026</t>
        </is>
      </c>
      <c r="I24" s="12" t="inlineStr">
        <is>
          <t>https://www.steel.gov.in/sites/default/files/2026-04/Monthly%20Economic%20Report-%20March%202026%20(5).pdf</t>
        </is>
      </c>
      <c r="J24" s="12" t="inlineStr">
        <is>
          <t>Verified - table extracted from S01</t>
        </is>
      </c>
      <c r="K24" s="11" t="inlineStr">
        <is>
          <t>03-Aug-2026</t>
        </is>
      </c>
      <c r="L24" s="12" t="inlineStr">
        <is>
          <t>CY2025 figures are provisional per worldsteel. Calendar-year basis - NOT comparable to Indian fiscal years.</t>
        </is>
      </c>
    </row>
    <row r="25">
      <c r="A25" s="11" t="inlineStr">
        <is>
          <t>S08</t>
        </is>
      </c>
      <c r="B25" s="10" t="n">
        <v>1</v>
      </c>
      <c r="C25" s="11" t="inlineStr">
        <is>
          <t>Issuer results release</t>
        </is>
      </c>
      <c r="D25" s="11" t="inlineStr">
        <is>
          <t>Tata Steel Limited</t>
        </is>
      </c>
      <c r="E25" s="11" t="inlineStr">
        <is>
          <t>4QFY2026 Press Release - Consolidated results for the twelve months ended 31 March 2026</t>
        </is>
      </c>
      <c r="F25" s="11" t="inlineStr">
        <is>
          <t>15-May-2026</t>
        </is>
      </c>
      <c r="G25" s="11" t="inlineStr">
        <is>
          <t>Financial Highlights table, p.2; Management Comments pp.2-3</t>
        </is>
      </c>
      <c r="H25" s="11" t="inlineStr">
        <is>
          <t>4QFY2026, 3QFY2026, 4QFY2025, FY2026, FY2025</t>
        </is>
      </c>
      <c r="I25" s="12" t="inlineStr">
        <is>
          <t>https://www.tatasteel.com/media/25700/4qfy2026-press-release.pdf</t>
        </is>
      </c>
      <c r="J25" s="12" t="inlineStr">
        <is>
          <t>Verified - full text retrieved and parsed</t>
        </is>
      </c>
      <c r="K25" s="11" t="inlineStr">
        <is>
          <t>03-Aug-2026</t>
        </is>
      </c>
      <c r="L25" s="12" t="inlineStr">
        <is>
          <t>'India' = Tata Steel Standalone + Neelachal Ispat Nigam Ltd on proforma basis adjusted for intercompany purchase and sale.</t>
        </is>
      </c>
    </row>
    <row r="26">
      <c r="A26" s="11" t="inlineStr">
        <is>
          <t>S09</t>
        </is>
      </c>
      <c r="B26" s="10" t="n">
        <v>1</v>
      </c>
      <c r="C26" s="11" t="inlineStr">
        <is>
          <t>Issuer investor presentation (exchange filed)</t>
        </is>
      </c>
      <c r="D26" s="11" t="inlineStr">
        <is>
          <t>JSW Steel Limited</t>
        </is>
      </c>
      <c r="E26" s="11" t="inlineStr">
        <is>
          <t>Q4 FY26 Investor / Analyst Presentation, filed with NSE and BSE under Reg. 30</t>
        </is>
      </c>
      <c r="F26" s="11" t="inlineStr">
        <is>
          <t>14-May-2026</t>
        </is>
      </c>
      <c r="G26" s="11" t="inlineStr">
        <is>
          <t>pp.5, 6, 8, 33, 34, 40, 44, 45, 46, 48</t>
        </is>
      </c>
      <c r="H26" s="11" t="inlineStr">
        <is>
          <t>Q4FY2026, Q3FY2026, Q4FY2025, FY2026, FY2025; FY2027 guidance</t>
        </is>
      </c>
      <c r="I26" s="12" t="inlineStr">
        <is>
          <t>https://nsearchives.nseindia.com/corporate/jessydenny_14052026164431_JSW_Steel_Q4_FY26_vF.pdf</t>
        </is>
      </c>
      <c r="J26" s="12" t="inlineStr">
        <is>
          <t>Verified - full text retrieved and parsed</t>
        </is>
      </c>
      <c r="K26" s="11" t="inlineStr">
        <is>
          <t>03-Aug-2026</t>
        </is>
      </c>
      <c r="L26" s="12" t="inlineStr">
        <is>
          <t>BPSL steel business deconsolidated from 27-Mar-2026; 'Combined Operations' includes JSW JFE Steel Ltd volumes for 27-31 Mar 2026 only.</t>
        </is>
      </c>
    </row>
    <row r="27">
      <c r="A27" s="11" t="inlineStr">
        <is>
          <t>S10</t>
        </is>
      </c>
      <c r="B27" s="10" t="n">
        <v>1</v>
      </c>
      <c r="C27" s="11" t="inlineStr">
        <is>
          <t>Issuer audited results + press release (exchange filed)</t>
        </is>
      </c>
      <c r="D27" s="11" t="inlineStr">
        <is>
          <t>Steel Authority of India Limited</t>
        </is>
      </c>
      <c r="E27" s="11" t="inlineStr">
        <is>
          <t>Audited Financial Results for the quarter and year ended 31 March 2026 and Press Release</t>
        </is>
      </c>
      <c r="F27" s="11" t="inlineStr">
        <is>
          <t>15-May-2026</t>
        </is>
      </c>
      <c r="G27" s="11" t="inlineStr">
        <is>
          <t>Consolidated statement of profit and loss; Press Release pp.49-50</t>
        </is>
      </c>
      <c r="H27" s="11" t="inlineStr">
        <is>
          <t>Q4FY2026, Q3FY2026, Q4FY2025, FY2026, FY2025</t>
        </is>
      </c>
      <c r="I27" s="12" t="inlineStr">
        <is>
          <t>https://www.sail.co.in/sites/default/files/2026-05/Financial%20Results%20for%20FY%202025-26%20and%20recommendation%20of%20Final%20Dividend.pdf</t>
        </is>
      </c>
      <c r="J27" s="12" t="inlineStr">
        <is>
          <t>Verified - full text retrieved and parsed</t>
        </is>
      </c>
      <c r="K27" s="11" t="inlineStr">
        <is>
          <t>03-Aug-2026</t>
        </is>
      </c>
      <c r="L27" s="12" t="inlineStr">
        <is>
          <t>CRITICAL: SAIL's press-release EBITDA/PAT summary table is STANDALONE. Consolidated figures taken from the audited consolidated statement in the same filing.</t>
        </is>
      </c>
    </row>
    <row r="28">
      <c r="A28" s="11" t="inlineStr">
        <is>
          <t>S11</t>
        </is>
      </c>
      <c r="B28" s="10" t="n">
        <v>1</v>
      </c>
      <c r="C28" s="11" t="inlineStr">
        <is>
          <t>Issuer investor presentation (exchange filed)</t>
        </is>
      </c>
      <c r="D28" s="11" t="inlineStr">
        <is>
          <t>Jindal Steel Limited</t>
        </is>
      </c>
      <c r="E28" s="11" t="inlineStr">
        <is>
          <t>Q4 FY26 Investor Presentation, filed with NSE</t>
        </is>
      </c>
      <c r="F28" s="11" t="inlineStr">
        <is>
          <t>02-May-2026</t>
        </is>
      </c>
      <c r="G28" s="11" t="inlineStr">
        <is>
          <t>pp.5, 6, 11, 12, 13, 14</t>
        </is>
      </c>
      <c r="H28" s="11" t="inlineStr">
        <is>
          <t>Q4FY2026, Q3FY2026, Q4FY2025, FY2026, FY2025; FY2027 guidance</t>
        </is>
      </c>
      <c r="I28" s="12" t="inlineStr">
        <is>
          <t>https://nsearchives.nseindia.com/corporate/JINDALSTEL_02052026120643_stx_02052026.pdf</t>
        </is>
      </c>
      <c r="J28" s="12" t="inlineStr">
        <is>
          <t>Verified - full text retrieved and parsed</t>
        </is>
      </c>
      <c r="K28" s="11" t="inlineStr">
        <is>
          <t>03-Aug-2026</t>
        </is>
      </c>
      <c r="L28" s="12" t="inlineStr">
        <is>
          <t>CRITICAL: company headline 'Gross Revenue' INCLUDES GST and other income and is not peer-comparable. See Conflict C02.</t>
        </is>
      </c>
    </row>
    <row r="29">
      <c r="A29" s="11" t="inlineStr">
        <is>
          <t>S12</t>
        </is>
      </c>
      <c r="B29" s="10" t="n">
        <v>1</v>
      </c>
      <c r="C29" s="11" t="inlineStr">
        <is>
          <t>Issuer earnings call transcript (exchange filed)</t>
        </is>
      </c>
      <c r="D29" s="11" t="inlineStr">
        <is>
          <t>Jindal Stainless Limited</t>
        </is>
      </c>
      <c r="E29" s="11" t="inlineStr">
        <is>
          <t>4QFY26 Earnings Conference Call transcript, filed with NSE under Reg. 30</t>
        </is>
      </c>
      <c r="F29" s="11" t="inlineStr">
        <is>
          <t>Call 05-May-2026; filed 09-May-2026</t>
        </is>
      </c>
      <c r="G29" s="11" t="inlineStr">
        <is>
          <t>Management remarks by MD and by Mr. Tarun Khulbe, pp.3-5</t>
        </is>
      </c>
      <c r="H29" s="11" t="inlineStr">
        <is>
          <t>Q4FY2026, FY2026; FY2027 guidance</t>
        </is>
      </c>
      <c r="I29" s="12" t="inlineStr">
        <is>
          <t>https://nsearchives.nseindia.com/corporate/JSL_09052026134409_JSLSEintimationtranscriptssd.pdf</t>
        </is>
      </c>
      <c r="J29" s="12" t="inlineStr">
        <is>
          <t>Verified - full text retrieved and parsed</t>
        </is>
      </c>
      <c r="K29" s="11" t="inlineStr">
        <is>
          <t>03-Aug-2026</t>
        </is>
      </c>
      <c r="L29" s="12" t="inlineStr">
        <is>
          <t>Primary confirmation of FY2026 consolidated EBITDA Rs 5,560 cr, PAT Rs 3,185 cr, deliveries 2.57 Mt, net debt Rs 3,040 cr.</t>
        </is>
      </c>
    </row>
    <row r="30">
      <c r="A30" s="11" t="inlineStr">
        <is>
          <t>S13</t>
        </is>
      </c>
      <c r="B30" s="10" t="n">
        <v>1</v>
      </c>
      <c r="C30" s="11" t="inlineStr">
        <is>
          <t>Issuer results release</t>
        </is>
      </c>
      <c r="D30" s="11" t="inlineStr">
        <is>
          <t>ArcelorMittal S.A.</t>
        </is>
      </c>
      <c r="E30" s="11" t="inlineStr">
        <is>
          <t>Fourth quarter 2025 and full year 2025 results - earnings release</t>
        </is>
      </c>
      <c r="F30" s="11" t="inlineStr">
        <is>
          <t>04-Feb-2026</t>
        </is>
      </c>
      <c r="G30" s="11" t="inlineStr">
        <is>
          <t>'AMNS India' section</t>
        </is>
      </c>
      <c r="H30" s="11" t="inlineStr">
        <is>
          <t>4Q25, 3Q25, 4Q24, 12M25, 12M24</t>
        </is>
      </c>
      <c r="I30" s="12" t="inlineStr">
        <is>
          <t>https://cms.arcelormittal.com/media/hzbg231b/4q25-arcelormittal-earnings-release.pdf</t>
        </is>
      </c>
      <c r="J30" s="12" t="inlineStr">
        <is>
          <t>Verified - full text retrieved and parsed</t>
        </is>
      </c>
      <c r="K30" s="11" t="inlineStr">
        <is>
          <t>03-Aug-2026</t>
        </is>
      </c>
      <c r="L30" s="12" t="inlineStr">
        <is>
          <t>AMNS India disclosed on a 100% basis in USD on CALENDAR quarters. ArcelorMittal holds a 60% equity interest.</t>
        </is>
      </c>
    </row>
    <row r="31">
      <c r="A31" s="11" t="inlineStr">
        <is>
          <t>S14</t>
        </is>
      </c>
      <c r="B31" s="10" t="n">
        <v>1</v>
      </c>
      <c r="C31" s="11" t="inlineStr">
        <is>
          <t>Issuer results release</t>
        </is>
      </c>
      <c r="D31" s="11" t="inlineStr">
        <is>
          <t>ArcelorMittal S.A.</t>
        </is>
      </c>
      <c r="E31" s="11" t="inlineStr">
        <is>
          <t>First quarter 2026 results - earnings release</t>
        </is>
      </c>
      <c r="F31" s="11" t="inlineStr">
        <is>
          <t>30-Apr-2026</t>
        </is>
      </c>
      <c r="G31" s="11" t="inlineStr">
        <is>
          <t>'AMNS India' section, five-quarter table</t>
        </is>
      </c>
      <c r="H31" s="11" t="inlineStr">
        <is>
          <t>1Q26, 4Q25, 3Q25, 2Q25, 1Q25</t>
        </is>
      </c>
      <c r="I31" s="12" t="inlineStr">
        <is>
          <t>https://cdn.arcelormittal.com/media/dqjcxaz3/1q26-earnings-release-final.pdf</t>
        </is>
      </c>
      <c r="J31" s="12" t="inlineStr">
        <is>
          <t>Verified - full text retrieved and parsed</t>
        </is>
      </c>
      <c r="K31" s="11" t="inlineStr">
        <is>
          <t>03-Aug-2026</t>
        </is>
      </c>
      <c r="L31" s="12" t="inlineStr">
        <is>
          <t>Provides the quarterly series used to derive an Apr-Mar fiscal-year equivalent for AM/NS India.</t>
        </is>
      </c>
    </row>
    <row r="32">
      <c r="A32" s="11" t="inlineStr">
        <is>
          <t>S15</t>
        </is>
      </c>
      <c r="B32" s="10" t="n">
        <v>1</v>
      </c>
      <c r="C32" s="11" t="inlineStr">
        <is>
          <t>Issuer results release</t>
        </is>
      </c>
      <c r="D32" s="11" t="inlineStr">
        <is>
          <t>ArcelorMittal S.A.</t>
        </is>
      </c>
      <c r="E32" s="11" t="inlineStr">
        <is>
          <t>Second quarter 2026 results</t>
        </is>
      </c>
      <c r="F32" s="11" t="inlineStr">
        <is>
          <t>30-Jul-2026</t>
        </is>
      </c>
      <c r="G32" s="11" t="inlineStr">
        <is>
          <t>'AMNS India' section</t>
        </is>
      </c>
      <c r="H32" s="11" t="inlineStr">
        <is>
          <t>2Q26 (Apr-Jun 2026)</t>
        </is>
      </c>
      <c r="I32" s="12" t="inlineStr">
        <is>
          <t>https://corporate.arcelormittal.com/media/news/regulatory-news/arcelormittal-reports-second-quarter-2026-results</t>
        </is>
      </c>
      <c r="J32" s="12" t="inlineStr">
        <is>
          <t>Partially verified - headline figures via issuer release and Business Standard report of it; full PDF table not retrieved</t>
        </is>
      </c>
      <c r="K32" s="11" t="inlineStr">
        <is>
          <t>03-Aug-2026</t>
        </is>
      </c>
      <c r="L32" s="12" t="inlineStr">
        <is>
          <t>2Q26 AMNS India EBITDA US$257m; sales US$1.66bn; shipments 1.93 Mt; production 1.95 Mt.</t>
        </is>
      </c>
    </row>
    <row r="33">
      <c r="A33" s="11" t="inlineStr">
        <is>
          <t>S16</t>
        </is>
      </c>
      <c r="B33" s="10" t="n">
        <v>1</v>
      </c>
      <c r="C33" s="11" t="inlineStr">
        <is>
          <t>Issuer / public-authority press release</t>
        </is>
      </c>
      <c r="D33" s="11" t="inlineStr">
        <is>
          <t>Rashtriya Ispat Nigam Limited (Visakhapatnam Steel Plant), via Visakhapatnam Port Authority / PTI</t>
        </is>
      </c>
      <c r="E33" s="11" t="inlineStr">
        <is>
          <t>FY2025-26 performance press release</t>
        </is>
      </c>
      <c r="F33" s="11" t="inlineStr">
        <is>
          <t>01-Apr-2026</t>
        </is>
      </c>
      <c r="G33" s="11" t="inlineStr">
        <is>
          <t>Statement of DGM J Mallikarjun Rao</t>
        </is>
      </c>
      <c r="H33" s="11" t="inlineStr">
        <is>
          <t>FY2026, FY2025</t>
        </is>
      </c>
      <c r="I33" s="12" t="inlineStr">
        <is>
          <t>https://infra.economictimes.indiatimes.com/news/construction/vizag-steel-plant-achieves-record-production-and-sales-growth-in-fy26/129957199</t>
        </is>
      </c>
      <c r="J33" s="12" t="inlineStr">
        <is>
          <t>Verified - full article text retrieved</t>
        </is>
      </c>
      <c r="K33" s="11" t="inlineStr">
        <is>
          <t>03-Aug-2026</t>
        </is>
      </c>
      <c r="L33" s="12" t="inlineStr">
        <is>
          <t>RINL is unlisted and wholly Government-owned; audited FY2026 statutory financials were not public at the cutoff.</t>
        </is>
      </c>
    </row>
    <row r="34">
      <c r="A34" s="11" t="inlineStr">
        <is>
          <t>S17</t>
        </is>
      </c>
      <c r="B34" s="10" t="n">
        <v>1</v>
      </c>
      <c r="C34" s="11" t="inlineStr">
        <is>
          <t>Official commodity price data</t>
        </is>
      </c>
      <c r="D34" s="11" t="inlineStr">
        <is>
          <t>World Bank</t>
        </is>
      </c>
      <c r="E34" s="11" t="inlineStr">
        <is>
          <t>Commodity Price Data ('The Pink Sheet') - CMO Historical Data, Monthly</t>
        </is>
      </c>
      <c r="F34" s="11" t="inlineStr">
        <is>
          <t>Workbook stamped 'Updated on July 02, 2026'</t>
        </is>
      </c>
      <c r="G34" s="11" t="inlineStr">
        <is>
          <t>Sheet 'Monthly Prices'; definitions on sheet 'Description' rows 4, 90 and 91</t>
        </is>
      </c>
      <c r="H34" s="11" t="inlineStr">
        <is>
          <t>1960M01 to 2026M06</t>
        </is>
      </c>
      <c r="I34" s="12" t="inlineStr">
        <is>
          <t>https://thedocs.worldbank.org/en/doc/74e8be41ceb20fa0da750cda2f6b9e4e-0050012026/related/CMO-Historical-Data-Monthly.xlsx</t>
        </is>
      </c>
      <c r="J34" s="12" t="inlineStr">
        <is>
          <t>Verified - workbook downloaded and parsed programmatically</t>
        </is>
      </c>
      <c r="K34" s="11" t="inlineStr">
        <is>
          <t>03-Aug-2026</t>
        </is>
      </c>
      <c r="L34" s="12" t="inlineStr">
        <is>
          <t>Iron ore = any origin fines, spot, CFR China, 62% Fe. Coal (Australia) = THERMAL, Newcastle 6000 kcal/kg futures FOB - NOT coking coal.</t>
        </is>
      </c>
    </row>
    <row r="35">
      <c r="A35" s="11" t="inlineStr">
        <is>
          <t>S18</t>
        </is>
      </c>
      <c r="B35" s="10" t="n">
        <v>1</v>
      </c>
      <c r="C35" s="11" t="inlineStr">
        <is>
          <t>Official commodity price data</t>
        </is>
      </c>
      <c r="D35" s="11" t="inlineStr">
        <is>
          <t>World Bank</t>
        </is>
      </c>
      <c r="E35" s="11" t="inlineStr">
        <is>
          <t>Commodity Price Data ('The Pink Sheet') - CMO Historical Data, Annual</t>
        </is>
      </c>
      <c r="F35" s="11" t="inlineStr">
        <is>
          <t>Workbook stamped 'Updated on March 03, 2026'</t>
        </is>
      </c>
      <c r="G35" s="11" t="inlineStr">
        <is>
          <t>Sheet 'Annual Prices (Nominal)'</t>
        </is>
      </c>
      <c r="H35" s="11" t="inlineStr">
        <is>
          <t>1960 to 2025</t>
        </is>
      </c>
      <c r="I35" s="12" t="inlineStr">
        <is>
          <t>https://thedocs.worldbank.org/en/doc/74e8be41ceb20fa0da750cda2f6b9e4e-0050012026/related/CMO-Historical-Data-Annual.xlsx</t>
        </is>
      </c>
      <c r="J35" s="12" t="inlineStr">
        <is>
          <t>Verified - workbook downloaded and parsed programmatically</t>
        </is>
      </c>
      <c r="K35" s="11" t="inlineStr">
        <is>
          <t>03-Aug-2026</t>
        </is>
      </c>
      <c r="L35" s="12" t="inlineStr">
        <is>
          <t>Calendar-year averages. Annual file is a March-2026 vintage so it stops at CY2025.</t>
        </is>
      </c>
    </row>
    <row r="36">
      <c r="A36" s="11" t="inlineStr">
        <is>
          <t>S19</t>
        </is>
      </c>
      <c r="B36" s="10" t="n">
        <v>2</v>
      </c>
      <c r="C36" s="11" t="inlineStr">
        <is>
          <t>Rating agency research</t>
        </is>
      </c>
      <c r="D36" s="11" t="inlineStr">
        <is>
          <t>ICRA Limited (an affiliate of Moody's)</t>
        </is>
      </c>
      <c r="E36" s="11" t="inlineStr">
        <is>
          <t>Indian steel sector research notes (report references 6790 and 6940)</t>
        </is>
      </c>
      <c r="F36" s="11" t="inlineStr">
        <is>
          <t>Apr-2026 (report 6940); earlier vintage report 6790</t>
        </is>
      </c>
      <c r="G36" s="11" t="inlineStr">
        <is>
          <t>Domestic HRC price commentary</t>
        </is>
      </c>
      <c r="H36" s="11" t="inlineStr">
        <is>
          <t>FY2026 quarterly; early FY2027</t>
        </is>
      </c>
      <c r="I36" s="12" t="inlineStr">
        <is>
          <t>https://www.icra.in/Research/ViewResearchReport/6940</t>
        </is>
      </c>
      <c r="J36" s="12" t="inlineStr">
        <is>
          <t>Partially verified - figures taken from published research summaries; full report is subscriber-gated</t>
        </is>
      </c>
      <c r="K36" s="11" t="inlineStr">
        <is>
          <t>03-Aug-2026</t>
        </is>
      </c>
      <c r="L36" s="12" t="inlineStr">
        <is>
          <t>Source of the FY2026 HRC price path and the Apr-2026 US$29-45/MT import-parity discount.</t>
        </is>
      </c>
    </row>
    <row r="37">
      <c r="A37" s="11" t="inlineStr">
        <is>
          <t>S20</t>
        </is>
      </c>
      <c r="B37" s="10" t="n">
        <v>2</v>
      </c>
      <c r="C37" s="11" t="inlineStr">
        <is>
          <t>Sell-side sector research</t>
        </is>
      </c>
      <c r="D37" s="11" t="inlineStr">
        <is>
          <t>IDBI Capital Markets &amp; Securities Ltd</t>
        </is>
      </c>
      <c r="E37" s="11" t="inlineStr">
        <is>
          <t>Metals &amp; Mining - Sector Update</t>
        </is>
      </c>
      <c r="F37" s="11" t="inlineStr">
        <is>
          <t>09-Apr-2026</t>
        </is>
      </c>
      <c r="G37" s="11" t="inlineStr">
        <is>
          <t>Summary and Key Highlights, p.1; Exhibits 5-10</t>
        </is>
      </c>
      <c r="H37" s="11" t="inlineStr">
        <is>
          <t>Mar-2026 monthly</t>
        </is>
      </c>
      <c r="I37" s="12" t="inlineStr">
        <is>
          <t>https://idbicapital.com/InstitutionReports/Uploads/Metals_Mining_SU_09042026.pdf</t>
        </is>
      </c>
      <c r="J37" s="12" t="inlineStr">
        <is>
          <t>Verified - full text retrieved and parsed</t>
        </is>
      </c>
      <c r="K37" s="11" t="inlineStr">
        <is>
          <t>03-Aug-2026</t>
        </is>
      </c>
      <c r="L37" s="12" t="inlineStr">
        <is>
          <t>Broker assessment. Coking coal level differs materially from the Ministry of Steel series - see Conflict C01.</t>
        </is>
      </c>
    </row>
    <row r="38">
      <c r="A38" s="11" t="inlineStr">
        <is>
          <t>S21</t>
        </is>
      </c>
      <c r="B38" s="10" t="n">
        <v>2</v>
      </c>
      <c r="C38" s="11" t="inlineStr">
        <is>
          <t>Sell-side commodity tracker</t>
        </is>
      </c>
      <c r="D38" s="11" t="inlineStr">
        <is>
          <t>IDBI Capital Markets &amp; Securities Ltd / IDBI Direct</t>
        </is>
      </c>
      <c r="E38" s="11" t="inlineStr">
        <is>
          <t>Commodity Price Update</t>
        </is>
      </c>
      <c r="F38" s="11" t="inlineStr">
        <is>
          <t>22-Jun-2026</t>
        </is>
      </c>
      <c r="G38" s="11" t="inlineStr">
        <is>
          <t>Price table rows for HRC, iron ore, pellets, coking coal</t>
        </is>
      </c>
      <c r="H38" s="11" t="inlineStr">
        <is>
          <t>Week ended 22-Jun-2026, with 52-week ranges</t>
        </is>
      </c>
      <c r="I38" s="12" t="inlineStr">
        <is>
          <t>https://idbidirect.in/IDBIAdmin/Pdf/Commodity_Price_Update_SU_22062026-22-June-2026-1061890911.pdf</t>
        </is>
      </c>
      <c r="J38" s="12" t="inlineStr">
        <is>
          <t>Verified - full text retrieved and parsed</t>
        </is>
      </c>
      <c r="K38" s="11" t="inlineStr">
        <is>
          <t>03-Aug-2026</t>
        </is>
      </c>
      <c r="L38" s="12" t="inlineStr">
        <is>
          <t>Weekly spot snapshot with 52-week high/low, useful for range discipline in valuation sensitivities.</t>
        </is>
      </c>
    </row>
    <row r="39">
      <c r="A39" s="11" t="inlineStr">
        <is>
          <t>S22</t>
        </is>
      </c>
      <c r="B39" s="10" t="n">
        <v>2</v>
      </c>
      <c r="C39" s="11" t="inlineStr">
        <is>
          <t>Price reporting agency</t>
        </is>
      </c>
      <c r="D39" s="11" t="inlineStr">
        <is>
          <t>BigMint (formerly SteelMint)</t>
        </is>
      </c>
      <c r="E39" s="11" t="inlineStr">
        <is>
          <t>India steel index commentary</t>
        </is>
      </c>
      <c r="F39" s="11" t="inlineStr">
        <is>
          <t>31-Jul-2026</t>
        </is>
      </c>
      <c r="G39" s="11" t="inlineStr">
        <is>
          <t>BF-rebar benchmark assessment</t>
        </is>
      </c>
      <c r="H39" s="11" t="inlineStr">
        <is>
          <t>Week ended 31-Jul-2026</t>
        </is>
      </c>
      <c r="I39" s="12" t="inlineStr">
        <is>
          <t>https://www.bigmint.co/insights/detail/bigmint-s-india-steel-index-rises-w-o-w-amid-tightening-supplies-inventory-restocking-776279</t>
        </is>
      </c>
      <c r="J39" s="12" t="inlineStr">
        <is>
          <t>Verified - retrieved via search snippet</t>
        </is>
      </c>
      <c r="K39" s="11" t="inlineStr">
        <is>
          <t>03-Aug-2026</t>
        </is>
      </c>
      <c r="L39" s="12" t="inlineStr">
        <is>
          <t>Rebar IS 1786 Fe 550D, 12-32 mm, BF route, ex-Mumbai, distributor-to-dealer, EXCLUDING 18% GST.</t>
        </is>
      </c>
    </row>
    <row r="40">
      <c r="A40" s="11" t="inlineStr">
        <is>
          <t>S23</t>
        </is>
      </c>
      <c r="B40" s="10" t="n">
        <v>1</v>
      </c>
      <c r="C40" s="11" t="inlineStr">
        <is>
          <t>Issuer regulatory filing</t>
        </is>
      </c>
      <c r="D40" s="11" t="inlineStr">
        <is>
          <t>NMDC Limited</t>
        </is>
      </c>
      <c r="E40" s="11" t="inlineStr">
        <is>
          <t>Iron ore price revision intimations filed with BSE / NSE</t>
        </is>
      </c>
      <c r="F40" s="11" t="inlineStr">
        <is>
          <t>Various: filings effective 05-Apr-2026, 06-May-2026 and 10-Jul-2026</t>
        </is>
      </c>
      <c r="G40" s="11" t="inlineStr">
        <is>
          <t>Price fixation statements</t>
        </is>
      </c>
      <c r="H40" s="11" t="inlineStr">
        <is>
          <t>FY2027 to date</t>
        </is>
      </c>
      <c r="I40" s="12" t="inlineStr">
        <is>
          <t>https://infra.economictimes.indiatimes.com/news/construction/nmdc-hikes-iron-ore-prices-by-up-to-11-1/130056492</t>
        </is>
      </c>
      <c r="J40" s="12" t="inlineStr">
        <is>
          <t>Partially verified - filing content quoted in press reports; original BSE filings not directly retrieved</t>
        </is>
      </c>
      <c r="K40" s="11" t="inlineStr">
        <is>
          <t>03-Aug-2026</t>
        </is>
      </c>
      <c r="L40" s="12" t="inlineStr">
        <is>
          <t>Notified ex-mine prices for Bailadila grades; exclude royalty, DMF, NMET, cess and other levies unless stated.</t>
        </is>
      </c>
    </row>
    <row r="41">
      <c r="A41" s="11" t="inlineStr">
        <is>
          <t>S24</t>
        </is>
      </c>
      <c r="B41" s="10" t="n">
        <v>1</v>
      </c>
      <c r="C41" s="11" t="inlineStr">
        <is>
          <t>Parliamentary answer</t>
        </is>
      </c>
      <c r="D41" s="11" t="inlineStr">
        <is>
          <t>Ministry of Steel, Government of India</t>
        </is>
      </c>
      <c r="E41" s="11" t="inlineStr">
        <is>
          <t>Lok Sabha Unstarred Question No. 5098 - Production Linked Incentive Scheme for Specialty Steel</t>
        </is>
      </c>
      <c r="F41" s="11" t="inlineStr">
        <is>
          <t>Answered 24-Mar-2026</t>
        </is>
      </c>
      <c r="G41" s="11" t="inlineStr">
        <is>
          <t>Answer to parts (a)-(d)</t>
        </is>
      </c>
      <c r="H41" s="11" t="inlineStr">
        <is>
          <t>PLI Rounds 1-3, cumulative to Mar-2026</t>
        </is>
      </c>
      <c r="I41" s="12" t="inlineStr">
        <is>
          <t>https://sansad.in/getFile/loksabhaquestions/annex/187/AU5098_BI0By2.pdf?source=pqals</t>
        </is>
      </c>
      <c r="J41" s="12" t="inlineStr">
        <is>
          <t>Verified - full text retrieved and parsed</t>
        </is>
      </c>
      <c r="K41" s="11" t="inlineStr">
        <is>
          <t>03-Aug-2026</t>
        </is>
      </c>
      <c r="L41" s="12" t="inlineStr">
        <is>
          <t>Answered by Minister of State Shri Bhupathiraju Srinivasa Varma. Highest-authority source for PLI progress.</t>
        </is>
      </c>
    </row>
    <row r="42">
      <c r="A42" s="11" t="inlineStr">
        <is>
          <t>S25</t>
        </is>
      </c>
      <c r="B42" s="10" t="n">
        <v>1</v>
      </c>
      <c r="C42" s="11" t="inlineStr">
        <is>
          <t>Parliamentary answer</t>
        </is>
      </c>
      <c r="D42" s="11" t="inlineStr">
        <is>
          <t>Ministry of Steel, Government of India</t>
        </is>
      </c>
      <c r="E42" s="11" t="inlineStr">
        <is>
          <t>Rajya Sabha Unstarred Question No. 3350 - Green Steel Plant in Salav, Raigarh</t>
        </is>
      </c>
      <c r="F42" s="11" t="inlineStr">
        <is>
          <t>Answered 20-Mar-2026</t>
        </is>
      </c>
      <c r="G42" s="11" t="inlineStr">
        <is>
          <t>Answer to parts (a)-(d), items (i)-(vi)</t>
        </is>
      </c>
      <c r="H42" s="11" t="inlineStr">
        <is>
          <t>Policy measures in force as at Mar-2026</t>
        </is>
      </c>
      <c r="I42" s="12" t="inlineStr">
        <is>
          <t>https://steel.gov.in/sites/default/files/2026-04/ru%203350.pdf</t>
        </is>
      </c>
      <c r="J42" s="12" t="inlineStr">
        <is>
          <t>Verified - full text retrieved and parsed</t>
        </is>
      </c>
      <c r="K42" s="11" t="inlineStr">
        <is>
          <t>03-Aug-2026</t>
        </is>
      </c>
      <c r="L42" s="12" t="inlineStr">
        <is>
          <t>Confirms Green Steel Taxonomy notification date 23-Dec-2024, safeguard-duty tariff headings, CVD and Budget 2026-27 measures.</t>
        </is>
      </c>
    </row>
    <row r="43">
      <c r="A43" s="11" t="inlineStr">
        <is>
          <t>S26</t>
        </is>
      </c>
      <c r="B43" s="10" t="n">
        <v>1</v>
      </c>
      <c r="C43" s="11" t="inlineStr">
        <is>
          <t>Parliamentary answer</t>
        </is>
      </c>
      <c r="D43" s="11" t="inlineStr">
        <is>
          <t>Ministry of Steel, Government of India</t>
        </is>
      </c>
      <c r="E43" s="11" t="inlineStr">
        <is>
          <t>Rajya Sabha Unstarred Question No. 3982 - Status of SAIL Steel Plants in India</t>
        </is>
      </c>
      <c r="F43" s="11" t="inlineStr">
        <is>
          <t>Answered 27-Mar-2026</t>
        </is>
      </c>
      <c r="G43" s="11" t="inlineStr">
        <is>
          <t>Answer to part (a) plant-wise table; parts (b)-(d)</t>
        </is>
      </c>
      <c r="H43" s="11" t="inlineStr">
        <is>
          <t>FY2021-FY2025 average; capacity as at Mar-2026</t>
        </is>
      </c>
      <c r="I43" s="12" t="inlineStr">
        <is>
          <t>https://www.steel.gov.in/sites/default/files/2026-04/ru%203982.pdf</t>
        </is>
      </c>
      <c r="J43" s="12" t="inlineStr">
        <is>
          <t>Verified - full text retrieved and parsed</t>
        </is>
      </c>
      <c r="K43" s="11" t="inlineStr">
        <is>
          <t>03-Aug-2026</t>
        </is>
      </c>
      <c r="L43" s="12" t="inlineStr">
        <is>
          <t>Authoritative plant-wise SAIL capacity and utilisation, plus Board-approved expansion quanta.</t>
        </is>
      </c>
    </row>
    <row r="44">
      <c r="A44" s="11" t="inlineStr">
        <is>
          <t>S27</t>
        </is>
      </c>
      <c r="B44" s="10" t="n">
        <v>1</v>
      </c>
      <c r="C44" s="11" t="inlineStr">
        <is>
          <t>Gazette notification</t>
        </is>
      </c>
      <c r="D44" s="11" t="inlineStr">
        <is>
          <t>Ministry of Finance, Government of India</t>
        </is>
      </c>
      <c r="E44" s="11" t="inlineStr">
        <is>
          <t>Safeguard duty notification imposing definitive duty on non-alloy and alloy steel flat products</t>
        </is>
      </c>
      <c r="F44" s="11" t="inlineStr">
        <is>
          <t>30-Dec-2025</t>
        </is>
      </c>
      <c r="G44" s="11" t="inlineStr">
        <is>
          <t>Rate schedule and periods</t>
        </is>
      </c>
      <c r="H44" s="11" t="inlineStr">
        <is>
          <t>21-Apr-2025 to 20-Apr-2028</t>
        </is>
      </c>
      <c r="I44" s="12" t="inlineStr">
        <is>
          <t>https://mail.caalley.com/cus25/cssg02-2025.pdf</t>
        </is>
      </c>
      <c r="J44" s="12" t="inlineStr">
        <is>
          <t>Partially verified - terms corroborated by Argus, Livemint and Economic Times reports of the notification, and by S25</t>
        </is>
      </c>
      <c r="K44" s="11" t="inlineStr">
        <is>
          <t>03-Aug-2026</t>
        </is>
      </c>
      <c r="L44" s="12" t="inlineStr">
        <is>
          <t>12% (year 1), 11.5% (year 2), 11% (year 3), with provision for a mid-term review.</t>
        </is>
      </c>
    </row>
    <row r="45">
      <c r="A45" s="11" t="inlineStr">
        <is>
          <t>S28</t>
        </is>
      </c>
      <c r="B45" s="10" t="n">
        <v>1</v>
      </c>
      <c r="C45" s="11" t="inlineStr">
        <is>
          <t>Trade-remedy determination</t>
        </is>
      </c>
      <c r="D45" s="11" t="inlineStr">
        <is>
          <t>Directorate General of Trade Remedies (DGTR), Ministry of Commerce &amp; Industry</t>
        </is>
      </c>
      <c r="E45" s="11" t="inlineStr">
        <is>
          <t>Final findings, safeguard investigation into imports of non-alloy and alloy steel flat products</t>
        </is>
      </c>
      <c r="F45" s="11" t="inlineStr">
        <is>
          <t>18-Aug-2025</t>
        </is>
      </c>
      <c r="G45" s="11" t="inlineStr">
        <is>
          <t>Findings and recommendation</t>
        </is>
      </c>
      <c r="H45" s="11" t="inlineStr">
        <is>
          <t>Investigation period to 2025</t>
        </is>
      </c>
      <c r="I45" s="12" t="inlineStr">
        <is>
          <t>https://www.spglobal.com/energy/en/news-research/latest-news/metals/081825-indias-dgtr-recommends-3-year-safeguard-duty-on-steel-flat-products</t>
        </is>
      </c>
      <c r="J45" s="12" t="inlineStr">
        <is>
          <t>Partially verified - recommendation terms corroborated by S&amp;P Global, Times of India and Economic Times</t>
        </is>
      </c>
      <c r="K45" s="11" t="inlineStr">
        <is>
          <t>03-Aug-2026</t>
        </is>
      </c>
      <c r="L45" s="12" t="inlineStr">
        <is>
          <t>DGTR found 'a recent, sudden, sharp and significant increase in imports of the product under consideration'.</t>
        </is>
      </c>
    </row>
    <row r="46">
      <c r="A46" s="11" t="inlineStr">
        <is>
          <t>S29</t>
        </is>
      </c>
      <c r="B46" s="10" t="n">
        <v>1</v>
      </c>
      <c r="C46" s="11" t="inlineStr">
        <is>
          <t>Gazette notification</t>
        </is>
      </c>
      <c r="D46" s="11" t="inlineStr">
        <is>
          <t>Ministry of Finance, Government of India</t>
        </is>
      </c>
      <c r="E46" s="11" t="inlineStr">
        <is>
          <t>Provisional safeguard duty of 12% for 200 days on five categories of steel flat products</t>
        </is>
      </c>
      <c r="F46" s="11" t="inlineStr">
        <is>
          <t>21-Apr-2025</t>
        </is>
      </c>
      <c r="G46" s="11" t="inlineStr">
        <is>
          <t>Notification schedule</t>
        </is>
      </c>
      <c r="H46" s="11" t="inlineStr">
        <is>
          <t>21-Apr-2025 for 200 days</t>
        </is>
      </c>
      <c r="I46" s="12" t="inlineStr">
        <is>
          <t>https://www.thehindu.com/business/Industry/govt-imposes-12-pc-safeguard-duty-on-certain-steel-products-for-200-days/article69476966.ece</t>
        </is>
      </c>
      <c r="J46" s="12" t="inlineStr">
        <is>
          <t>Partially verified - notification terms corroborated by The Hindu, Indian Express and ETInfra</t>
        </is>
      </c>
      <c r="K46" s="11" t="inlineStr">
        <is>
          <t>03-Aug-2026</t>
        </is>
      </c>
      <c r="L46" s="12" t="inlineStr">
        <is>
          <t>Covered hot-rolled coils, sheets and plates among five categories of non-alloy and alloy flat products.</t>
        </is>
      </c>
    </row>
    <row r="47">
      <c r="A47" s="11" t="inlineStr">
        <is>
          <t>S30</t>
        </is>
      </c>
      <c r="B47" s="10" t="n">
        <v>3</v>
      </c>
      <c r="C47" s="11" t="inlineStr">
        <is>
          <t>Aggregator of exchange filings</t>
        </is>
      </c>
      <c r="D47" s="11" t="inlineStr">
        <is>
          <t>screener.in</t>
        </is>
      </c>
      <c r="E47" s="11" t="inlineStr">
        <is>
          <t>Company pages - consolidated Profit &amp; Loss, Balance Sheet and Quarterly Results</t>
        </is>
      </c>
      <c r="F47" s="11" t="inlineStr">
        <is>
          <t>Accessed 03-Aug-2026</t>
        </is>
      </c>
      <c r="G47" s="11" t="inlineStr">
        <is>
          <t>Sections 'profit-loss', 'balance-sheet', 'quarters'</t>
        </is>
      </c>
      <c r="H47" s="11" t="inlineStr">
        <is>
          <t>FY2015-FY2026 as available per company</t>
        </is>
      </c>
      <c r="I47" s="12" t="inlineStr">
        <is>
          <t>https://www.screener.in/</t>
        </is>
      </c>
      <c r="J47" s="12" t="inlineStr">
        <is>
          <t>Cross-checked - every FY2026 figure relied upon was reconciled to a Tier 1 or Tier 2 source, or to the sum of the four reported quarters</t>
        </is>
      </c>
      <c r="K47" s="11" t="inlineStr">
        <is>
          <t>03-Aug-2026</t>
        </is>
      </c>
      <c r="L47" s="12" t="inlineStr">
        <is>
          <t>Used only to build a consistent multi-year backbone and to cross-check. 'Operating Profit' here EXCLUDES other income and is the Standardised EBITDA basis.</t>
        </is>
      </c>
    </row>
    <row r="48">
      <c r="A48" s="11" t="inlineStr">
        <is>
          <t>S31</t>
        </is>
      </c>
      <c r="B48" s="10" t="n">
        <v>2</v>
      </c>
      <c r="C48" s="11" t="inlineStr">
        <is>
          <t>Press report of exchange filing / issuer investor update</t>
        </is>
      </c>
      <c r="D48" s="11" t="inlineStr">
        <is>
          <t>ET Manufacturing (Economic Times) and issuer investor update</t>
        </is>
      </c>
      <c r="E48" s="11" t="inlineStr">
        <is>
          <t>Shyam Metalics FY2026 results coverage and investor update</t>
        </is>
      </c>
      <c r="F48" s="11" t="inlineStr">
        <is>
          <t>11-May-2026 (board meeting and results); investor update May-2026</t>
        </is>
      </c>
      <c r="G48" s="11" t="inlineStr">
        <is>
          <t>Results summary</t>
        </is>
      </c>
      <c r="H48" s="11" t="inlineStr">
        <is>
          <t>Q4FY2026, FY2026, FY2025</t>
        </is>
      </c>
      <c r="I48" s="12" t="inlineStr">
        <is>
          <t>https://manufacturing.economictimes.indiatimes.com/news/industry/shyam-metalics-logs-45-8-jump-in-q4-net-profit-to-319-09-crore/131089712</t>
        </is>
      </c>
      <c r="J48" s="12" t="inlineStr">
        <is>
          <t>Cross-checked - company-reported EBITDA Rs 2,537 cr reconciles exactly to Standardised EBITDA Rs 2,333 cr plus other income Rs 204 cr per S30</t>
        </is>
      </c>
      <c r="K48" s="11" t="inlineStr">
        <is>
          <t>03-Aug-2026</t>
        </is>
      </c>
      <c r="L48" s="12" t="inlineStr">
        <is>
          <t>Statutory auditor MSKA &amp; Associates LLP issued an unmodified opinion for FY2026.</t>
        </is>
      </c>
    </row>
    <row r="49">
      <c r="A49" s="11" t="inlineStr">
        <is>
          <t>S32</t>
        </is>
      </c>
      <c r="B49" s="10" t="n">
        <v>1</v>
      </c>
      <c r="C49" s="11" t="inlineStr">
        <is>
          <t>Subordinate legislation / executive order</t>
        </is>
      </c>
      <c r="D49" s="11" t="inlineStr">
        <is>
          <t>Ministry of Steel and Bureau of Indian Standards, Government of India</t>
        </is>
      </c>
      <c r="E49" s="11" t="inlineStr">
        <is>
          <t>Steel and Steel Products (Quality Control) Order, 2024 and subsequent amendments and suspensions</t>
        </is>
      </c>
      <c r="F49" s="11" t="inlineStr">
        <is>
          <t>QCO 2024; exemption extension ~20-Nov-2025; BIS amendments Feb-2026; stainless steel QCO suspension order dated 27-Apr-2026</t>
        </is>
      </c>
      <c r="G49" s="11" t="inlineStr">
        <is>
          <t>Amendment schedules</t>
        </is>
      </c>
      <c r="H49" s="11" t="inlineStr">
        <is>
          <t>In force during FY2026-FY2027</t>
        </is>
      </c>
      <c r="I49" s="12" t="inlineStr">
        <is>
          <t>https://www.bis.gov.in/wp-content/uploads/2026/02/Amendments-in-Quality-Control-Order.pdf</t>
        </is>
      </c>
      <c r="J49" s="12" t="inlineStr">
        <is>
          <t>Partially verified - BIS amendment document located; the 27-Apr-2026 stainless suspension order is evidenced by The Hindu and Economic Times reporting and corroborated by issuer commentary in S12</t>
        </is>
      </c>
      <c r="K49" s="11" t="inlineStr">
        <is>
          <t>03-Aug-2026</t>
        </is>
      </c>
      <c r="L49" s="12" t="inlineStr">
        <is>
          <t>The stainless-steel QCO suspension is a live FY2027 policy risk flagged by domestic producers.</t>
        </is>
      </c>
    </row>
    <row r="50">
      <c r="A50" s="11" t="inlineStr">
        <is>
          <t>S33</t>
        </is>
      </c>
      <c r="B50" s="10" t="n">
        <v>1</v>
      </c>
      <c r="C50" s="11" t="inlineStr">
        <is>
          <t>Subordinate legislation / press release</t>
        </is>
      </c>
      <c r="D50" s="11" t="inlineStr">
        <is>
          <t>Ministry of Commerce &amp; Industry, Government of India</t>
        </is>
      </c>
      <c r="E50" s="11" t="inlineStr">
        <is>
          <t>Transition Facilitation (Quality Control) Order, 2026 and accompanying press release</t>
        </is>
      </c>
      <c r="F50" s="11" t="inlineStr">
        <is>
          <t>25-Jun-2026</t>
        </is>
      </c>
      <c r="G50" s="11" t="inlineStr">
        <is>
          <t>Press release</t>
        </is>
      </c>
      <c r="H50" s="11" t="inlineStr">
        <is>
          <t>Five-year transition window from 2026</t>
        </is>
      </c>
      <c r="I50" s="12" t="inlineStr">
        <is>
          <t>https://www.thehindu.com/business/Industry/union-government-eases-quality-control-order-rules-for-several-sectors-for-five-years/article71149440.ece</t>
        </is>
      </c>
      <c r="J50" s="12" t="inlineStr">
        <is>
          <t>Partially verified - press release content reported by The Hindu and Livemint</t>
        </is>
      </c>
      <c r="K50" s="11" t="inlineStr">
        <is>
          <t>03-Aug-2026</t>
        </is>
      </c>
      <c r="L50" s="12" t="inlineStr">
        <is>
          <t>Introduces an alternative risk-based, registration-based BIS compliance mechanism across several sectors.</t>
        </is>
      </c>
    </row>
    <row r="51">
      <c r="A51" s="11" t="inlineStr">
        <is>
          <t>S34</t>
        </is>
      </c>
      <c r="B51" s="10" t="n">
        <v>1</v>
      </c>
      <c r="C51" s="11" t="inlineStr">
        <is>
          <t>Issuer results release</t>
        </is>
      </c>
      <c r="D51" s="11" t="inlineStr">
        <is>
          <t>Vedanta Limited</t>
        </is>
      </c>
      <c r="E51" s="11" t="inlineStr">
        <is>
          <t>Q4 and FY26 Press Release</t>
        </is>
      </c>
      <c r="F51" s="11" t="inlineStr">
        <is>
          <t>29-Apr-2026</t>
        </is>
      </c>
      <c r="G51" s="11" t="inlineStr">
        <is>
          <t>Operational and financial highlights</t>
        </is>
      </c>
      <c r="H51" s="11" t="inlineStr">
        <is>
          <t>Q4FY2026, FY2026</t>
        </is>
      </c>
      <c r="I51" s="12" t="inlineStr">
        <is>
          <t>https://www.vedantalimited.com/public/uploads/19192/Vedanta-Q4-&amp;-FY26---Press-Release.pdf</t>
        </is>
      </c>
      <c r="J51" s="12" t="inlineStr">
        <is>
          <t>Verified - full text retrieved and parsed</t>
        </is>
      </c>
      <c r="K51" s="11" t="inlineStr">
        <is>
          <t>03-Aug-2026</t>
        </is>
      </c>
      <c r="L51" s="12" t="inlineStr">
        <is>
          <t>Does NOT disclose a separate ESL Steel (Electrosteel) revenue, EBITDA or steel production line item. Vedanta demerger effective 01-May-2026.</t>
        </is>
      </c>
    </row>
    <row r="52">
      <c r="A52" s="11" t="inlineStr">
        <is>
          <t>S35</t>
        </is>
      </c>
      <c r="B52" s="10" t="n">
        <v>1</v>
      </c>
      <c r="C52" s="11" t="inlineStr">
        <is>
          <t>Issuer website</t>
        </is>
      </c>
      <c r="D52" s="11" t="inlineStr">
        <is>
          <t>ESL Steel Limited and Vedanta Limited</t>
        </is>
      </c>
      <c r="E52" s="11" t="inlineStr">
        <is>
          <t>Corporate website - steel business and plant descriptions</t>
        </is>
      </c>
      <c r="F52" s="11" t="inlineStr">
        <is>
          <t>Accessed 03-Aug-2026</t>
        </is>
      </c>
      <c r="G52" s="11" t="inlineStr">
        <is>
          <t>Business overview pages</t>
        </is>
      </c>
      <c r="H52" s="11" t="inlineStr">
        <is>
          <t>Current</t>
        </is>
      </c>
      <c r="I52" s="12" t="inlineStr">
        <is>
          <t>https://www.eslsteel.com/</t>
        </is>
      </c>
      <c r="J52" s="12" t="inlineStr">
        <is>
          <t>Verified - retrieved via search snippet</t>
        </is>
      </c>
      <c r="K52" s="11" t="inlineStr">
        <is>
          <t>03-Aug-2026</t>
        </is>
      </c>
      <c r="L52" s="12" t="inlineStr">
        <is>
          <t>Greenfield integrated plant at Chandankyari, Bokaro district, Jharkhand; commissioned capacity 1.5 Mtpa.</t>
        </is>
      </c>
    </row>
    <row r="53">
      <c r="A53" s="11" t="inlineStr">
        <is>
          <t>S36</t>
        </is>
      </c>
      <c r="B53" s="10" t="n">
        <v>1</v>
      </c>
      <c r="C53" s="11" t="inlineStr">
        <is>
          <t>Insolvency order and exchange circulars</t>
        </is>
      </c>
      <c r="D53" s="11" t="inlineStr">
        <is>
          <t>National Company Law Tribunal (Mumbai) / IBBI and the stock exchanges</t>
        </is>
      </c>
      <c r="E53" s="11" t="inlineStr">
        <is>
          <t>Resolution plan approval order for Uttam Galva Steels Ltd; exchange suspension and delisting circulars</t>
        </is>
      </c>
      <c r="F53" s="11" t="inlineStr">
        <is>
          <t>NCLT order delivered 14-Oct-2022; trading suspended 17-Oct-2022; delisted 08-Dec-2022</t>
        </is>
      </c>
      <c r="G53" s="11" t="inlineStr">
        <is>
          <t>Order record and circulars</t>
        </is>
      </c>
      <c r="H53" s="11" t="inlineStr">
        <is>
          <t>FY2023 onwards</t>
        </is>
      </c>
      <c r="I53" s="12" t="inlineStr">
        <is>
          <t>https://ibbi.gov.in/uploads/order/7540d135638991b70df813ccdbc7536e.pdf</t>
        </is>
      </c>
      <c r="J53" s="12" t="inlineStr">
        <is>
          <t>Verified - IBBI order record and exchange circulars located; acquisition completion reported by ETInfra 11-Nov-2022</t>
        </is>
      </c>
      <c r="K53" s="11" t="inlineStr">
        <is>
          <t>03-Aug-2026</t>
        </is>
      </c>
      <c r="L53" s="12" t="inlineStr">
        <is>
          <t>Resolution applicant AM Mining India Pvt Ltd (ArcelorMittal group). Explains the absence of public financials from FY2023.</t>
        </is>
      </c>
    </row>
    <row r="54">
      <c r="A54" s="11" t="inlineStr">
        <is>
          <t>S37</t>
        </is>
      </c>
      <c r="B54" s="10" t="n">
        <v>1</v>
      </c>
      <c r="C54" s="11" t="inlineStr">
        <is>
          <t>Issuer investor presentation</t>
        </is>
      </c>
      <c r="D54" s="11" t="inlineStr">
        <is>
          <t>Tata Steel Limited</t>
        </is>
      </c>
      <c r="E54" s="11" t="inlineStr">
        <is>
          <t>Q1 FY27 results presentation</t>
        </is>
      </c>
      <c r="F54" s="11" t="inlineStr">
        <is>
          <t>31-Jul-2026</t>
        </is>
      </c>
      <c r="G54" s="11" t="inlineStr">
        <is>
          <t>Results summary and India expansion roadmap</t>
        </is>
      </c>
      <c r="H54" s="11" t="inlineStr">
        <is>
          <t>Q1FY2027 (Apr-Jun 2026)</t>
        </is>
      </c>
      <c r="I54" s="12" t="inlineStr">
        <is>
          <t>https://in.investing.com/news/company-news/tata-steel-q1-fy27-slides-india-strength-drives-40-mtpa-expansion-93CH-5526729</t>
        </is>
      </c>
      <c r="J54" s="12" t="inlineStr">
        <is>
          <t>Partially verified - headline figures via report of the issuer presentation; original deck not retrieved</t>
        </is>
      </c>
      <c r="K54" s="11" t="inlineStr">
        <is>
          <t>03-Aug-2026</t>
        </is>
      </c>
      <c r="L54" s="12" t="inlineStr">
        <is>
          <t>Q1FY2027 consolidated revenue Rs 60,794 cr, EBITDA Rs 9,370 cr (15.4% margin); India roadmap to 40 Mtpa.</t>
        </is>
      </c>
    </row>
    <row r="55">
      <c r="A55" s="11" t="inlineStr">
        <is>
          <t>S38</t>
        </is>
      </c>
      <c r="B55" s="10" t="n">
        <v>1</v>
      </c>
      <c r="C55" s="11" t="inlineStr">
        <is>
          <t>Issuer website</t>
        </is>
      </c>
      <c r="D55" s="11" t="inlineStr">
        <is>
          <t>Shyam Metalics and Energy Limited</t>
        </is>
      </c>
      <c r="E55" s="11" t="inlineStr">
        <is>
          <t>Corporate website - About Us / capacity disclosures</t>
        </is>
      </c>
      <c r="F55" s="11" t="inlineStr">
        <is>
          <t>Accessed 03-Aug-2026</t>
        </is>
      </c>
      <c r="G55" s="11" t="inlineStr">
        <is>
          <t>Installed metal capacity statements</t>
        </is>
      </c>
      <c r="H55" s="11" t="inlineStr">
        <is>
          <t>As at 31-Mar-2024 and 31-Dec-2024</t>
        </is>
      </c>
      <c r="I55" s="12" t="inlineStr">
        <is>
          <t>https://www.shyammetalics.com/about-us/</t>
        </is>
      </c>
      <c r="J55" s="12" t="inlineStr">
        <is>
          <t>Verified - retrieved via search snippet</t>
        </is>
      </c>
      <c r="K55" s="11" t="inlineStr">
        <is>
          <t>03-Aug-2026</t>
        </is>
      </c>
      <c r="L55" s="12" t="inlineStr">
        <is>
          <t>IMPORTANT: 'aggregate installed metal capacity' spans intermediate AND final products and therefore double-counts within the value chain. It is NOT crude steel capacity.</t>
        </is>
      </c>
    </row>
    <row r="56">
      <c r="A56" s="11" t="inlineStr">
        <is>
          <t>S39</t>
        </is>
      </c>
      <c r="B56" s="10" t="n">
        <v>2</v>
      </c>
      <c r="C56" s="11" t="inlineStr">
        <is>
          <t>Press report</t>
        </is>
      </c>
      <c r="D56" s="11" t="inlineStr">
        <is>
          <t>The Hindu</t>
        </is>
      </c>
      <c r="E56" s="11" t="inlineStr">
        <is>
          <t>Shyam Metalics plans $1.1 billion expansion</t>
        </is>
      </c>
      <c r="F56" s="11" t="inlineStr">
        <is>
          <t>Jun-2026</t>
        </is>
      </c>
      <c r="G56" s="11" t="inlineStr">
        <is>
          <t>Article text</t>
        </is>
      </c>
      <c r="H56" s="11" t="inlineStr">
        <is>
          <t>FY2027-FY2031 plan</t>
        </is>
      </c>
      <c r="I56" s="12" t="inlineStr">
        <is>
          <t>https://www.thehindu.com/business/shyam-metalics-plans-11-billion-expansion/article71123482.ece</t>
        </is>
      </c>
      <c r="J56" s="12" t="inlineStr">
        <is>
          <t>Verified - retrieved via search snippet</t>
        </is>
      </c>
      <c r="K56" s="11" t="inlineStr">
        <is>
          <t>03-Aug-2026</t>
        </is>
      </c>
      <c r="L56" s="12" t="inlineStr">
        <is>
          <t>Plan to scale aggregate capacity to ~27 Mtpa by FY2031.</t>
        </is>
      </c>
    </row>
    <row r="57">
      <c r="A57" s="11" t="inlineStr">
        <is>
          <t>S40</t>
        </is>
      </c>
      <c r="B57" s="10" t="n">
        <v>2</v>
      </c>
      <c r="C57" s="11" t="inlineStr">
        <is>
          <t>Press report of policy impact</t>
        </is>
      </c>
      <c r="D57" s="11" t="inlineStr">
        <is>
          <t>ETInfra (Economic Times)</t>
        </is>
      </c>
      <c r="E57" s="11" t="inlineStr">
        <is>
          <t>Domestic steel prices surge 18-25% on extended safeguard duty</t>
        </is>
      </c>
      <c r="F57" s="11" t="inlineStr">
        <is>
          <t>Mar-2026</t>
        </is>
      </c>
      <c r="G57" s="11" t="inlineStr">
        <is>
          <t>Article text</t>
        </is>
      </c>
      <c r="H57" s="11" t="inlineStr">
        <is>
          <t>Q4FY2026 vs Q3FY2026</t>
        </is>
      </c>
      <c r="I57" s="12" t="inlineStr">
        <is>
          <t>https://infra.economictimes.indiatimes.com/news/construction/domestic-steel-prices-surge-18-25-on-extended-safeguard-duty/129674389</t>
        </is>
      </c>
      <c r="J57" s="12" t="inlineStr">
        <is>
          <t>Verified - retrieved via search snippet</t>
        </is>
      </c>
      <c r="K57" s="11" t="inlineStr">
        <is>
          <t>03-Aug-2026</t>
        </is>
      </c>
      <c r="L57" s="12" t="inlineStr">
        <is>
          <t>HRC Rs 55,900/t vs Rs 47,317/t in the December quarter; primary rebar Rs 59,800/t vs Rs 47,615/t.</t>
        </is>
      </c>
    </row>
    <row r="58">
      <c r="A58" s="11" t="inlineStr">
        <is>
          <t>S41</t>
        </is>
      </c>
      <c r="B58" s="10" t="n">
        <v>2</v>
      </c>
      <c r="C58" s="11" t="inlineStr">
        <is>
          <t>Press report of exchange filing</t>
        </is>
      </c>
      <c r="D58" s="11" t="inlineStr">
        <is>
          <t>Livemint / Business Standard / Reuters</t>
        </is>
      </c>
      <c r="E58" s="11" t="inlineStr">
        <is>
          <t>Jindal Steel FY2026 and Q1FY2027 results coverage</t>
        </is>
      </c>
      <c r="F58" s="11" t="inlineStr">
        <is>
          <t>01-May-2026 (FY26); 24-Jul-2026 (Q1FY27)</t>
        </is>
      </c>
      <c r="G58" s="11" t="inlineStr">
        <is>
          <t>Article text</t>
        </is>
      </c>
      <c r="H58" s="11" t="inlineStr">
        <is>
          <t>FY2026; Q1FY2027</t>
        </is>
      </c>
      <c r="I58" s="12" t="inlineStr">
        <is>
          <t>https://www.livemint.com/companies/news/jindal-steel-fy26-profit-earning-margins-11777648890744.html</t>
        </is>
      </c>
      <c r="J58" s="12" t="inlineStr">
        <is>
          <t>Cross-checked - Q4FY2026 revenue from operations of Rs 16,217.93 cr per Business Standard ties to the Mar-2026 quarter in S30</t>
        </is>
      </c>
      <c r="K58" s="11" t="inlineStr">
        <is>
          <t>03-Aug-2026</t>
        </is>
      </c>
      <c r="L58" s="12" t="inlineStr">
        <is>
          <t>Used to evidence Conflict C02 on the Jindal Steel FY2026 revenue basis.</t>
        </is>
      </c>
    </row>
    <row r="59">
      <c r="A59" s="11" t="inlineStr">
        <is>
          <t>S42</t>
        </is>
      </c>
      <c r="B59" s="10" t="n">
        <v>2</v>
      </c>
      <c r="C59" s="11" t="inlineStr">
        <is>
          <t>Press report</t>
        </is>
      </c>
      <c r="D59" s="11" t="inlineStr">
        <is>
          <t>The Hindu / Economic Times</t>
        </is>
      </c>
      <c r="E59" s="11" t="inlineStr">
        <is>
          <t>Stainless steel sector MSMEs flag import surge, urge Government to reintroduce quality control order</t>
        </is>
      </c>
      <c r="F59" s="11" t="inlineStr">
        <is>
          <t>Jun-Jul 2026</t>
        </is>
      </c>
      <c r="G59" s="11" t="inlineStr">
        <is>
          <t>Article text</t>
        </is>
      </c>
      <c r="H59" s="11" t="inlineStr">
        <is>
          <t>FY2027 to date</t>
        </is>
      </c>
      <c r="I59" s="12" t="inlineStr">
        <is>
          <t>https://www.thehindu.com/business/stainless-steel-sector-msmes-flag-import-surge-urges-govt-to-reintroduce-quality-control-order/article71146872.ece</t>
        </is>
      </c>
      <c r="J59" s="12" t="inlineStr">
        <is>
          <t>Verified - retrieved via search snippet</t>
        </is>
      </c>
      <c r="K59" s="11" t="inlineStr">
        <is>
          <t>03-Aug-2026</t>
        </is>
      </c>
      <c r="L59" s="12" t="inlineStr">
        <is>
          <t>Establishes the 27-Apr-2026 order date for the stainless-steel QCO suspension.</t>
        </is>
      </c>
    </row>
    <row r="60">
      <c r="A60" s="11" t="inlineStr">
        <is>
          <t>S43</t>
        </is>
      </c>
      <c r="B60" s="10" t="n">
        <v>2</v>
      </c>
      <c r="C60" s="11" t="inlineStr">
        <is>
          <t>Press report</t>
        </is>
      </c>
      <c r="D60" s="11" t="inlineStr">
        <is>
          <t>Livemint</t>
        </is>
      </c>
      <c r="E60" s="11" t="inlineStr">
        <is>
          <t>Regulatory cloud lifts, Vedanta readies Bokaro capacity doubling</t>
        </is>
      </c>
      <c r="F60" s="11" t="inlineStr">
        <is>
          <t>Jan-2026</t>
        </is>
      </c>
      <c r="G60" s="11" t="inlineStr">
        <is>
          <t>Article text</t>
        </is>
      </c>
      <c r="H60" s="11" t="inlineStr">
        <is>
          <t>CY2026 target</t>
        </is>
      </c>
      <c r="I60" s="12" t="inlineStr">
        <is>
          <t>https://www.livemint.com/companies/vedanta-iron-steel-vedanta-anil-agarwal-bokaro-steel-plant-steel-capacity-expansion-esl-steel-bokaro-11782919317947.html</t>
        </is>
      </c>
      <c r="J60" s="12" t="inlineStr">
        <is>
          <t>Single-source secondary - treat as indicative</t>
        </is>
      </c>
      <c r="K60" s="11" t="inlineStr">
        <is>
          <t>03-Aug-2026</t>
        </is>
      </c>
      <c r="L60" s="12" t="inlineStr">
        <is>
          <t>ESL Bokaro steelmaking capacity targeted to double to 3.0 Mtpa by end-CY2026.</t>
        </is>
      </c>
    </row>
    <row r="61">
      <c r="A61" s="11" t="inlineStr">
        <is>
          <t>S44</t>
        </is>
      </c>
      <c r="B61" s="10" t="n">
        <v>2</v>
      </c>
      <c r="C61" s="11" t="inlineStr">
        <is>
          <t>Press report</t>
        </is>
      </c>
      <c r="D61" s="11" t="inlineStr">
        <is>
          <t>Economic Times</t>
        </is>
      </c>
      <c r="E61" s="11" t="inlineStr">
        <is>
          <t>Speciality steel PLI 1.2 investment commitments</t>
        </is>
      </c>
      <c r="F61" s="11" t="inlineStr">
        <is>
          <t>09-Feb-2026</t>
        </is>
      </c>
      <c r="G61" s="11" t="inlineStr">
        <is>
          <t>Article text</t>
        </is>
      </c>
      <c r="H61" s="11" t="inlineStr">
        <is>
          <t>PLI 1.2 round</t>
        </is>
      </c>
      <c r="I61" s="12" t="inlineStr">
        <is>
          <t>https://m.economictimes.indiatimes.com/industry/indl-goods/svs/steel/speciality-steel-pli-1-2-gets-rs-13000-crore-investment-commitments/articleshow/128113589.cms</t>
        </is>
      </c>
      <c r="J61" s="12" t="inlineStr">
        <is>
          <t>Verified - retrieved via search snippet</t>
        </is>
      </c>
      <c r="K61" s="11" t="inlineStr">
        <is>
          <t>03-Aug-2026</t>
        </is>
      </c>
      <c r="L61" s="12" t="inlineStr">
        <is>
          <t>Rs 11,887 cr of investment commitments; 8.7 Mt of specialty steel capacity expected by FY2031.</t>
        </is>
      </c>
    </row>
    <row r="62">
      <c r="A62" s="11" t="inlineStr">
        <is>
          <t>S45</t>
        </is>
      </c>
      <c r="B62" s="10" t="n">
        <v>2</v>
      </c>
      <c r="C62" s="11" t="inlineStr">
        <is>
          <t>Press report</t>
        </is>
      </c>
      <c r="D62" s="11" t="inlineStr">
        <is>
          <t>Economic Times / ETEnergyworld</t>
        </is>
      </c>
      <c r="E62" s="11" t="inlineStr">
        <is>
          <t>Government launches PLI Scheme 1.1 for specialty steel</t>
        </is>
      </c>
      <c r="F62" s="11" t="inlineStr">
        <is>
          <t>06-Jan-2025</t>
        </is>
      </c>
      <c r="G62" s="11" t="inlineStr">
        <is>
          <t>Article text</t>
        </is>
      </c>
      <c r="H62" s="11" t="inlineStr">
        <is>
          <t>PLI 1.1 scheme design</t>
        </is>
      </c>
      <c r="I62" s="12" t="inlineStr">
        <is>
          <t>https://energy.economictimes.indiatimes.com/news/coal/govt-launches-pli-scheme-1-1-for-specialty-steel-to-boost-domestic-production/117008388</t>
        </is>
      </c>
      <c r="J62" s="12" t="inlineStr">
        <is>
          <t>Verified - retrieved via search snippet</t>
        </is>
      </c>
      <c r="K62" s="11" t="inlineStr">
        <is>
          <t>03-Aug-2026</t>
        </is>
      </c>
      <c r="L62" s="12" t="inlineStr">
        <is>
          <t>Rs 6,322 cr allocation retained; five product categories; production period FY2026-FY2030.</t>
        </is>
      </c>
    </row>
    <row r="63">
      <c r="A63" s="11" t="inlineStr">
        <is>
          <t>S46</t>
        </is>
      </c>
      <c r="B63" s="10" t="n">
        <v>2</v>
      </c>
      <c r="C63" s="11" t="inlineStr">
        <is>
          <t>Press report / official taxonomy coverage</t>
        </is>
      </c>
      <c r="D63" s="11" t="inlineStr">
        <is>
          <t>S&amp;P Global Commodity Insights and Economic Times</t>
        </is>
      </c>
      <c r="E63" s="11" t="inlineStr">
        <is>
          <t>India green steel taxonomy classification criteria and star rating</t>
        </is>
      </c>
      <c r="F63" s="11" t="inlineStr">
        <is>
          <t>13-20 Dec-2024</t>
        </is>
      </c>
      <c r="G63" s="11" t="inlineStr">
        <is>
          <t>Article text</t>
        </is>
      </c>
      <c r="H63" s="11" t="inlineStr">
        <is>
          <t>Taxonomy notified 23-Dec-2024</t>
        </is>
      </c>
      <c r="I63" s="12" t="inlineStr">
        <is>
          <t>https://www.spglobal.com/energy/en/news-research/latest-news/metals/121324-india-unveils-classification-criteria-for-green-steel</t>
        </is>
      </c>
      <c r="J63" s="12" t="inlineStr">
        <is>
          <t>Verified - retrieved via search snippet; notification date independently confirmed by S25</t>
        </is>
      </c>
      <c r="K63" s="11" t="inlineStr">
        <is>
          <t>03-Aug-2026</t>
        </is>
      </c>
      <c r="L63" s="12" t="inlineStr">
        <is>
          <t>Star-rating bands and the 2.2 tCO2e/tfs threshold. The 37% government-procurement share is a PROPOSAL, not an enacted mandate.</t>
        </is>
      </c>
    </row>
    <row r="64">
      <c r="A64" s="11" t="inlineStr">
        <is>
          <t>S47</t>
        </is>
      </c>
      <c r="B64" s="10" t="n">
        <v>2</v>
      </c>
      <c r="C64" s="11" t="inlineStr">
        <is>
          <t>Press report</t>
        </is>
      </c>
      <c r="D64" s="11" t="inlineStr">
        <is>
          <t>Economic Times / ETInfra</t>
        </is>
      </c>
      <c r="E64" s="11" t="inlineStr">
        <is>
          <t>SAIL capacity expansion roadmap to ~35 Mt by 2030-31</t>
        </is>
      </c>
      <c r="F64" s="11" t="inlineStr">
        <is>
          <t>Jul-Sep 2025</t>
        </is>
      </c>
      <c r="G64" s="11" t="inlineStr">
        <is>
          <t>Article text</t>
        </is>
      </c>
      <c r="H64" s="11" t="inlineStr">
        <is>
          <t>FY2031 target</t>
        </is>
      </c>
      <c r="I64" s="12" t="inlineStr">
        <is>
          <t>https://infra.economictimes.indiatimes.com/news/construction/sail-plans-to-expand-steel-production-to-35-million-tonnes-by-2030-31/123937485</t>
        </is>
      </c>
      <c r="J64" s="12" t="inlineStr">
        <is>
          <t>Verified - retrieved via search snippet</t>
        </is>
      </c>
      <c r="K64" s="11" t="inlineStr">
        <is>
          <t>03-Aug-2026</t>
        </is>
      </c>
      <c r="L64" s="12" t="inlineStr">
        <is>
          <t>Roughly Rs 1 lakh crore indicated outlay. Board-approved tranches are in S26; the 35 Mt figure is a stated ambition.</t>
        </is>
      </c>
    </row>
    <row r="66">
      <c r="A66" s="13" t="inlineStr">
        <is>
          <t>Tier 3 sources are used only to extend series backwards and to cross-check. No FY2026 figure in this workbook rests on a Tier 3 source alone: each was reconciled to a Tier 1 or Tier 2 source or to the sum of the four reported quarters.</t>
        </is>
      </c>
    </row>
  </sheetData>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17.xml><?xml version="1.0" encoding="utf-8"?>
<worksheet xmlns="http://schemas.openxmlformats.org/spreadsheetml/2006/main">
  <sheetPr>
    <tabColor rgb="001F3864"/>
    <outlinePr summaryBelow="1" summaryRight="1"/>
    <pageSetUpPr fitToPage="1"/>
  </sheetPr>
  <dimension ref="A1:E56"/>
  <sheetViews>
    <sheetView showGridLines="0" workbookViewId="0">
      <pane xSplit="5" ySplit="17" topLeftCell="F18" activePane="bottomRight" state="frozen"/>
      <selection pane="topRight"/>
      <selection pane="bottomLeft"/>
      <selection pane="bottomRight" activeCell="A1" sqref="A1"/>
    </sheetView>
  </sheetViews>
  <sheetFormatPr baseColWidth="8" defaultRowHeight="15"/>
  <cols>
    <col width="26" customWidth="1" min="1" max="1"/>
    <col width="42" customWidth="1" min="2" max="2"/>
    <col width="96" customWidth="1" min="3" max="3"/>
    <col width="26" customWidth="1" min="4" max="4"/>
    <col width="110" customWidth="1" min="5" max="5"/>
  </cols>
  <sheetData>
    <row r="1" ht="19" customHeight="1">
      <c r="A1" s="1" t="inlineStr">
        <is>
          <t>15. Data Dictionary</t>
        </is>
      </c>
    </row>
    <row r="2">
      <c r="A2" s="4" t="inlineStr">
        <is>
          <t>Master Industry Database  |  Indian Steel Industry  |  Data cutoff: 03-Aug-2026</t>
        </is>
      </c>
    </row>
    <row r="3">
      <c r="A3" s="3" t="inlineStr"/>
    </row>
    <row r="4">
      <c r="A4" s="4" t="inlineStr">
        <is>
          <t>OBJECTIVE</t>
        </is>
      </c>
    </row>
    <row r="5">
      <c r="A5" s="3" t="inlineStr">
        <is>
          <t>Defines every column used in the workbook and states why it exists, so that a reviewer who has never seen this file can interpret any cell without asking.</t>
        </is>
      </c>
    </row>
    <row r="6">
      <c r="A6" s="4" t="inlineStr">
        <is>
          <t>UNITS AND CURRENCY</t>
        </is>
      </c>
    </row>
    <row r="7">
      <c r="A7" s="3" t="inlineStr">
        <is>
          <t>Not applicable - reference sheet.</t>
        </is>
      </c>
    </row>
    <row r="8">
      <c r="A8" s="4" t="inlineStr">
        <is>
          <t>COVERAGE AND HISTORICAL DEPTH</t>
        </is>
      </c>
    </row>
    <row r="9">
      <c r="A9" s="3" t="inlineStr">
        <is>
          <t>All columns on all 14 mandated worksheets.</t>
        </is>
      </c>
    </row>
    <row r="10">
      <c r="A10" s="4" t="inlineStr">
        <is>
          <t>DATA FREQUENCY</t>
        </is>
      </c>
    </row>
    <row r="11">
      <c r="A11" s="3" t="inlineStr">
        <is>
          <t>Updated whenever a column is added or redefined.</t>
        </is>
      </c>
    </row>
    <row r="12">
      <c r="A12" s="4" t="inlineStr">
        <is>
          <t>SOURCE HIERARCHY APPLIED</t>
        </is>
      </c>
    </row>
    <row r="13">
      <c r="A13" s="3" t="inlineStr">
        <is>
          <t>Not applicable.</t>
        </is>
      </c>
    </row>
    <row r="14">
      <c r="A14" s="4" t="inlineStr">
        <is>
          <t>COLUMN RATIONALE</t>
        </is>
      </c>
    </row>
    <row r="15">
      <c r="A15" s="3" t="inlineStr">
        <is>
          <t>Rows tagged 'ALL SHEETS' define the global metadata convention applied to every data row: Source ID, Confidence, Reporting Basis, Currency, Unit, Fiscal Year, Period Type, Last Updated, Notes and Methodology. Sheet-specific rows follow.</t>
        </is>
      </c>
    </row>
    <row r="16">
      <c r="A16" s="3" t="inlineStr"/>
    </row>
    <row r="17" ht="30" customHeight="1">
      <c r="A17" s="8" t="inlineStr">
        <is>
          <t>Sheet</t>
        </is>
      </c>
      <c r="B17" s="8" t="inlineStr">
        <is>
          <t>Column</t>
        </is>
      </c>
      <c r="C17" s="8" t="inlineStr">
        <is>
          <t>Definition</t>
        </is>
      </c>
      <c r="D17" s="8" t="inlineStr">
        <is>
          <t>Unit / Format</t>
        </is>
      </c>
      <c r="E17" s="8" t="inlineStr">
        <is>
          <t>Why this column exists</t>
        </is>
      </c>
    </row>
    <row r="18">
      <c r="A18" s="11" t="inlineStr">
        <is>
          <t>ALL SHEETS</t>
        </is>
      </c>
      <c r="B18" s="11" t="inlineStr">
        <is>
          <t>Source ID</t>
        </is>
      </c>
      <c r="C18" s="12" t="inlineStr">
        <is>
          <t>Key into the Sources sheet identifying the single document a figure was taken from.</t>
        </is>
      </c>
      <c r="D18" s="11" t="inlineStr">
        <is>
          <t>Text (Snn)</t>
        </is>
      </c>
      <c r="E18" s="12" t="inlineStr">
        <is>
          <t>Makes every number traceable to one document. Without it the workbook cannot be audited or refreshed.</t>
        </is>
      </c>
    </row>
    <row r="19">
      <c r="A19" s="11" t="inlineStr">
        <is>
          <t>ALL SHEETS</t>
        </is>
      </c>
      <c r="B19" s="11" t="inlineStr">
        <is>
          <t>Confidence</t>
        </is>
      </c>
      <c r="C19" s="12" t="inlineStr">
        <is>
          <t>High / Medium / Low assessment of how much reliance the figure can bear.</t>
        </is>
      </c>
      <c r="D19" s="11" t="inlineStr">
        <is>
          <t>Text</t>
        </is>
      </c>
      <c r="E19" s="12" t="inlineStr">
        <is>
          <t>Lets a modeller decide what to hard-code versus flex. High = primary issuer or government document read directly.</t>
        </is>
      </c>
    </row>
    <row r="20">
      <c r="A20" s="11" t="inlineStr">
        <is>
          <t>ALL SHEETS</t>
        </is>
      </c>
      <c r="B20" s="11" t="inlineStr">
        <is>
          <t>Reporting Basis</t>
        </is>
      </c>
      <c r="C20" s="12" t="inlineStr">
        <is>
          <t>Consolidated, Standalone, 100% basis (JV), Proforma India, or Industry aggregate.</t>
        </is>
      </c>
      <c r="D20" s="11" t="inlineStr">
        <is>
          <t>Text</t>
        </is>
      </c>
      <c r="E20" s="12" t="inlineStr">
        <is>
          <t>Mixing consolidated and standalone figures is the most common error in Indian steel comps. Stating basis on every row prevents it.</t>
        </is>
      </c>
    </row>
    <row r="21">
      <c r="A21" s="11" t="inlineStr">
        <is>
          <t>ALL SHEETS</t>
        </is>
      </c>
      <c r="B21" s="11" t="inlineStr">
        <is>
          <t>Currency</t>
        </is>
      </c>
      <c r="C21" s="12" t="inlineStr">
        <is>
          <t>Currency of the reported figure.</t>
        </is>
      </c>
      <c r="D21" s="11" t="inlineStr">
        <is>
          <t>Text (INR/USD/EUR/GBP)</t>
        </is>
      </c>
      <c r="E21" s="12" t="inlineStr">
        <is>
          <t>The peer set reports in four currencies. Silent currency mixing would corrupt any comparable table.</t>
        </is>
      </c>
    </row>
    <row r="22">
      <c r="A22" s="11" t="inlineStr">
        <is>
          <t>ALL SHEETS</t>
        </is>
      </c>
      <c r="B22" s="11" t="inlineStr">
        <is>
          <t>Unit</t>
        </is>
      </c>
      <c r="C22" s="12" t="inlineStr">
        <is>
          <t>Unit of measure of the value.</t>
        </is>
      </c>
      <c r="D22" s="11" t="inlineStr">
        <is>
          <t>Text</t>
        </is>
      </c>
      <c r="E22" s="12" t="inlineStr">
        <is>
          <t>Drives the number format applied and prevents Mt / kt / '000 t confusion.</t>
        </is>
      </c>
    </row>
    <row r="23">
      <c r="A23" s="11" t="inlineStr">
        <is>
          <t>ALL SHEETS</t>
        </is>
      </c>
      <c r="B23" s="11" t="inlineStr">
        <is>
          <t>Fiscal Year</t>
        </is>
      </c>
      <c r="C23" s="12" t="inlineStr">
        <is>
          <t>Indian fiscal year label; FY2026 = 1 Apr 2025 to 31 Mar 2026.</t>
        </is>
      </c>
      <c r="D23" s="11" t="inlineStr">
        <is>
          <t>Text (FYxxxx)</t>
        </is>
      </c>
      <c r="E23" s="12" t="inlineStr">
        <is>
          <t>Indian fiscal years are offset from calendar years. Several sources here are calendar-based and must be distinguishable.</t>
        </is>
      </c>
    </row>
    <row r="24">
      <c r="A24" s="11" t="inlineStr">
        <is>
          <t>ALL SHEETS</t>
        </is>
      </c>
      <c r="B24" s="11" t="inlineStr">
        <is>
          <t>Period Type</t>
        </is>
      </c>
      <c r="C24" s="12" t="inlineStr">
        <is>
          <t>Annual (FY), Calendar Year, Quarter, Month, or Point-in-time.</t>
        </is>
      </c>
      <c r="D24" s="11" t="inlineStr">
        <is>
          <t>Text</t>
        </is>
      </c>
      <c r="E24" s="12" t="inlineStr">
        <is>
          <t>Prevents a calendar-year worldsteel figure being compared with a fiscal-year JPC figure.</t>
        </is>
      </c>
    </row>
    <row r="25">
      <c r="A25" s="11" t="inlineStr">
        <is>
          <t>ALL SHEETS</t>
        </is>
      </c>
      <c r="B25" s="11" t="inlineStr">
        <is>
          <t>Last Updated</t>
        </is>
      </c>
      <c r="C25" s="12" t="inlineStr">
        <is>
          <t>Date this row was last written or reviewed.</t>
        </is>
      </c>
      <c r="D25" s="11" t="inlineStr">
        <is>
          <t>DD-MMM-YYYY</t>
        </is>
      </c>
      <c r="E25" s="12" t="inlineStr">
        <is>
          <t>Supports the quarterly update cycle and tells a reader how stale a row is.</t>
        </is>
      </c>
    </row>
    <row r="26">
      <c r="A26" s="11" t="inlineStr">
        <is>
          <t>ALL SHEETS</t>
        </is>
      </c>
      <c r="B26" s="11" t="inlineStr">
        <is>
          <t>Notes</t>
        </is>
      </c>
      <c r="C26" s="12" t="inlineStr">
        <is>
          <t>Row-specific caveats, definitional detail and cross-references.</t>
        </is>
      </c>
      <c r="D26" s="11" t="inlineStr">
        <is>
          <t>Text</t>
        </is>
      </c>
      <c r="E26" s="12" t="inlineStr">
        <is>
          <t>Carries the exceptions that would otherwise be lost when the sheet is copied into a model.</t>
        </is>
      </c>
    </row>
    <row r="27">
      <c r="A27" s="11" t="inlineStr">
        <is>
          <t>ALL SHEETS</t>
        </is>
      </c>
      <c r="B27" s="11" t="inlineStr">
        <is>
          <t>"Data Not Publicly Available" sentinel</t>
        </is>
      </c>
      <c r="C27" s="12" t="inlineStr">
        <is>
          <t>Text written into a cell, including numeric columns, where a figure is genuinely not in the public domain at the data cutoff.</t>
        </is>
      </c>
      <c r="D27" s="11" t="inlineStr">
        <is>
          <t>Text</t>
        </is>
      </c>
      <c r="E27" s="12" t="inlineStr">
        <is>
          <t>Distinguishes a gap that was investigated and found to be undisclosed from a gap that was overlooked - a blank cell cannot convey that. Consequence: some fiscal-year columns are mixed-type. This is safe in Excel because SUM and AVERAGE ignore text and every calculated column in this workbook is ISNUMBER-guarded inside IFERROR. In Power Query, replace the sentinel with null BEFORE setting the column type to decimal; do not force the type.</t>
        </is>
      </c>
    </row>
    <row r="28">
      <c r="A28" s="11" t="inlineStr">
        <is>
          <t>ALL SHEETS</t>
        </is>
      </c>
      <c r="B28" s="11" t="inlineStr">
        <is>
          <t>Methodology</t>
        </is>
      </c>
      <c r="C28" s="12" t="inlineStr">
        <is>
          <t>How the figure was arrived at: As reported, Derived, Computed, or Cross-checked.</t>
        </is>
      </c>
      <c r="D28" s="11" t="inlineStr">
        <is>
          <t>Text</t>
        </is>
      </c>
      <c r="E28" s="12" t="inlineStr">
        <is>
          <t>Distinguishes a number lifted from a filing from one this workbook calculated. Derived figures need re-derivation when data is restated.</t>
        </is>
      </c>
    </row>
    <row r="29">
      <c r="A29" s="11" t="inlineStr">
        <is>
          <t>Company List</t>
        </is>
      </c>
      <c r="B29" s="11" t="inlineStr">
        <is>
          <t>Coverage Tier</t>
        </is>
      </c>
      <c r="C29" s="12" t="inlineStr">
        <is>
          <t>Core Coverage or Supporting Coverage.</t>
        </is>
      </c>
      <c r="D29" s="11" t="inlineStr">
        <is>
          <t>Text</t>
        </is>
      </c>
      <c r="E29" s="12" t="inlineStr">
        <is>
          <t>Core names carry full financial build-out; supporting names are included for market structure and read-across.</t>
        </is>
      </c>
    </row>
    <row r="30">
      <c r="A30" s="11" t="inlineStr">
        <is>
          <t>Company List</t>
        </is>
      </c>
      <c r="B30" s="11" t="inlineStr">
        <is>
          <t>Listing Status</t>
        </is>
      </c>
      <c r="C30" s="12" t="inlineStr">
        <is>
          <t>Listed / Unlisted / Delisted, with the delisting route.</t>
        </is>
      </c>
      <c r="D30" s="11" t="inlineStr">
        <is>
          <t>Text</t>
        </is>
      </c>
      <c r="E30" s="12" t="inlineStr">
        <is>
          <t>Determines what disclosure exists. Delisted and unlisted names cannot be held to the same data standard.</t>
        </is>
      </c>
    </row>
    <row r="31">
      <c r="A31" s="11" t="inlineStr">
        <is>
          <t>Company List</t>
        </is>
      </c>
      <c r="B31" s="11" t="inlineStr">
        <is>
          <t>Primary Steelmaking Route</t>
        </is>
      </c>
      <c r="C31" s="12" t="inlineStr">
        <is>
          <t>BF-BOF, DRI-EAF, EAF, EOF or non-steelmaking converter.</t>
        </is>
      </c>
      <c r="D31" s="11" t="inlineStr">
        <is>
          <t>Text</t>
        </is>
      </c>
      <c r="E31" s="12" t="inlineStr">
        <is>
          <t>Route drives the cost curve, the coking-coal versus scrap/gas exposure, and the carbon intensity - the three biggest valuation drivers in this sector.</t>
        </is>
      </c>
    </row>
    <row r="32">
      <c r="A32" s="11" t="inlineStr">
        <is>
          <t>Company List</t>
        </is>
      </c>
      <c r="B32" s="11" t="inlineStr">
        <is>
          <t>Consolidation Basis Used</t>
        </is>
      </c>
      <c r="C32" s="12" t="inlineStr">
        <is>
          <t>The basis this workbook uses for the company's financial rows.</t>
        </is>
      </c>
      <c r="D32" s="11" t="inlineStr">
        <is>
          <t>Text</t>
        </is>
      </c>
      <c r="E32" s="12" t="inlineStr">
        <is>
          <t>Stated once per company so the Revenue, EBITDA and EBITDA/t sheets are internally consistent.</t>
        </is>
      </c>
    </row>
    <row r="33">
      <c r="A33" s="11" t="inlineStr">
        <is>
          <t>Company List</t>
        </is>
      </c>
      <c r="B33" s="11" t="inlineStr">
        <is>
          <t>Latest Reported Period</t>
        </is>
      </c>
      <c r="C33" s="12" t="inlineStr">
        <is>
          <t>Most recent period for which the company had reported at the data cutoff.</t>
        </is>
      </c>
      <c r="D33" s="11" t="inlineStr">
        <is>
          <t>Text</t>
        </is>
      </c>
      <c r="E33" s="12" t="inlineStr">
        <is>
          <t>Makes explicit where FY2026 was unavailable and an earlier period is the latest, as the brief requires.</t>
        </is>
      </c>
    </row>
    <row r="34">
      <c r="A34" s="11" t="inlineStr">
        <is>
          <t>Production Capacity</t>
        </is>
      </c>
      <c r="B34" s="11" t="inlineStr">
        <is>
          <t>Crude Steel Capacity</t>
        </is>
      </c>
      <c r="C34" s="12" t="inlineStr">
        <is>
          <t>Nameplate or operating crude steel capacity.</t>
        </is>
      </c>
      <c r="D34" s="11" t="inlineStr">
        <is>
          <t>Mtpa</t>
        </is>
      </c>
      <c r="E34" s="12" t="inlineStr">
        <is>
          <t>The denominator for utilisation and the anchor for growth-capex modelling.</t>
        </is>
      </c>
    </row>
    <row r="35">
      <c r="A35" s="11" t="inlineStr">
        <is>
          <t>Production Capacity</t>
        </is>
      </c>
      <c r="B35" s="11" t="inlineStr">
        <is>
          <t>Capacity Definition</t>
        </is>
      </c>
      <c r="C35" s="12" t="inlineStr">
        <is>
          <t>Whether the figure is crude steel, liquid steel, hot metal, melt capacity or aggregate installed metal capacity.</t>
        </is>
      </c>
      <c r="D35" s="11" t="inlineStr">
        <is>
          <t>Text</t>
        </is>
      </c>
      <c r="E35" s="12" t="inlineStr">
        <is>
          <t>Companies publish different capacity constructs. Shyam Metalics' 'aggregate installed metal capacity' double-counts intermediates and is not crude steel.</t>
        </is>
      </c>
    </row>
    <row r="36">
      <c r="A36" s="11" t="inlineStr">
        <is>
          <t>Production Capacity</t>
        </is>
      </c>
      <c r="B36" s="11" t="inlineStr">
        <is>
          <t>Growth Pipeline</t>
        </is>
      </c>
      <c r="C36" s="12" t="inlineStr">
        <is>
          <t>Announced or Board-approved additional capacity.</t>
        </is>
      </c>
      <c r="D36" s="11" t="inlineStr">
        <is>
          <t>Mtpa</t>
        </is>
      </c>
      <c r="E36" s="12" t="inlineStr">
        <is>
          <t>Separates in-place earnings capacity from optionality that still needs capital and time.</t>
        </is>
      </c>
    </row>
    <row r="37">
      <c r="A37" s="11" t="inlineStr">
        <is>
          <t>Production Capacity</t>
        </is>
      </c>
      <c r="B37" s="11" t="inlineStr">
        <is>
          <t>Approval Status</t>
        </is>
      </c>
      <c r="C37" s="12" t="inlineStr">
        <is>
          <t>Commissioned, Under implementation, Board approved, or Announced/aspirational.</t>
        </is>
      </c>
      <c r="D37" s="11" t="inlineStr">
        <is>
          <t>Text</t>
        </is>
      </c>
      <c r="E37" s="12" t="inlineStr">
        <is>
          <t>An announced 40 Mtpa ambition and a Board-approved 4.08 Mtpa tranche are not the same asset and must not be summed.</t>
        </is>
      </c>
    </row>
    <row r="38">
      <c r="A38" s="11" t="inlineStr">
        <is>
          <t>Production Volume</t>
        </is>
      </c>
      <c r="B38" s="11" t="inlineStr">
        <is>
          <t>Crude Steel Production</t>
        </is>
      </c>
      <c r="C38" s="12" t="inlineStr">
        <is>
          <t>Crude steel produced in the period.</t>
        </is>
      </c>
      <c r="D38" s="11" t="inlineStr">
        <is>
          <t>Mt / mn t</t>
        </is>
      </c>
      <c r="E38" s="12" t="inlineStr">
        <is>
          <t>The volume line in any revenue build and the basis for JPC market-share analysis.</t>
        </is>
      </c>
    </row>
    <row r="39">
      <c r="A39" s="11" t="inlineStr">
        <is>
          <t>Production Volume</t>
        </is>
      </c>
      <c r="B39" s="11" t="inlineStr">
        <is>
          <t>Sales / Deliveries Volume</t>
        </is>
      </c>
      <c r="C39" s="12" t="inlineStr">
        <is>
          <t>Saleable steel sold or delivered in the period.</t>
        </is>
      </c>
      <c r="D39" s="11" t="inlineStr">
        <is>
          <t>Mt / mn t</t>
        </is>
      </c>
      <c r="E39" s="12" t="inlineStr">
        <is>
          <t>Revenue and EBITDA per tonne must be struck on the volume the company itself uses as the denominator; production and sales differ by inventory movement.</t>
        </is>
      </c>
    </row>
    <row r="40">
      <c r="A40" s="11" t="inlineStr">
        <is>
          <t>Production Volume</t>
        </is>
      </c>
      <c r="B40" s="11" t="inlineStr">
        <is>
          <t>Capacity Utilisation</t>
        </is>
      </c>
      <c r="C40" s="12" t="inlineStr">
        <is>
          <t>Production divided by capacity for the period.</t>
        </is>
      </c>
      <c r="D40" s="11" t="inlineStr">
        <is>
          <t>%</t>
        </is>
      </c>
      <c r="E40" s="12" t="inlineStr">
        <is>
          <t>The single best short-cycle operating indicator and the bridge between the Capacity and Volume sheets.</t>
        </is>
      </c>
    </row>
    <row r="41">
      <c r="A41" s="11" t="inlineStr">
        <is>
          <t>Revenue</t>
        </is>
      </c>
      <c r="B41" s="11" t="inlineStr">
        <is>
          <t>Revenue from Operations</t>
        </is>
      </c>
      <c r="C41" s="12" t="inlineStr">
        <is>
          <t>Statutory revenue from operations, net of GST, per the audited or filed statement.</t>
        </is>
      </c>
      <c r="D41" s="11" t="inlineStr">
        <is>
          <t>Rs crore</t>
        </is>
      </c>
      <c r="E41" s="12" t="inlineStr">
        <is>
          <t>The only revenue construct that is comparable across the peer set.</t>
        </is>
      </c>
    </row>
    <row r="42">
      <c r="A42" s="11" t="inlineStr">
        <is>
          <t>Revenue</t>
        </is>
      </c>
      <c r="B42" s="11" t="inlineStr">
        <is>
          <t>Company-Headline Revenue</t>
        </is>
      </c>
      <c r="C42" s="12" t="inlineStr">
        <is>
          <t>The revenue figure the company leads with in investor material, where it differs from statutory revenue.</t>
        </is>
      </c>
      <c r="D42" s="11" t="inlineStr">
        <is>
          <t>Rs crore</t>
        </is>
      </c>
      <c r="E42" s="12" t="inlineStr">
        <is>
          <t>Jindal Steel headlines 'Gross Revenue' including GST and other income. Carrying both prevents an analyst reconciling to the wrong number.</t>
        </is>
      </c>
    </row>
    <row r="43">
      <c r="A43" s="11" t="inlineStr">
        <is>
          <t>EBITDA</t>
        </is>
      </c>
      <c r="B43" s="11" t="inlineStr">
        <is>
          <t>EBITDA - As Reported</t>
        </is>
      </c>
      <c r="C43" s="12" t="inlineStr">
        <is>
          <t>EBITDA on the company's own definition, taken from its results release or presentation.</t>
        </is>
      </c>
      <c r="D43" s="11" t="inlineStr">
        <is>
          <t>Rs crore / US$ m</t>
        </is>
      </c>
      <c r="E43" s="12" t="inlineStr">
        <is>
          <t>This is what the market quotes and what guidance is given against, so it must be present.</t>
        </is>
      </c>
    </row>
    <row r="44">
      <c r="A44" s="11" t="inlineStr">
        <is>
          <t>EBITDA</t>
        </is>
      </c>
      <c r="B44" s="11" t="inlineStr">
        <is>
          <t>EBITDA - Standardised</t>
        </is>
      </c>
      <c r="C44" s="12" t="inlineStr">
        <is>
          <t>Revenue from operations less operating expenses; EXCLUDES other income, finance cost, depreciation and amortisation, exceptional items and share of profit of JVs.</t>
        </is>
      </c>
      <c r="D44" s="11" t="inlineStr">
        <is>
          <t>Rs crore</t>
        </is>
      </c>
      <c r="E44" s="12" t="inlineStr">
        <is>
          <t>The peer set does not define EBITDA consistently - Shyam Metalics includes other income, Jindal Stainless does not. A single standardised basis is required before any multiple is calculated.</t>
        </is>
      </c>
    </row>
    <row r="45">
      <c r="A45" s="11" t="inlineStr">
        <is>
          <t>EBITDA</t>
        </is>
      </c>
      <c r="B45" s="11" t="inlineStr">
        <is>
          <t>Other Income Included in Reported EBITDA?</t>
        </is>
      </c>
      <c r="C45" s="12" t="inlineStr">
        <is>
          <t>Yes / No / Partly, evidencing the reconciliation between the two EBITDA columns.</t>
        </is>
      </c>
      <c r="D45" s="11" t="inlineStr">
        <is>
          <t>Text</t>
        </is>
      </c>
      <c r="E45" s="12" t="inlineStr">
        <is>
          <t>Turns an unexplained variance into a documented definitional difference.</t>
        </is>
      </c>
    </row>
    <row r="46">
      <c r="A46" s="11" t="inlineStr">
        <is>
          <t>EBITDA per Ton</t>
        </is>
      </c>
      <c r="B46" s="11" t="inlineStr">
        <is>
          <t>EBITDA per Tonne</t>
        </is>
      </c>
      <c r="C46" s="12" t="inlineStr">
        <is>
          <t>EBITDA divided by the relevant volume denominator.</t>
        </is>
      </c>
      <c r="D46" s="11" t="inlineStr">
        <is>
          <t>Rs/t or US$/t</t>
        </is>
      </c>
      <c r="E46" s="12" t="inlineStr">
        <is>
          <t>The sector's primary cross-cycle profitability metric, independent of scale and of currency where struck in USD.</t>
        </is>
      </c>
    </row>
    <row r="47">
      <c r="A47" s="11" t="inlineStr">
        <is>
          <t>EBITDA per Ton</t>
        </is>
      </c>
      <c r="B47" s="11" t="inlineStr">
        <is>
          <t>Volume Denominator</t>
        </is>
      </c>
      <c r="C47" s="12" t="inlineStr">
        <is>
          <t>Which volume was used: crude steel production, deliveries, or shipments.</t>
        </is>
      </c>
      <c r="D47" s="11" t="inlineStr">
        <is>
          <t>Text</t>
        </is>
      </c>
      <c r="E47" s="12" t="inlineStr">
        <is>
          <t>EBITDA/t moves several hundred rupees depending on the denominator. Tata Steel strikes it on deliveries; JSW on saleable sales. Not stating it makes the metric meaningless.</t>
        </is>
      </c>
    </row>
    <row r="48">
      <c r="A48" s="11" t="inlineStr">
        <is>
          <t>Steel Prices</t>
        </is>
      </c>
      <c r="B48" s="11" t="inlineStr">
        <is>
          <t>Assessment Basis</t>
        </is>
      </c>
      <c r="C48" s="12" t="inlineStr">
        <is>
          <t>Ex-works, ex-Mumbai trade, CFR, FOB; GST-inclusive or exclusive; month-end or period average.</t>
        </is>
      </c>
      <c r="D48" s="11" t="inlineStr">
        <is>
          <t>Text</t>
        </is>
      </c>
      <c r="E48" s="12" t="inlineStr">
        <is>
          <t>Indian HRC quotes differ by up to Rs 4,000/t purely on basis. The basis is as important as the number.</t>
        </is>
      </c>
    </row>
    <row r="49">
      <c r="A49" s="11" t="inlineStr">
        <is>
          <t>Iron Ore Prices</t>
        </is>
      </c>
      <c r="B49" s="11" t="inlineStr">
        <is>
          <t>Grade / Specification</t>
        </is>
      </c>
      <c r="C49" s="12" t="inlineStr">
        <is>
          <t>Fe content and size fraction.</t>
        </is>
      </c>
      <c r="D49" s="11" t="inlineStr">
        <is>
          <t>Text</t>
        </is>
      </c>
      <c r="E49" s="12" t="inlineStr">
        <is>
          <t>62% Fe fines, 65.5% Fe lump and pellet are different products with different prices and different netbacks.</t>
        </is>
      </c>
    </row>
    <row r="50">
      <c r="A50" s="11" t="inlineStr">
        <is>
          <t>Coking Coal Prices</t>
        </is>
      </c>
      <c r="B50" s="11" t="inlineStr">
        <is>
          <t>Benchmark / Assessment</t>
        </is>
      </c>
      <c r="C50" s="12" t="inlineStr">
        <is>
          <t>The specific coking coal assessment, including grade and delivery term.</t>
        </is>
      </c>
      <c r="D50" s="11" t="inlineStr">
        <is>
          <t>Text</t>
        </is>
      </c>
      <c r="E50" s="12" t="inlineStr">
        <is>
          <t>'Coking coal FOB Australia' is not one price. The Ministry of Steel and broker series differ by up to US$40/t - see Conflict C01.</t>
        </is>
      </c>
    </row>
    <row r="51">
      <c r="A51" s="11" t="inlineStr">
        <is>
          <t>Demand &amp; Consumption</t>
        </is>
      </c>
      <c r="B51" s="11" t="inlineStr">
        <is>
          <t>Apparent Finished Steel Consumption</t>
        </is>
      </c>
      <c r="C51" s="12" t="inlineStr">
        <is>
          <t>Production plus imports, less exports, adjusted for the change in stocks.</t>
        </is>
      </c>
      <c r="D51" s="11" t="inlineStr">
        <is>
          <t>Mt</t>
        </is>
      </c>
      <c r="E51" s="12" t="inlineStr">
        <is>
          <t>The demand measure JPC publishes and the one the Ministry quotes; it is an apparent, not end-use, measure.</t>
        </is>
      </c>
    </row>
    <row r="52">
      <c r="A52" s="11" t="inlineStr">
        <is>
          <t>Demand &amp; Consumption</t>
        </is>
      </c>
      <c r="B52" s="11" t="inlineStr">
        <is>
          <t>Per Capita Consumption</t>
        </is>
      </c>
      <c r="C52" s="12" t="inlineStr">
        <is>
          <t>Finished steel consumption per head of population.</t>
        </is>
      </c>
      <c r="D52" s="11" t="inlineStr">
        <is>
          <t>kg</t>
        </is>
      </c>
      <c r="E52" s="12" t="inlineStr">
        <is>
          <t>The standard cross-country intensity comparator and the core of the long-run India demand thesis.</t>
        </is>
      </c>
    </row>
    <row r="53">
      <c r="A53" s="11" t="inlineStr">
        <is>
          <t>Imports &amp; Exports</t>
        </is>
      </c>
      <c r="B53" s="11" t="inlineStr">
        <is>
          <t>Net Trade</t>
        </is>
      </c>
      <c r="C53" s="12" t="inlineStr">
        <is>
          <t>Exports less imports of total finished steel.</t>
        </is>
      </c>
      <c r="D53" s="11" t="inlineStr">
        <is>
          <t>Mt</t>
        </is>
      </c>
      <c r="E53" s="12" t="inlineStr">
        <is>
          <t>Determines whether domestic prices trade at import parity or export parity, which drives the whole domestic price deck.</t>
        </is>
      </c>
    </row>
    <row r="54">
      <c r="A54" s="11" t="inlineStr">
        <is>
          <t>Industry KPIs</t>
        </is>
      </c>
      <c r="B54" s="11" t="inlineStr">
        <is>
          <t>KPI</t>
        </is>
      </c>
      <c r="C54" s="12" t="inlineStr">
        <is>
          <t>The indicator name.</t>
        </is>
      </c>
      <c r="D54" s="11" t="inlineStr">
        <is>
          <t>Text</t>
        </is>
      </c>
      <c r="E54" s="12" t="inlineStr">
        <is>
          <t>A single dashboard-ready sheet so downstream tools bind to one place rather than scraping every sheet.</t>
        </is>
      </c>
    </row>
    <row r="56">
      <c r="A56" s="13" t="inlineStr">
        <is>
          <t>Methodology values are controlled: 'As reported' means lifted from a document unchanged; 'Computed' means calculated in this workbook from figures on the same or another sheet; 'Derived' means constructed by combining periods or bases, as with AM/NS India's fiscal-year equivalent; 'Cross-checked' means sourced from one place and independently reconciled to another.</t>
        </is>
      </c>
    </row>
  </sheetData>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18.xml><?xml version="1.0" encoding="utf-8"?>
<worksheet xmlns="http://schemas.openxmlformats.org/spreadsheetml/2006/main">
  <sheetPr>
    <tabColor rgb="001F3864"/>
    <outlinePr summaryBelow="1" summaryRight="1"/>
    <pageSetUpPr fitToPage="1"/>
  </sheetPr>
  <dimension ref="A1:J35"/>
  <sheetViews>
    <sheetView showGridLines="0" workbookViewId="0">
      <pane xSplit="10" ySplit="17" topLeftCell="K18" activePane="bottomRight" state="frozen"/>
      <selection pane="topRight"/>
      <selection pane="bottomLeft"/>
      <selection pane="bottomRight" activeCell="A1" sqref="A1"/>
    </sheetView>
  </sheetViews>
  <sheetFormatPr baseColWidth="8" defaultRowHeight="15"/>
  <cols>
    <col width="10" customWidth="1" min="1" max="1"/>
    <col width="46" customWidth="1" min="2" max="2"/>
    <col width="34" customWidth="1" min="3" max="3"/>
    <col width="78" customWidth="1" min="4" max="4"/>
    <col width="78" customWidth="1" min="5" max="5"/>
    <col width="66" customWidth="1" min="6" max="6"/>
    <col width="110" customWidth="1" min="7" max="7"/>
    <col width="110" customWidth="1" min="8" max="8"/>
    <col width="66" customWidth="1" min="9" max="9"/>
    <col width="96" customWidth="1" min="10" max="10"/>
  </cols>
  <sheetData>
    <row r="1" ht="19" customHeight="1">
      <c r="A1" s="1" t="inlineStr">
        <is>
          <t>16. Conflicts Log</t>
        </is>
      </c>
    </row>
    <row r="2">
      <c r="A2" s="4" t="inlineStr">
        <is>
          <t>Master Industry Database  |  Indian Steel Industry  |  Data cutoff: 03-Aug-2026</t>
        </is>
      </c>
    </row>
    <row r="3">
      <c r="A3" s="3" t="inlineStr"/>
    </row>
    <row r="4">
      <c r="A4" s="4" t="inlineStr">
        <is>
          <t>OBJECTIVE</t>
        </is>
      </c>
    </row>
    <row r="5">
      <c r="A5" s="3" t="inlineStr">
        <is>
          <t>Every conflict, vintage difference and definitional trap identified during research, with the competing figures and their sources, the reason for the difference, the resolution adopted in this workbook, the figure carried forward, and the residual risk that remains after resolution.</t>
        </is>
      </c>
    </row>
    <row r="6">
      <c r="A6" s="4" t="inlineStr">
        <is>
          <t>UNITS AND CURRENCY</t>
        </is>
      </c>
    </row>
    <row r="7">
      <c r="A7" s="3" t="inlineStr">
        <is>
          <t>As stated per row.</t>
        </is>
      </c>
    </row>
    <row r="8">
      <c r="A8" s="4" t="inlineStr">
        <is>
          <t>COVERAGE AND HISTORICAL DEPTH</t>
        </is>
      </c>
    </row>
    <row r="9">
      <c r="A9" s="3" t="inlineStr">
        <is>
          <t>16 entries. Three are material to modelling: C01 coking coal, C02 Jindal Steel revenue basis, C16 AM/NS India fiscal year mismatch. Two are units and naming traps that would cause large errors if missed: C14 and C15.</t>
        </is>
      </c>
    </row>
    <row r="10">
      <c r="A10" s="4" t="inlineStr">
        <is>
          <t>DATA FREQUENCY</t>
        </is>
      </c>
    </row>
    <row r="11">
      <c r="A11" s="3" t="inlineStr">
        <is>
          <t>Updated whenever a conflict is identified or resolved.</t>
        </is>
      </c>
    </row>
    <row r="12">
      <c r="A12" s="4" t="inlineStr">
        <is>
          <t>SOURCE HIERARCHY APPLIED</t>
        </is>
      </c>
    </row>
    <row r="13">
      <c r="A13" s="3" t="inlineStr">
        <is>
          <t>Not applicable - this sheet adjudicates between sources.</t>
        </is>
      </c>
    </row>
    <row r="14">
      <c r="A14" s="4" t="inlineStr">
        <is>
          <t>COLUMN RATIONALE</t>
        </is>
      </c>
    </row>
    <row r="15">
      <c r="A15" s="3" t="inlineStr">
        <is>
          <t>Figures A, B and C are stated in full with their Source IDs so a reviewer can re-derive the judgement rather than accept it. 'Why the figures differ' is separated from 'Resolution adopted' because the reason is often more useful than the choice: several entries here are not conflicts at all but definitional differences that reconcile exactly once the basis is fixed, and knowing which is which prevents a modeller chasing a phantom error. Residual Risk is carried because resolving a conflict on today's information does not eliminate the exposure.</t>
        </is>
      </c>
    </row>
    <row r="16">
      <c r="A16" s="3" t="inlineStr"/>
    </row>
    <row r="17" ht="30" customHeight="1">
      <c r="A17" s="8" t="inlineStr">
        <is>
          <t>Conflict ID</t>
        </is>
      </c>
      <c r="B17" s="8" t="inlineStr">
        <is>
          <t>Topic</t>
        </is>
      </c>
      <c r="C17" s="8" t="inlineStr">
        <is>
          <t>Affected Sheet(s)</t>
        </is>
      </c>
      <c r="D17" s="8" t="inlineStr">
        <is>
          <t>Figure A (value and source)</t>
        </is>
      </c>
      <c r="E17" s="8" t="inlineStr">
        <is>
          <t>Figure B (value and source)</t>
        </is>
      </c>
      <c r="F17" s="8" t="inlineStr">
        <is>
          <t>Figure C (value and source)</t>
        </is>
      </c>
      <c r="G17" s="8" t="inlineStr">
        <is>
          <t>Why the figures differ</t>
        </is>
      </c>
      <c r="H17" s="8" t="inlineStr">
        <is>
          <t>Resolution adopted in this workbook</t>
        </is>
      </c>
      <c r="I17" s="8" t="inlineStr">
        <is>
          <t>Figure carried forward</t>
        </is>
      </c>
      <c r="J17" s="8" t="inlineStr">
        <is>
          <t>Residual risk</t>
        </is>
      </c>
    </row>
    <row r="18">
      <c r="A18" s="11" t="inlineStr">
        <is>
          <t>C01</t>
        </is>
      </c>
      <c r="B18" s="11" t="inlineStr">
        <is>
          <t>Coking coal benchmark level, FOB Australia</t>
        </is>
      </c>
      <c r="C18" s="11" t="inlineStr">
        <is>
          <t>Coking Coal Prices</t>
        </is>
      </c>
      <c r="D18" s="12" t="inlineStr">
        <is>
          <t>~US$225/t for Mar-2026 and ~US$246/t for Feb-2026 - Ministry of Steel, 'HCC Coking Coal f.o.b. Australia' [S01]</t>
        </is>
      </c>
      <c r="E18" s="12" t="inlineStr">
        <is>
          <t>US$186/t for Mar-2026, flat MoM after a 13% MoM fall in Feb-2026 - IDBI Capital [S20]</t>
        </is>
      </c>
      <c r="F18" s="12" t="inlineStr">
        <is>
          <t>US$200/t at 22-Jun-2026 with a 52-week range of US$135-217/t - IDBI Capital [S21]</t>
        </is>
      </c>
      <c r="G18" s="12" t="inlineStr">
        <is>
          <t>'Coking coal FOB Australia' is not a single price. Differences arise from grade (Premium Low-Vol Hard Coking Coal versus mid-vol, PCI or semi-soft), index provider and methodology (Platts, Argus, Fastmarkets, IHS), delivery term (FOB Australia versus CFR India) and assessment convention (spot versus monthly average versus quarterly settlement). Decisively, IDBI's 52-week HIGH of US$217/t as at Jun-2026 sits BELOW the Ministry's Feb-2026 level of US$246/t, so the two cannot be the same assessment.</t>
        </is>
      </c>
      <c r="H18" s="12" t="inlineStr">
        <is>
          <t>Carry both series as separately labelled rows. Do not blend them and do not compute a single fiscal-year average across them. For modelling the cost base of Indian integrated mills, prefer the Ministry of Steel / JPC assessment because it is the Government's own published benchmark for this industry and the series the Ministry itself uses in monthly reporting.</t>
        </is>
      </c>
      <c r="I18" s="12" t="inlineStr">
        <is>
          <t>Ministry of Steel / JPC assessment as the primary series; IDBI Capital retained as a labelled cross-check</t>
        </is>
      </c>
      <c r="J18" s="12" t="inlineStr">
        <is>
          <t>Neither series is available to this workbook as a complete monthly history, so fiscal-year averages for coking coal are NOT asserted. Obtain a licensed PRA series (Platts PLV HCC FOB Australia) before using coking coal in a formal cost model.</t>
        </is>
      </c>
    </row>
    <row r="19">
      <c r="A19" s="11" t="inlineStr">
        <is>
          <t>C02</t>
        </is>
      </c>
      <c r="B19" s="11" t="inlineStr">
        <is>
          <t>Jindal Steel FY2026 revenue basis</t>
        </is>
      </c>
      <c r="C19" s="11" t="inlineStr">
        <is>
          <t>Revenue; Company List</t>
        </is>
      </c>
      <c r="D19" s="12" t="inlineStr">
        <is>
          <t>Rs 53,225 crore - consolidated revenue from operations; equals the sum of the four FY2026 reported quarters (12,294 + 11,686 + 13,027 + 16,218) [S30], with the Mar-2026 quarter of Rs 16,217.93 cr independently confirmed by press reports of the filing [S41]</t>
        </is>
      </c>
      <c r="E19" s="12" t="inlineStr">
        <is>
          <t>Rs 62,412 crore - 'Gross Revenue' as headlined by the company, expressly stated to INCLUDE GST and other income [S11]</t>
        </is>
      </c>
      <c r="F19" s="12" t="inlineStr">
        <is>
          <t>Rs 53,553 crore [S41 - Livemint] and Rs 54,320 crore [Economic Times yearly table], on wider bases</t>
        </is>
      </c>
      <c r="G19" s="12" t="inlineStr">
        <is>
          <t>The company's investor material leads with a gross measure that includes indirect tax and non-operating income. Press and database figures sit between the two because some add other income to revenue from operations, and some report total income. Only revenue from operations net of GST is comparable to the rest of the peer set.</t>
        </is>
      </c>
      <c r="H19" s="12" t="inlineStr">
        <is>
          <t>Use Rs 53,225 crore as the comparable statutory revenue from operations, verified by quarterly summation and by an independent tie to the Mar-2026 quarter. Additionally carry the Rs 62,412 crore company headline in a separate, clearly labelled column so that a reader reconciling to the company's own deck is not misled.</t>
        </is>
      </c>
      <c r="I19" s="12" t="inlineStr">
        <is>
          <t>Rs 53,225 crore (statutory, comparable); Rs 62,412 crore shown separately as the company headline</t>
        </is>
      </c>
      <c r="J19" s="12" t="inlineStr">
        <is>
          <t>The FY2025 comparative is less clean: the audited annual column is Rs 50,129 cr whereas the four FY2025 quarters sum to Rs 49,765 cr, a Rs 364 cr difference consistent with a fourth-quarter reclassification. FY2025 growth rates should therefore be quoted with the basis stated.</t>
        </is>
      </c>
    </row>
    <row r="20">
      <c r="A20" s="11" t="inlineStr">
        <is>
          <t>C03</t>
        </is>
      </c>
      <c r="B20" s="11" t="inlineStr">
        <is>
          <t>India FY2026 finished steel production and consumption - data vintage</t>
        </is>
      </c>
      <c r="C20" s="11" t="inlineStr">
        <is>
          <t>Demand &amp; Consumption; Production Volume; Industry KPIs</t>
        </is>
      </c>
      <c r="D20" s="12" t="inlineStr">
        <is>
          <t>Finished steel production 160.94 Mt; consumption 163.74 Mt - Ministry of Steel Monthly Economic Report for March 2026, Annexure-I, citing JPC (April-2026 vintage) [S01]</t>
        </is>
      </c>
      <c r="E20" s="12" t="inlineStr">
        <is>
          <t>Total finished steel production 161.74 Mt; consumption 164.19 Mt - Ministry of Steel 'Development of Indian Steel Sector since 2014-15' (June-2026 vintage), citing JPC [S02]</t>
        </is>
      </c>
      <c r="F20" s="12" t="inlineStr"/>
      <c r="G20" s="12" t="inlineStr">
        <is>
          <t>JPC provisional data is revised as returns are received under the Collection of Statistics Act, 2008. The June-2026 document is the later vintage and also labels its series explicitly as 'Total Finished Steel (alloy/stainless + non-alloy)'. Both documents are the same publisher citing the same compiler, at two points in the revision cycle.</t>
        </is>
      </c>
      <c r="H20" s="12" t="inlineStr">
        <is>
          <t>Use the LATER (June-2026) vintage for the long-run FY2015-FY2026 series on the Demand &amp; Consumption sheet. Retain the April-2026 vintage for the supply-balance table (production + imports - exports - stock change = consumption) because that table is internally consistent and self-reconciling. Both vintages are shown, each labelled with its source and vintage.</t>
        </is>
      </c>
      <c r="I20" s="12" t="inlineStr">
        <is>
          <t>Both retained, each labelled. Long-run series uses the June-2026 vintage.</t>
        </is>
      </c>
      <c r="J20" s="12" t="inlineStr">
        <is>
          <t>A third revision is likely before the figures are declared final. Any model built on FY2026 India volumes should be refreshed against the then-current JPC vintage at each quarterly update.</t>
        </is>
      </c>
    </row>
    <row r="21">
      <c r="A21" s="11" t="inlineStr">
        <is>
          <t>C04</t>
        </is>
      </c>
      <c r="B21" s="11" t="inlineStr">
        <is>
          <t>India crude steel capacity, FY2026</t>
        </is>
      </c>
      <c r="C21" s="11" t="inlineStr">
        <is>
          <t>Production Capacity; Industry KPIs</t>
        </is>
      </c>
      <c r="D21" s="12" t="inlineStr">
        <is>
          <t>220.4 Mt - Ministry of Steel, An Overview of Steel Sector, June-2026 [S03]; the same figure appears in the June-2026 Development document [S02]</t>
        </is>
      </c>
      <c r="E21" s="12" t="inlineStr">
        <is>
          <t>220.3 Mt - Ministry of Steel, An Overview of Steel Sector, March-2026 [S04]</t>
        </is>
      </c>
      <c r="F21" s="12" t="inlineStr"/>
      <c r="G21" s="12" t="inlineStr">
        <is>
          <t>Successive vintages of the same monthly Ministry publication, reflecting the JPC revision cycle. The difference is 0.1 Mt, or under 0.05%.</t>
        </is>
      </c>
      <c r="H21" s="12" t="inlineStr">
        <is>
          <t>Adopt the later vintage, 220.4 Mt, and disclose the earlier figure.</t>
        </is>
      </c>
      <c r="I21" s="12" t="inlineStr">
        <is>
          <t>220.4 Mt</t>
        </is>
      </c>
      <c r="J21" s="12" t="inlineStr">
        <is>
          <t>Immaterial for modelling. Noted only for completeness and to demonstrate that vintages were checked rather than assumed identical.</t>
        </is>
      </c>
    </row>
    <row r="22">
      <c r="A22" s="11" t="inlineStr">
        <is>
          <t>C05</t>
        </is>
      </c>
      <c r="B22" s="11" t="inlineStr">
        <is>
          <t>India per capita finished steel consumption, FY2026</t>
        </is>
      </c>
      <c r="C22" s="11" t="inlineStr">
        <is>
          <t>Demand &amp; Consumption; Industry KPIs</t>
        </is>
      </c>
      <c r="D22" s="12" t="inlineStr">
        <is>
          <t>115.7 kg - Ministry of Steel, An Overview of Steel Sector, June-2026, citing JPC [S03]</t>
        </is>
      </c>
      <c r="E22" s="12" t="inlineStr">
        <is>
          <t>115 kg - Ministry of Steel, An Overview of Steel Sector, March-2026, citing JPC [S04]</t>
        </is>
      </c>
      <c r="F22" s="12" t="inlineStr"/>
      <c r="G22" s="12" t="inlineStr">
        <is>
          <t>Later vintage plus a rounding convention difference; the March document rounds to a whole number.</t>
        </is>
      </c>
      <c r="H22" s="12" t="inlineStr">
        <is>
          <t>Adopt the later, more precise figure of 115.7 kg.</t>
        </is>
      </c>
      <c r="I22" s="12" t="inlineStr">
        <is>
          <t>115.7 kg</t>
        </is>
      </c>
      <c r="J22" s="12" t="inlineStr">
        <is>
          <t>None material.</t>
        </is>
      </c>
    </row>
    <row r="23">
      <c r="A23" s="11" t="inlineStr">
        <is>
          <t>C06</t>
        </is>
      </c>
      <c r="B23" s="11" t="inlineStr">
        <is>
          <t>India crude steel output - fiscal versus calendar year</t>
        </is>
      </c>
      <c r="C23" s="11" t="inlineStr">
        <is>
          <t>Production Volume; Industry KPIs</t>
        </is>
      </c>
      <c r="D23" s="12" t="inlineStr">
        <is>
          <t>168.42 Mt for FY2026 (Apr-2025 to Mar-2026) - JPC via Ministry of Steel [S01]</t>
        </is>
      </c>
      <c r="E23" s="12" t="inlineStr">
        <is>
          <t>164.89 Mt for CY2025 - World Steel Association, provisional [S07]</t>
        </is>
      </c>
      <c r="F23" s="12" t="inlineStr"/>
      <c r="G23" s="12" t="inlineStr">
        <is>
          <t>This is NOT a data conflict. The two figures cover different twelve-month periods and are compiled by different agencies on different definitions. They are frequently, and incorrectly, quoted interchangeably.</t>
        </is>
      </c>
      <c r="H23" s="12" t="inlineStr">
        <is>
          <t>Carry both, each labelled with its period type and compiler. The Period Type column on every row prevents the two being mixed. Fiscal-year figures are used for all India-specific analysis; the worldsteel calendar series is used only for cross-country comparison.</t>
        </is>
      </c>
      <c r="I23" s="12" t="inlineStr">
        <is>
          <t>Both, explicitly labelled</t>
        </is>
      </c>
      <c r="J23" s="12" t="inlineStr">
        <is>
          <t>Low, provided the Period Type column is respected. This is flagged because conflating the two is a common and material error in sector notes.</t>
        </is>
      </c>
    </row>
    <row r="24">
      <c r="A24" s="11" t="inlineStr">
        <is>
          <t>C07</t>
        </is>
      </c>
      <c r="B24" s="11" t="inlineStr">
        <is>
          <t>Indian HRC price level, March 2026</t>
        </is>
      </c>
      <c r="C24" s="11" t="inlineStr">
        <is>
          <t>Steel Prices</t>
        </is>
      </c>
      <c r="D24" s="12" t="inlineStr">
        <is>
          <t>Rs 57,700/MT at end-March 2026, up ~14% QoQ - ICRA [S19]</t>
        </is>
      </c>
      <c r="E24" s="12" t="inlineStr">
        <is>
          <t>Rs 59,500/t for Mar-2026, up 10.2% MoM and a 45-month high - IDBI Capital [S20]</t>
        </is>
      </c>
      <c r="F24" s="12" t="inlineStr">
        <is>
          <t>Rs 55,900/t versus Rs 47,317/t in the December quarter - ETInfra [S40]</t>
        </is>
      </c>
      <c r="G24" s="12" t="inlineStr">
        <is>
          <t>Differing assessment point (month-end versus monthly average), location and basis (ex-works versus ex-Mumbai trade), GST treatment, grade and thickness, and primary-mill versus secondary or trade quotes.</t>
        </is>
      </c>
      <c r="H24" s="12" t="inlineStr">
        <is>
          <t>Carry all three, each labelled with provider and basis. For modelling, prefer ICRA's end-March Rs 57,700/MT because ICRA states the assessment point and the quarter-on-quarter construction, making the figure reproducible. Note that none of these are GST-inclusive retail prices and none is directly comparable to the Ministry's Mumbai retail series.</t>
        </is>
      </c>
      <c r="I24" s="12" t="inlineStr">
        <is>
          <t>ICRA Rs 57,700/MT (end-March 2026) as the reference; the other two retained as labelled alternatives</t>
        </is>
      </c>
      <c r="J24" s="12" t="inlineStr">
        <is>
          <t>Without a licensed PRA series the fiscal-year average HRC realisation cannot be constructed from these point observations. Company-disclosed EBITDA/t remains the more reliable profitability input.</t>
        </is>
      </c>
    </row>
    <row r="25">
      <c r="A25" s="11" t="inlineStr">
        <is>
          <t>C08</t>
        </is>
      </c>
      <c r="B25" s="11" t="inlineStr">
        <is>
          <t>Safeguard duty - continuous levy or reinstatement</t>
        </is>
      </c>
      <c r="C25" s="11" t="inlineStr">
        <is>
          <t>Government Policies; Steel Prices</t>
        </is>
      </c>
      <c r="D25" s="12" t="inlineStr">
        <is>
          <t>Continuous: the definitive notification of 30-Dec-2025 sets year 1 as 21-Apr-2025 to 20-Apr-2026, implying no gap [S27]</t>
        </is>
      </c>
      <c r="E25" s="12" t="inlineStr">
        <is>
          <t>Reinstatement: contemporaneous coverage and ICRA describe a lapse and a subsequent reinstatement from January 2026, with HRC falling to Rs 46,000/MT in early December 2025 and rebounding thereafter [S19]</t>
        </is>
      </c>
      <c r="F25" s="12" t="inlineStr"/>
      <c r="G25" s="12" t="inlineStr">
        <is>
          <t>Both are correct in different senses. The PROVISIONAL measure of 21-Apr-2025 was imposed for 200 days and lapsed on expiry around 07-Nov-2025. The DEFINITIVE measure was notified on 30-Dec-2025 with a year-1 period dated from 21-Apr-2025, so the levy appears continuous on the face of the notification while there was an effective interruption in the intervening weeks.</t>
        </is>
      </c>
      <c r="H25" s="12" t="inlineStr">
        <is>
          <t>Present the dated chronology rather than a single characterisation, and note that the observed market behaviour - HRC to Rs 46,000/MT in early December 2025, then a rebound from January 2026 - is consistent with an effective gap in the levy.</t>
        </is>
      </c>
      <c r="I25" s="12" t="inlineStr">
        <is>
          <t>Full chronology on the Government Policies sheet</t>
        </is>
      </c>
      <c r="J25" s="12" t="inlineStr">
        <is>
          <t>The mid-term review provided for in the notification could change the year-2 rate of 11.5% currently in force from 21-Apr-2026. Monitor DGTR and Ministry of Finance releases.</t>
        </is>
      </c>
    </row>
    <row r="26">
      <c r="A26" s="11" t="inlineStr">
        <is>
          <t>C09</t>
        </is>
      </c>
      <c r="B26" s="11" t="inlineStr">
        <is>
          <t>SAIL FY2025 turnover and EBITDA basis</t>
        </is>
      </c>
      <c r="C26" s="11" t="inlineStr">
        <is>
          <t>Revenue; EBITDA</t>
        </is>
      </c>
      <c r="D26" s="12" t="inlineStr">
        <is>
          <t>Revenue from operations Rs 1,02,479 cr (consolidated) and Rs 1,02,478 cr (standalone) for FY2025 [S10]</t>
        </is>
      </c>
      <c r="E26" s="12" t="inlineStr">
        <is>
          <t>Annual turnover Rs 1,01,716 cr and EBITDA Rs 11,764 cr for FY2025 - Ministry of Steel [S26]</t>
        </is>
      </c>
      <c r="F26" s="12" t="inlineStr"/>
      <c r="G26" s="12" t="inlineStr">
        <is>
          <t>The Ministry quotes a turnover measure Rs 763 cr below revenue from operations, consistent with net sales excluding other operating revenue. The EBITDA of Rs 11,764 cr matches SAIL's own STANDALONE press-release EBITDA for FY2025 exactly, confirming the Ministry is quoting SAIL on a standalone basis. Separately, three different SAIL FY2026 EBITDA figures all reconcile once the basis is fixed: Rs 13,146 cr is the company's STANDALONE headline; Rs 12,894 cr is consolidated EBITDA INCLUDING other income (profit before exceptionals, JV share and tax of Rs 4,748 cr, plus finance cost Rs 2,158 cr, plus depreciation Rs 5,988 cr); and Rs 12,000 cr is consolidated EBITDA EXCLUDING other income (Rs 12,894 cr less other income of Rs 894 cr).</t>
        </is>
      </c>
      <c r="H26" s="12" t="inlineStr">
        <is>
          <t>Use SAIL's own audited filing for all financial rows. Treat the Ministry figures as corroboration of the standalone basis rather than as an alternative measurement, and state on the EBITDA sheet that SAIL's headline EBITDA is standalone while its revenue and profit rows here are consolidated. Apply the workbook's standard definition - EBITDA excluding other income - for the Standardised column, giving Rs 12,000 cr for FY2026.</t>
        </is>
      </c>
      <c r="I26" s="12" t="inlineStr">
        <is>
          <t>SAIL audited filing [S10]. FY2026: Rs 13,146 cr as the company-reported standalone headline; Rs 12,000 cr as Standardised consolidated EBITDA excluding other income; Rs 12,894 cr disclosed in Notes as the consolidated figure including other income</t>
        </is>
      </c>
      <c r="J26" s="12" t="inlineStr">
        <is>
          <t>Users building EV/EBITDA for SAIL must not pair a consolidated enterprise value with the standalone EBITDA headline.</t>
        </is>
      </c>
    </row>
    <row r="27">
      <c r="A27" s="11" t="inlineStr">
        <is>
          <t>C10</t>
        </is>
      </c>
      <c r="B27" s="11" t="inlineStr">
        <is>
          <t>Shyam Metalics FY2026 EBITDA definition</t>
        </is>
      </c>
      <c r="C27" s="11" t="inlineStr">
        <is>
          <t>EBITDA; EBITDA per Ton</t>
        </is>
      </c>
      <c r="D27" s="12" t="inlineStr">
        <is>
          <t>Rs 2,537 crore - company-reported EBITDA, +21% YoY [S31]</t>
        </is>
      </c>
      <c r="E27" s="12" t="inlineStr">
        <is>
          <t>Rs 2,333 crore - revenue from operations less operating expenses, excluding other income [S30]</t>
        </is>
      </c>
      <c r="F27" s="12" t="inlineStr"/>
      <c r="G27" s="12" t="inlineStr">
        <is>
          <t>Not a conflict but a definitional difference, and it reconciles exactly: Rs 2,333 cr plus FY2026 other income of Rs 204 cr equals Rs 2,537 cr. Shyam Metalics includes other income in its reported EBITDA; Jindal Stainless does not, whose reported Rs 5,560 cr sits within Rs 1 cr of its standardised Rs 5,561 cr.</t>
        </is>
      </c>
      <c r="H27" s="12" t="inlineStr">
        <is>
          <t>Carry both figures in the two EBITDA columns and record 'Yes' in the 'Other Income Included in Reported EBITDA?' column for Shyam Metalics and 'No' for Jindal Stainless. Use the standardised column for any cross-company multiple.</t>
        </is>
      </c>
      <c r="I27" s="12" t="inlineStr">
        <is>
          <t>Both, in their respective labelled columns</t>
        </is>
      </c>
      <c r="J27" s="12" t="inlineStr">
        <is>
          <t>Low. This is precisely why the EBITDA sheet carries two columns rather than one.</t>
        </is>
      </c>
    </row>
    <row r="28">
      <c r="A28" s="11" t="inlineStr">
        <is>
          <t>C11</t>
        </is>
      </c>
      <c r="B28" s="11" t="inlineStr">
        <is>
          <t>Mukand Ltd FY2026 profit versus operating profit</t>
        </is>
      </c>
      <c r="C28" s="11" t="inlineStr">
        <is>
          <t>EBITDA; Revenue</t>
        </is>
      </c>
      <c r="D28" s="12" t="inlineStr">
        <is>
          <t>Standardised EBITDA Rs 172 cr for FY2026 [S30]</t>
        </is>
      </c>
      <c r="E28" s="12" t="inlineStr">
        <is>
          <t>Profit before tax Rs 512 cr and net profit Rs 604 cr for FY2026 [S30]</t>
        </is>
      </c>
      <c r="F28" s="12" t="inlineStr"/>
      <c r="G28" s="12" t="inlineStr">
        <is>
          <t>Net profit exceeds standardised EBITDA by a wide margin, which can only be explained by a material non-operating gain, an exceptional item, a share of profit of associates or joint ventures, or a deferred-tax write-back. The composition cannot be established without reading the audited filing, which was not retrieved within the research window.</t>
        </is>
      </c>
      <c r="H28" s="12" t="inlineStr">
        <is>
          <t>Report the figures as sourced, mark Confidence as Medium, and flag explicitly that Mukand's FY2026 profit is not operating in nature. Do not use Mukand FY2026 PAT in any operating comparison or margin analysis until the filing is read.</t>
        </is>
      </c>
      <c r="I28" s="12" t="inlineStr">
        <is>
          <t>Figures as sourced, with an explicit non-operating flag</t>
        </is>
      </c>
      <c r="J28" s="12" t="inlineStr">
        <is>
          <t>Material for anyone screening on Mukand earnings. Resolve by reading the FY2026 audited results before use.</t>
        </is>
      </c>
    </row>
    <row r="29">
      <c r="A29" s="11" t="inlineStr">
        <is>
          <t>C12</t>
        </is>
      </c>
      <c r="B29" s="11" t="inlineStr">
        <is>
          <t>Kirloskar Ferrous FY2026 net profit exceeding profit before tax</t>
        </is>
      </c>
      <c r="C29" s="11" t="inlineStr">
        <is>
          <t>EBITDA</t>
        </is>
      </c>
      <c r="D29" s="12" t="inlineStr">
        <is>
          <t>Profit before tax Rs 497 cr for FY2026 [S30]</t>
        </is>
      </c>
      <c r="E29" s="12" t="inlineStr">
        <is>
          <t>Net profit Rs 507 cr for FY2026 [S30]</t>
        </is>
      </c>
      <c r="F29" s="12" t="inlineStr"/>
      <c r="G29" s="12" t="inlineStr">
        <is>
          <t>Net profit above profit before tax indicates a net tax credit, most likely a deferred-tax write-back or the reversal of a prior-period provision. Internally plausible but unverified.</t>
        </is>
      </c>
      <c r="H29" s="12" t="inlineStr">
        <is>
          <t>Report as sourced with Confidence Medium and a flag. Use profit before tax for any normalised earnings work on this name.</t>
        </is>
      </c>
      <c r="I29" s="12" t="inlineStr">
        <is>
          <t>Figures as sourced, flagged</t>
        </is>
      </c>
      <c r="J29" s="12" t="inlineStr">
        <is>
          <t>Low in isolation but it distorts any FY2026 net-margin or effective-tax-rate screen that includes this company.</t>
        </is>
      </c>
    </row>
    <row r="30">
      <c r="A30" s="11" t="inlineStr">
        <is>
          <t>C13</t>
        </is>
      </c>
      <c r="B30" s="11" t="inlineStr">
        <is>
          <t>Gallantt FY2026 revenue - annual column versus quarterly sum</t>
        </is>
      </c>
      <c r="C30" s="11" t="inlineStr">
        <is>
          <t>Revenue</t>
        </is>
      </c>
      <c r="D30" s="12" t="inlineStr">
        <is>
          <t>Rs 4,419 crore - annual consolidated column [S30]</t>
        </is>
      </c>
      <c r="E30" s="12" t="inlineStr">
        <is>
          <t>Rs 4,438 crore - sum of the four FY2026 quarters [S30]</t>
        </is>
      </c>
      <c r="F30" s="12" t="inlineStr"/>
      <c r="G30" s="12" t="inlineStr">
        <is>
          <t>A Rs 19 cr difference, about 0.4%, consistent with a fourth-quarter reclassification or a rounding convention in the aggregator. The same aggregator shows both, so this is an internal inconsistency in a Tier 3 source rather than a disagreement between publishers.</t>
        </is>
      </c>
      <c r="H30" s="12" t="inlineStr">
        <is>
          <t>Use the annual audited column of Rs 4,419 cr, mark Confidence Medium, and record that the quarterly sum differs. Verify against the company's filing before relying on Gallantt in a comparable table.</t>
        </is>
      </c>
      <c r="I30" s="12" t="inlineStr">
        <is>
          <t>Rs 4,419 crore (annual column)</t>
        </is>
      </c>
      <c r="J30" s="12" t="inlineStr">
        <is>
          <t>Immaterial at the sector level; verify before company-specific work. Note also that Gallantt Ispat and Gallantt Metal were amalgamated, so pre-merger periods are not like-for-like.</t>
        </is>
      </c>
    </row>
    <row r="31">
      <c r="A31" s="11" t="inlineStr">
        <is>
          <t>C14</t>
        </is>
      </c>
      <c r="B31" s="11" t="inlineStr">
        <is>
          <t>World Bank iron ore series - unit label</t>
        </is>
      </c>
      <c r="C31" s="11" t="inlineStr">
        <is>
          <t>Iron Ore Prices</t>
        </is>
      </c>
      <c r="D31" s="12" t="inlineStr">
        <is>
          <t>Column header in the Pink Sheet workbook reads '($/dmtu)' [S17]</t>
        </is>
      </c>
      <c r="E31" s="12" t="inlineStr">
        <is>
          <t>The Pink Sheet 'Description' sheet states at row 90 that iron ore spot is quoted 'in US dollar/dry ton', and at row 91 defines the series as 'Iron ore (any origin) fines, spot price, c.f.r. China, 62% Fe' [S17]</t>
        </is>
      </c>
      <c r="F31" s="12" t="inlineStr"/>
      <c r="G31" s="12" t="inlineStr">
        <is>
          <t>The '$/dmtu' header is a legacy label retained from the era of annual contract pricing quoted in US cents per dry metric tonne unit. The current spot series is in US dollars per dry metric tonne. Taking the header at face value would misstate iron ore by a factor of roughly 62.</t>
        </is>
      </c>
      <c r="H31" s="12" t="inlineStr">
        <is>
          <t>Label the series in this workbook as US$/dmt for 62% Fe fines CFR China, cite the World Bank Description sheet as the authority for the unit, and record the legacy header so a reader comparing against the raw Pink Sheet is not confused.</t>
        </is>
      </c>
      <c r="I31" s="12" t="inlineStr">
        <is>
          <t>US$/dmt, 62% Fe fines, CFR China</t>
        </is>
      </c>
      <c r="J31" s="12" t="inlineStr">
        <is>
          <t>None, once documented. Flagged because it is a classic and expensive units error.</t>
        </is>
      </c>
    </row>
    <row r="32">
      <c r="A32" s="11" t="inlineStr">
        <is>
          <t>C15</t>
        </is>
      </c>
      <c r="B32" s="11" t="inlineStr">
        <is>
          <t>World Bank Australian coal series - thermal, not coking</t>
        </is>
      </c>
      <c r="C32" s="11" t="inlineStr">
        <is>
          <t>Coking Coal Prices</t>
        </is>
      </c>
      <c r="D32" s="12" t="inlineStr">
        <is>
          <t>Series name is 'Coal, Australian' and is frequently used as a coal cost proxy [S17]</t>
        </is>
      </c>
      <c r="E32" s="12" t="inlineStr">
        <is>
          <t>The Pink Sheet 'Description' sheet, row 4, defines it as 'Coal (Australia), from February 2022, port THERMAL, f.o.b. Newcastle, 6000 kcal/kg futures price' [S17]</t>
        </is>
      </c>
      <c r="F32" s="12" t="inlineStr"/>
      <c r="G32" s="12" t="inlineStr">
        <is>
          <t>The series is thermal coal, priced off energy content, and has no consistent relationship with metallurgical coking coal, which is priced off coking properties. Using it as a coking coal proxy would have understated FY2026 coking coal costs by roughly half.</t>
        </is>
      </c>
      <c r="H32" s="12" t="inlineStr">
        <is>
          <t>Include the series only as an energy and captive-power cost reference, labelled THERMAL in the row description, physically separated from the coking coal rows, and excluded from any coking coal average.</t>
        </is>
      </c>
      <c r="I32" s="12" t="inlineStr">
        <is>
          <t>Retained as a clearly labelled thermal energy reference only</t>
        </is>
      </c>
      <c r="J32" s="12" t="inlineStr">
        <is>
          <t>None, once labelled. Flagged because the naming invites exactly this misuse.</t>
        </is>
      </c>
    </row>
    <row r="33">
      <c r="A33" s="11" t="inlineStr">
        <is>
          <t>C16</t>
        </is>
      </c>
      <c r="B33" s="11" t="inlineStr">
        <is>
          <t>AM/NS India - fiscal year mismatch</t>
        </is>
      </c>
      <c r="C33" s="11" t="inlineStr">
        <is>
          <t>Revenue; EBITDA; EBITDA per Ton; Production Volume</t>
        </is>
      </c>
      <c r="D33" s="12" t="inlineStr">
        <is>
          <t>ArcelorMittal discloses AM/NS India on a 100% basis, in USD, for CALENDAR quarters and calendar years [S13][S14]</t>
        </is>
      </c>
      <c r="E33" s="12" t="inlineStr">
        <is>
          <t>Every other company in this universe reports on an Indian fiscal year ending 31 March, in Indian rupees</t>
        </is>
      </c>
      <c r="F33" s="12" t="inlineStr"/>
      <c r="G33" s="12" t="inlineStr">
        <is>
          <t>AM/NS India is an unlisted 60:40 joint venture of ArcelorMittal and Nippon Steel and does not publish full Ind-AS consolidated statements publicly. Its only regular public disclosure is the summary table in ArcelorMittal's quarterly earnings releases, which is calendar-based and dollar-denominated.</t>
        </is>
      </c>
      <c r="H33" s="12" t="inlineStr">
        <is>
          <t>Carry the calendar-year figures exactly as disclosed, AND separately present a derived Apr-March fiscal-year equivalent built by summing the four relevant calendar quarters (2Q25 + 3Q25 + 4Q25 + 1Q26 for FY2026). Every derived row is marked Methodology = 'Derived - sum of calendar quarters' so it can never be mistaken for a company-reported fiscal-year figure.</t>
        </is>
      </c>
      <c r="I33" s="12" t="inlineStr">
        <is>
          <t>Calendar-year figures as reported, plus a clearly flagged derived FY2026 equivalent</t>
        </is>
      </c>
      <c r="J33" s="12" t="inlineStr">
        <is>
          <t>The derived fiscal-year figure is arithmetically sound but is not a company-reported number and has not been audited on that basis. A derived FY2025 equivalent is NOT presented because the 2Q24 and 3Q24 quarterly disclosures were not retrieved, so FY2025 growth for AM/NS India is deliberately left blank rather than estimated.</t>
        </is>
      </c>
    </row>
    <row r="35">
      <c r="A35" s="13" t="inlineStr">
        <is>
          <t>C06, C10, C14, C15 and C16 are NOT disagreements between publishers. They are definitional or unit differences that reconcile exactly once the basis is stated, and they are logged here precisely because each is a well-known way to lose money in this sector.</t>
        </is>
      </c>
    </row>
  </sheetData>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Master Industry Database - Indian Steel Industry</dc:title>
  <dc:description>Institutional database for the Indian steel industry. Data cutoff 03 August 2026. FY2026 = 1 April 2025 to 31 March 2026. Public sources only.</dc:description>
  <dc:subject>Indian steel industry institutional database</dc:subject>
  <dcterms:created xsi:type="dcterms:W3CDTF">2026-08-03T07:31:30Z</dcterms:created>
  <dcterms:modified xsi:type="dcterms:W3CDTF">2026-08-03T07:31:30Z</dcterms:modified>
  <cp:category>Global Metals &amp; Mining Research</cp:category>
  <cp:keywords>Indian steel; JPC; Ministry of Steel; safeguard duty; EBITDA per tonne; coking coal; iron ore; FY2026</cp:keywords>
</cp:coreProperties>
</file>