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6.xml" ContentType="application/vnd.openxmlformats-officedocument.drawing+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ables/table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5.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897" firstSheet="21" activeTab="25" autoFilterDateGrouping="1"/>
  </bookViews>
  <sheets>
    <sheet name="Cover" sheetId="1" state="visible" r:id="rId1"/>
    <sheet name="Index" sheetId="2" state="visible" r:id="rId2"/>
    <sheet name="Database Import" sheetId="3" state="visible" r:id="rId3"/>
    <sheet name="Forecast Horizon" sheetId="4" state="visible" r:id="rId4"/>
    <sheet name="Control Panel" sheetId="5" state="visible" r:id="rId5"/>
    <sheet name="Model Assumptions" sheetId="6" state="visible" r:id="rId6"/>
    <sheet name="Model Calibration" sheetId="7" state="visible" r:id="rId7"/>
    <sheet name="Macroeconomic Model" sheetId="8" state="visible" r:id="rId8"/>
    <sheet name="Steel Demand Model" sheetId="9" state="visible" r:id="rId9"/>
    <sheet name="Steel Supply Model" sheetId="10" state="visible" r:id="rId10"/>
    <sheet name="Capacity Forecast" sheetId="11" state="visible" r:id="rId11"/>
    <sheet name="Capacity Expansion Tracker" sheetId="12" state="visible" r:id="rId12"/>
    <sheet name="Capacity Utilisation" sheetId="13" state="visible" r:id="rId13"/>
    <sheet name="Steel Price Forecast" sheetId="14" state="visible" r:id="rId14"/>
    <sheet name="Raw Material Forecast" sheetId="15" state="visible" r:id="rId15"/>
    <sheet name="Cost Curve" sheetId="16" state="visible" r:id="rId16"/>
    <sheet name="Revenue Forecast" sheetId="17" state="visible" r:id="rId17"/>
    <sheet name="EBITDA Model" sheetId="18" state="visible" r:id="rId18"/>
    <sheet name="Margin Analysis" sheetId="19" state="visible" r:id="rId19"/>
    <sheet name="Working Capital Model" sheetId="20" state="visible" r:id="rId20"/>
    <sheet name="Cash Flow Model" sheetId="21" state="visible" r:id="rId21"/>
    <sheet name="Capital Allocation" sheetId="22" state="visible" r:id="rId22"/>
    <sheet name="Industry Cycle Model" sheetId="23" state="visible" r:id="rId23"/>
    <sheet name="Trade Model" sheetId="24" state="visible" r:id="rId24"/>
    <sheet name="ESG Model" sheetId="25" state="visible" r:id="rId25"/>
    <sheet name="Scenario Manager" sheetId="26" state="visible" r:id="rId26"/>
    <sheet name="Sensitivity Analysis" sheetId="27" state="visible" r:id="rId27"/>
    <sheet name="Comparable Valuation" sheetId="28" state="visible" r:id="rId28"/>
    <sheet name="Industry Dashboard" sheetId="29" state="visible" r:id="rId29"/>
    <sheet name="Audit Checks" sheetId="30" state="visible" r:id="rId30"/>
    <sheet name="Sources" sheetId="31" state="visible" r:id="rId31"/>
  </sheets>
  <externalReferences>
    <externalReference r:id="rId32"/>
    <externalReference r:id="rId33"/>
  </externalReferences>
  <definedNames>
    <definedName name="ScenID">#REF!</definedName>
    <definedName name="Selected_Scenario">'Scenario Manager'!#REF!</definedName>
  </definedNames>
  <calcPr calcId="191029" fullCalcOnLoad="1"/>
</workbook>
</file>

<file path=xl/styles.xml><?xml version="1.0" encoding="utf-8"?>
<styleSheet xmlns="http://schemas.openxmlformats.org/spreadsheetml/2006/main">
  <numFmts count="21">
    <numFmt numFmtId="164" formatCode="#,##0.00;\(#,##0.00\)"/>
    <numFmt numFmtId="165" formatCode="0.0%;\(0.0%\)"/>
    <numFmt numFmtId="166" formatCode="#,##0.00&quot;x&quot;"/>
    <numFmt numFmtId="167" formatCode="#,##0;\(#,##0\)"/>
    <numFmt numFmtId="168" formatCode="#,##0.0;\(#,##0.0\)"/>
    <numFmt numFmtId="169" formatCode="#,##0.000;\(#,##0.000\)"/>
    <numFmt numFmtId="170" formatCode="0.0"/>
    <numFmt numFmtId="171" formatCode="#,##0.0"/>
    <numFmt numFmtId="172" formatCode="0.0%"/>
    <numFmt numFmtId="173" formatCode="\+#,##0.0;\-#,##0.0;0.0"/>
    <numFmt numFmtId="174" formatCode="0.00&quot;x&quot;"/>
    <numFmt numFmtId="175" formatCode="0.000"/>
    <numFmt numFmtId="176" formatCode="_ * #,##0_ ;_ * \-#,##0_ ;_ * &quot;-&quot;??_ ;_ @_ "/>
    <numFmt numFmtId="177" formatCode="\+#,##0.00;\-#,##0.00;0.00"/>
    <numFmt numFmtId="178" formatCode="_ * #,##0.0_ ;_ * \-#,##0.0_ ;_ * &quot;-&quot;??_ ;_ @_ "/>
    <numFmt numFmtId="179" formatCode="_ * #,##0.00_ ;_ * \-#,##0.00_ ;_ * &quot;-&quot;??_ ;_ @_ "/>
    <numFmt numFmtId="180" formatCode="0.000%"/>
    <numFmt numFmtId="181" formatCode="#,##0.0&quot;x&quot;"/>
    <numFmt numFmtId="182" formatCode="0.0000&quot;x&quot;"/>
    <numFmt numFmtId="183" formatCode="0.000&quot;x&quot;"/>
    <numFmt numFmtId="184" formatCode="0.0&quot;x&quot;"/>
  </numFmts>
  <fonts count="89">
    <font>
      <name val="Calibri"/>
      <family val="2"/>
      <color theme="1"/>
      <sz val="11"/>
      <scheme val="minor"/>
    </font>
    <font>
      <name val="Calibri"/>
      <family val="2"/>
      <color theme="1"/>
      <sz val="11"/>
      <scheme val="minor"/>
    </font>
    <font>
      <name val="Calibri"/>
      <family val="2"/>
      <color theme="1"/>
      <sz val="10"/>
      <scheme val="minor"/>
    </font>
    <font>
      <name val="Calibri"/>
      <family val="2"/>
      <b val="1"/>
      <color rgb="FF595959"/>
      <sz val="9"/>
    </font>
    <font>
      <name val="Calibri"/>
      <family val="2"/>
      <color rgb="FF595959"/>
      <sz val="9"/>
    </font>
    <font>
      <name val="Calibri"/>
      <family val="2"/>
      <b val="1"/>
      <color rgb="FFFFFFFF"/>
      <sz val="10"/>
    </font>
    <font>
      <name val="Calibri"/>
      <family val="2"/>
      <color rgb="FF000000"/>
      <sz val="10"/>
    </font>
    <font>
      <name val="Calibri"/>
      <family val="2"/>
      <b val="1"/>
      <color rgb="FF000000"/>
      <sz val="10"/>
    </font>
    <font>
      <name val="Calibri"/>
      <family val="2"/>
      <b val="1"/>
      <color rgb="FF1F3864"/>
      <sz val="10"/>
    </font>
    <font>
      <name val="Calibri"/>
      <family val="2"/>
      <color rgb="FF000000"/>
      <sz val="9"/>
    </font>
    <font>
      <name val="Calibri"/>
      <family val="2"/>
      <sz val="9"/>
    </font>
    <font>
      <name val="Calibri"/>
      <family val="2"/>
      <i val="1"/>
      <color rgb="FF595959"/>
      <sz val="8"/>
    </font>
    <font>
      <name val="Calibri"/>
      <family val="2"/>
      <i val="1"/>
      <color rgb="FF595959"/>
      <sz val="9"/>
    </font>
    <font>
      <name val="Calibri"/>
      <family val="2"/>
      <b val="1"/>
      <color rgb="FF000000"/>
      <sz val="9"/>
    </font>
    <font>
      <name val="Calibri"/>
      <family val="2"/>
      <b val="1"/>
      <color rgb="FF1F3864"/>
      <sz val="9"/>
    </font>
    <font>
      <name val="Calibri"/>
      <family val="2"/>
      <sz val="10"/>
      <scheme val="minor"/>
    </font>
    <font>
      <name val="Calibri"/>
      <family val="2"/>
      <b val="1"/>
      <sz val="10"/>
    </font>
    <font>
      <name val="Calibri"/>
      <family val="2"/>
      <sz val="10"/>
    </font>
    <font>
      <name val="Calibri"/>
      <family val="2"/>
      <i val="1"/>
      <sz val="9"/>
    </font>
    <font>
      <name val="Calibri"/>
      <family val="2"/>
      <b val="1"/>
      <color rgb="FF002060"/>
      <sz val="11"/>
    </font>
    <font>
      <name val="Calibri"/>
      <family val="2"/>
      <b val="1"/>
      <color rgb="FF002060"/>
      <sz val="10"/>
    </font>
    <font>
      <name val="Calibri"/>
      <family val="2"/>
      <b val="1"/>
      <color rgb="FF002060"/>
      <sz val="12"/>
    </font>
    <font>
      <name val="Calibri"/>
      <family val="2"/>
      <b val="1"/>
      <color theme="0"/>
      <sz val="16"/>
    </font>
    <font>
      <name val="Calibri"/>
      <family val="2"/>
      <color rgb="FF002060"/>
      <sz val="10"/>
    </font>
    <font>
      <name val="Calibri"/>
      <family val="2"/>
      <color rgb="FF002060"/>
      <sz val="11"/>
      <scheme val="minor"/>
    </font>
    <font>
      <name val="Calibri"/>
      <family val="2"/>
      <color theme="10"/>
      <sz val="11"/>
      <u val="single"/>
      <scheme val="minor"/>
    </font>
    <font>
      <name val="Calibri"/>
      <family val="2"/>
      <b val="1"/>
      <color theme="1"/>
      <sz val="11"/>
      <scheme val="minor"/>
    </font>
    <font>
      <name val="Calibri"/>
      <family val="2"/>
      <i val="1"/>
      <color theme="1"/>
      <sz val="10"/>
      <scheme val="minor"/>
    </font>
    <font>
      <name val="Calibri"/>
      <family val="2"/>
      <i val="1"/>
      <sz val="10"/>
    </font>
    <font>
      <name val="Calibri"/>
      <family val="2"/>
      <b val="1"/>
      <color rgb="FF002060"/>
      <sz val="11"/>
      <scheme val="minor"/>
    </font>
    <font>
      <name val="Calibri"/>
      <family val="2"/>
      <b val="1"/>
      <i val="1"/>
      <color rgb="FF002060"/>
      <sz val="11"/>
    </font>
    <font>
      <name val="Calibri"/>
      <family val="2"/>
      <b val="1"/>
      <color rgb="FF002060"/>
      <sz val="12"/>
      <scheme val="minor"/>
    </font>
    <font>
      <name val="Calibri"/>
      <family val="2"/>
      <i val="1"/>
      <color theme="0" tint="-0.499984740745262"/>
      <sz val="9"/>
      <scheme val="minor"/>
    </font>
    <font>
      <name val="Calibri"/>
      <family val="2"/>
      <color theme="2" tint="-0.749992370372631"/>
      <sz val="11"/>
      <scheme val="minor"/>
    </font>
    <font>
      <name val="Calibri"/>
      <family val="2"/>
      <b val="1"/>
      <color rgb="FF002060"/>
      <sz val="9"/>
    </font>
    <font>
      <name val="Calibri"/>
      <family val="2"/>
      <color theme="1" tint="0.249977111117893"/>
      <sz val="11"/>
      <scheme val="minor"/>
    </font>
    <font>
      <name val="Calibri"/>
      <family val="2"/>
      <color theme="8"/>
      <sz val="11"/>
      <scheme val="minor"/>
    </font>
    <font>
      <name val="Calibri"/>
      <family val="2"/>
      <color theme="1" tint="0.1499984740745262"/>
      <sz val="11"/>
      <scheme val="minor"/>
    </font>
    <font>
      <name val="Calibri"/>
      <family val="2"/>
      <color theme="6" tint="-0.249977111117893"/>
      <sz val="9"/>
      <scheme val="minor"/>
    </font>
    <font>
      <name val="Calibri"/>
      <family val="2"/>
      <b val="1"/>
      <color theme="6" tint="-0.499984740745262"/>
      <sz val="10"/>
    </font>
    <font>
      <name val="Calibri"/>
      <family val="2"/>
      <b val="1"/>
      <color theme="6" tint="-0.499984740745262"/>
      <sz val="9"/>
    </font>
    <font>
      <name val="Calibri"/>
      <family val="2"/>
      <b val="1"/>
      <color rgb="FFFFFFFF"/>
      <sz val="11"/>
    </font>
    <font>
      <name val="Calibri"/>
      <family val="2"/>
      <b val="1"/>
      <color theme="0"/>
      <sz val="20"/>
    </font>
    <font>
      <name val="Calibri"/>
      <family val="2"/>
      <b val="1"/>
      <i val="1"/>
      <color rgb="FF595959"/>
      <sz val="8"/>
    </font>
    <font>
      <name val="Calibri"/>
      <family val="2"/>
      <b val="1"/>
      <color theme="5" tint="-0.499984740745262"/>
      <sz val="11"/>
    </font>
    <font>
      <name val="Calibri"/>
      <family val="2"/>
      <b val="1"/>
      <color rgb="FF595959"/>
      <sz val="11"/>
    </font>
    <font>
      <name val="Calibri"/>
      <family val="2"/>
      <sz val="8"/>
      <scheme val="minor"/>
    </font>
    <font>
      <name val="Calibri"/>
      <family val="2"/>
      <b val="1"/>
      <sz val="11"/>
    </font>
    <font>
      <name val="Calibri"/>
      <family val="2"/>
      <b val="1"/>
      <color rgb="FF002060"/>
      <sz val="14"/>
    </font>
    <font>
      <name val="Calibri"/>
      <family val="2"/>
      <color rgb="FF595959"/>
      <sz val="11"/>
    </font>
    <font>
      <name val="Calibri"/>
      <family val="2"/>
      <color rgb="FF000000"/>
      <sz val="11"/>
    </font>
    <font>
      <name val="Calibri"/>
      <family val="2"/>
      <color rgb="FF008000"/>
      <sz val="11"/>
    </font>
    <font>
      <name val="Calibri"/>
      <family val="2"/>
      <color rgb="FF0000CC"/>
      <sz val="11"/>
    </font>
    <font>
      <name val="Calibri"/>
      <family val="2"/>
      <color rgb="FF0000CC"/>
      <sz val="10"/>
    </font>
    <font>
      <name val="Calibri"/>
      <family val="2"/>
      <b val="1"/>
      <color rgb="FF00B050"/>
      <sz val="10"/>
    </font>
    <font>
      <name val="Calibri"/>
      <family val="2"/>
      <color rgb="FF0000CC"/>
      <sz val="11"/>
      <scheme val="minor"/>
    </font>
    <font>
      <name val="Calibri"/>
      <family val="2"/>
      <color rgb="FF404040"/>
      <sz val="9"/>
    </font>
    <font>
      <name val="Calibri"/>
      <family val="2"/>
      <sz val="11"/>
    </font>
    <font>
      <name val="Calibri"/>
      <family val="2"/>
      <b val="1"/>
      <color rgb="FF000000"/>
      <sz val="11"/>
    </font>
    <font>
      <name val="Calibri"/>
      <family val="2"/>
      <color rgb="FF008000"/>
      <sz val="10"/>
    </font>
    <font>
      <name val="Calibri"/>
      <family val="2"/>
      <color rgb="FF008000"/>
      <sz val="11"/>
      <scheme val="minor"/>
    </font>
    <font>
      <name val="Calibri"/>
      <family val="2"/>
      <color rgb="FF0000CC"/>
      <sz val="10"/>
      <scheme val="minor"/>
    </font>
    <font>
      <name val="Calibri"/>
      <family val="2"/>
      <color rgb="FF008000"/>
      <sz val="10"/>
      <scheme val="minor"/>
    </font>
    <font>
      <name val="Calibri"/>
      <family val="2"/>
      <color theme="7" tint="-0.249977111117893"/>
      <sz val="10"/>
      <scheme val="minor"/>
    </font>
    <font>
      <name val="Calibri"/>
      <family val="2"/>
      <color rgb="FFC00000"/>
      <sz val="10"/>
      <scheme val="minor"/>
    </font>
    <font>
      <name val="Calibri"/>
      <family val="2"/>
      <b val="1"/>
      <i val="1"/>
      <sz val="10"/>
      <scheme val="minor"/>
    </font>
    <font>
      <name val="Calibri"/>
      <family val="2"/>
      <i val="1"/>
      <sz val="10"/>
      <scheme val="minor"/>
    </font>
    <font>
      <name val="Calibri"/>
      <family val="2"/>
      <color theme="1" tint="0.3499862666707358"/>
      <sz val="10"/>
      <scheme val="minor"/>
    </font>
    <font>
      <name val="Calibri"/>
      <family val="2"/>
      <sz val="11"/>
      <scheme val="minor"/>
    </font>
    <font>
      <name val="Calibri"/>
      <family val="2"/>
      <color rgb="FF1A1A1A"/>
      <sz val="10"/>
    </font>
    <font>
      <name val="Calibri"/>
      <family val="2"/>
      <color theme="5" tint="-0.249977111117893"/>
      <sz val="11"/>
      <scheme val="minor"/>
    </font>
    <font>
      <name val="Calibri"/>
      <family val="2"/>
      <color theme="5" tint="-0.249977111117893"/>
      <sz val="11"/>
    </font>
    <font>
      <name val="Calibri"/>
      <family val="2"/>
      <b val="1"/>
      <color rgb="FF008000"/>
      <sz val="10"/>
    </font>
    <font>
      <name val="Calibri"/>
      <family val="2"/>
      <b val="1"/>
      <i val="1"/>
      <color rgb="FF595959"/>
      <sz val="12"/>
    </font>
    <font>
      <name val="Calibri"/>
      <family val="2"/>
      <b val="1"/>
      <i val="1"/>
      <sz val="12"/>
    </font>
    <font>
      <name val="Calibri"/>
      <family val="2"/>
      <b val="1"/>
      <sz val="11"/>
      <scheme val="minor"/>
    </font>
    <font>
      <name val="Calibri"/>
      <family val="2"/>
      <b val="1"/>
      <color theme="5" tint="-0.249977111117893"/>
      <sz val="10"/>
    </font>
    <font>
      <name val="Calibri"/>
      <family val="2"/>
      <color theme="5" tint="-0.249977111117893"/>
      <sz val="10"/>
    </font>
    <font>
      <name val="Calibri"/>
      <family val="2"/>
      <b val="1"/>
      <color rgb="FF1A1A1A"/>
      <sz val="10"/>
    </font>
    <font>
      <name val="Calibri"/>
      <family val="2"/>
      <b val="1"/>
      <color rgb="FF008000"/>
      <sz val="11"/>
    </font>
    <font>
      <name val="Calibri"/>
      <family val="2"/>
      <b val="1"/>
      <color rgb="FF008000"/>
      <sz val="11"/>
      <scheme val="minor"/>
    </font>
    <font>
      <name val="Calibri"/>
      <family val="2"/>
      <color rgb="FF9C0006"/>
      <sz val="11"/>
    </font>
    <font>
      <name val="Calibri"/>
      <family val="2"/>
      <b val="1"/>
      <i val="1"/>
      <color theme="0"/>
      <sz val="12"/>
    </font>
    <font>
      <name val="Calibri"/>
      <family val="2"/>
      <color rgb="FF808080"/>
      <sz val="8"/>
    </font>
    <font>
      <name val="Calibri"/>
      <family val="2"/>
      <color rgb="FF008000"/>
      <sz val="9"/>
    </font>
    <font>
      <name val="Calibri"/>
      <family val="2"/>
      <b val="1"/>
      <color theme="0"/>
      <sz val="10"/>
    </font>
    <font>
      <name val="Calibri"/>
      <family val="2"/>
      <color theme="1"/>
      <sz val="9"/>
      <scheme val="minor"/>
    </font>
    <font>
      <name val="Calibri"/>
      <family val="2"/>
      <color rgb="FF008000"/>
      <sz val="9"/>
      <scheme val="minor"/>
    </font>
    <font>
      <name val="Calibri"/>
      <family val="2"/>
      <color rgb="FF0000CC"/>
      <sz val="9"/>
    </font>
  </fonts>
  <fills count="14">
    <fill>
      <patternFill/>
    </fill>
    <fill>
      <patternFill patternType="gray125"/>
    </fill>
    <fill>
      <patternFill patternType="solid">
        <fgColor rgb="FFD9E1F2"/>
      </patternFill>
    </fill>
    <fill>
      <patternFill patternType="solid">
        <fgColor rgb="FF002060"/>
        <bgColor indexed="64"/>
      </patternFill>
    </fill>
    <fill>
      <patternFill patternType="solid">
        <fgColor theme="0" tint="-0.249977111117893"/>
        <bgColor indexed="64"/>
      </patternFill>
    </fill>
    <fill>
      <patternFill patternType="solid">
        <fgColor theme="5" tint="0.5999938962981048"/>
        <bgColor indexed="64"/>
      </patternFill>
    </fill>
    <fill>
      <patternFill patternType="solid">
        <fgColor rgb="FFFFD9A0"/>
      </patternFill>
    </fill>
    <fill>
      <patternFill patternType="solid">
        <fgColor rgb="FFFFC000"/>
        <bgColor indexed="64"/>
      </patternFill>
    </fill>
    <fill>
      <patternFill patternType="solid">
        <fgColor rgb="FFFF0000"/>
        <bgColor indexed="64"/>
      </patternFill>
    </fill>
    <fill>
      <patternFill patternType="solid">
        <fgColor rgb="FFF2F6FC"/>
      </patternFill>
    </fill>
    <fill>
      <patternFill patternType="solid">
        <fgColor theme="5"/>
        <bgColor indexed="64"/>
      </patternFill>
    </fill>
    <fill>
      <patternFill patternType="solid">
        <fgColor theme="7" tint="0.7999816888943144"/>
        <bgColor indexed="64"/>
      </patternFill>
    </fill>
    <fill>
      <patternFill patternType="solid">
        <fgColor theme="8"/>
        <bgColor indexed="64"/>
      </patternFill>
    </fill>
    <fill>
      <patternFill patternType="solid">
        <fgColor theme="5" tint="0.3999755851924192"/>
        <bgColor indexed="64"/>
      </patternFill>
    </fill>
  </fills>
  <borders count="19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medium">
        <color theme="0" tint="-0.249977111117893"/>
      </left>
      <right/>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bottom style="medium">
        <color theme="0" tint="-0.249977111117893"/>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
      <left style="medium">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bottom style="medium">
        <color theme="0" tint="-0.249977111117893"/>
      </bottom>
      <diagonal/>
    </border>
    <border>
      <left style="medium">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medium">
        <color theme="0" tint="-0.3499862666707358"/>
      </left>
      <right style="thin">
        <color theme="0" tint="-0.3499862666707358"/>
      </right>
      <top style="medium">
        <color theme="0" tint="-0.3499862666707358"/>
      </top>
      <bottom style="thin">
        <color theme="0" tint="-0.3499862666707358"/>
      </bottom>
      <diagonal/>
    </border>
    <border>
      <left style="thin">
        <color theme="0" tint="-0.3499862666707358"/>
      </left>
      <right style="medium">
        <color theme="0" tint="-0.3499862666707358"/>
      </right>
      <top style="medium">
        <color theme="0" tint="-0.3499862666707358"/>
      </top>
      <bottom style="thin">
        <color theme="0" tint="-0.3499862666707358"/>
      </bottom>
      <diagonal/>
    </border>
    <border>
      <left style="medium">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style="medium">
        <color theme="0" tint="-0.3499862666707358"/>
      </right>
      <top style="thin">
        <color theme="0" tint="-0.3499862666707358"/>
      </top>
      <bottom style="thin">
        <color theme="0" tint="-0.3499862666707358"/>
      </bottom>
      <diagonal/>
    </border>
    <border>
      <left style="medium">
        <color theme="0" tint="-0.3499862666707358"/>
      </left>
      <right style="thin">
        <color theme="0" tint="-0.3499862666707358"/>
      </right>
      <top style="thin">
        <color theme="0" tint="-0.3499862666707358"/>
      </top>
      <bottom style="medium">
        <color theme="0" tint="-0.3499862666707358"/>
      </bottom>
      <diagonal/>
    </border>
    <border>
      <left style="thin">
        <color theme="0" tint="-0.3499862666707358"/>
      </left>
      <right style="medium">
        <color theme="0" tint="-0.3499862666707358"/>
      </right>
      <top style="thin">
        <color theme="0" tint="-0.3499862666707358"/>
      </top>
      <bottom style="medium">
        <color theme="0" tint="-0.3499862666707358"/>
      </bottom>
      <diagonal/>
    </border>
    <border>
      <left style="medium">
        <color theme="0" tint="-0.3499862666707358"/>
      </left>
      <right style="thin">
        <color theme="0" tint="-0.3499862666707358"/>
      </right>
      <top/>
      <bottom style="thin">
        <color theme="0" tint="-0.3499862666707358"/>
      </bottom>
      <diagonal/>
    </border>
    <border>
      <left style="thin">
        <color theme="0" tint="-0.3499862666707358"/>
      </left>
      <right style="medium">
        <color theme="0" tint="-0.3499862666707358"/>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style="thin">
        <color theme="0" tint="-0.3499862666707358"/>
      </left>
      <right style="thin">
        <color theme="0" tint="-0.3499862666707358"/>
      </right>
      <top/>
      <bottom style="thin">
        <color theme="0" tint="-0.3499862666707358"/>
      </bottom>
      <diagonal/>
    </border>
    <border>
      <left style="medium">
        <color theme="0" tint="-0.3499862666707358"/>
      </left>
      <right/>
      <top style="thin">
        <color theme="0" tint="-0.3499862666707358"/>
      </top>
      <bottom style="thin">
        <color theme="0" tint="-0.3499862666707358"/>
      </bottom>
      <diagonal/>
    </border>
    <border>
      <left style="medium">
        <color theme="0" tint="-0.3499862666707358"/>
      </left>
      <right/>
      <top style="thin">
        <color theme="0" tint="-0.3499862666707358"/>
      </top>
      <bottom style="medium">
        <color theme="0" tint="-0.3499862666707358"/>
      </bottom>
      <diagonal/>
    </border>
    <border>
      <left style="medium">
        <color theme="0" tint="-0.3499862666707358"/>
      </left>
      <right style="medium">
        <color theme="0" tint="-0.3499862666707358"/>
      </right>
      <top style="medium">
        <color theme="0" tint="-0.3499862666707358"/>
      </top>
      <bottom style="thin">
        <color theme="0" tint="-0.3499862666707358"/>
      </bottom>
      <diagonal/>
    </border>
    <border>
      <left style="medium">
        <color theme="0" tint="-0.3499862666707358"/>
      </left>
      <right style="medium">
        <color theme="0" tint="-0.3499862666707358"/>
      </right>
      <top style="thin">
        <color theme="0" tint="-0.3499862666707358"/>
      </top>
      <bottom style="thin">
        <color theme="0" tint="-0.3499862666707358"/>
      </bottom>
      <diagonal/>
    </border>
    <border>
      <left style="medium">
        <color theme="0" tint="-0.3499862666707358"/>
      </left>
      <right style="medium">
        <color theme="0" tint="-0.3499862666707358"/>
      </right>
      <top style="thin">
        <color theme="0" tint="-0.3499862666707358"/>
      </top>
      <bottom style="medium">
        <color theme="0" tint="-0.3499862666707358"/>
      </bottom>
      <diagonal/>
    </border>
    <border>
      <left style="medium">
        <color theme="0" tint="-0.3499862666707358"/>
      </left>
      <right style="medium">
        <color theme="0" tint="-0.3499862666707358"/>
      </right>
      <top/>
      <bottom style="thin">
        <color theme="0" tint="-0.3499862666707358"/>
      </bottom>
      <diagonal/>
    </border>
    <border>
      <left style="medium">
        <color theme="0" tint="-0.3499862666707358"/>
      </left>
      <right/>
      <top/>
      <bottom style="thin">
        <color theme="0" tint="-0.3499862666707358"/>
      </bottom>
      <diagonal/>
    </border>
    <border>
      <left style="medium">
        <color theme="0" tint="-0.3499862666707358"/>
      </left>
      <right style="thin">
        <color theme="0" tint="-0.3499862666707358"/>
      </right>
      <top style="medium">
        <color theme="0" tint="-0.3499862666707358"/>
      </top>
      <bottom style="double">
        <color theme="0" tint="-0.3499862666707358"/>
      </bottom>
      <diagonal/>
    </border>
    <border>
      <left style="thin">
        <color theme="0" tint="-0.3499862666707358"/>
      </left>
      <right style="medium">
        <color theme="0" tint="-0.3499862666707358"/>
      </right>
      <top style="medium">
        <color theme="0" tint="-0.3499862666707358"/>
      </top>
      <bottom style="double">
        <color theme="0" tint="-0.3499862666707358"/>
      </bottom>
      <diagonal/>
    </border>
    <border>
      <left/>
      <right/>
      <top style="thin">
        <color theme="0" tint="-0.3499862666707358"/>
      </top>
      <bottom style="thin">
        <color theme="0" tint="-0.3499862666707358"/>
      </bottom>
      <diagonal/>
    </border>
    <border>
      <left style="thin">
        <color theme="0" tint="-0.3499862666707358"/>
      </left>
      <right style="thin">
        <color theme="0" tint="-0.3499862666707358"/>
      </right>
      <top style="thin">
        <color theme="0" tint="-0.3499862666707358"/>
      </top>
      <bottom style="medium">
        <color theme="0" tint="-0.3499862666707358"/>
      </bottom>
      <diagonal/>
    </border>
    <border>
      <left style="medium">
        <color theme="0" tint="-0.3499862666707358"/>
      </left>
      <right style="medium">
        <color theme="0" tint="-0.3499862666707358"/>
      </right>
      <top/>
      <bottom/>
      <diagonal/>
    </border>
    <border>
      <left style="thin">
        <color theme="0" tint="-0.3499862666707358"/>
      </left>
      <right style="medium">
        <color theme="0" tint="-0.3499862666707358"/>
      </right>
      <top/>
      <bottom style="medium">
        <color theme="0" tint="-0.3499862666707358"/>
      </bottom>
      <diagonal/>
    </border>
    <border>
      <left style="thin">
        <color theme="0" tint="-0.249977111117893"/>
      </left>
      <right style="thin">
        <color theme="0" tint="-0.249977111117893"/>
      </right>
      <top style="thin">
        <color theme="0" tint="-0.249977111117893"/>
      </top>
      <bottom style="double">
        <color theme="0" tint="-0.3499862666707358"/>
      </bottom>
      <diagonal/>
    </border>
    <border>
      <left style="medium">
        <color theme="0" tint="-0.3499862666707358"/>
      </left>
      <right style="thin">
        <color theme="0" tint="-0.249977111117893"/>
      </right>
      <top style="medium">
        <color theme="0" tint="-0.3499862666707358"/>
      </top>
      <bottom style="double">
        <color theme="0" tint="-0.3499862666707358"/>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bottom style="double">
        <color theme="0" tint="-0.499984740745262"/>
      </bottom>
      <diagonal/>
    </border>
    <border>
      <left style="thin">
        <color theme="0" tint="-0.499984740745262"/>
      </left>
      <right style="thin">
        <color theme="0" tint="-0.499984740745262"/>
      </right>
      <top/>
      <bottom style="double">
        <color theme="0" tint="-0.499984740745262"/>
      </bottom>
      <diagonal/>
    </border>
    <border>
      <left style="thin">
        <color theme="0" tint="-0.499984740745262"/>
      </left>
      <right/>
      <top/>
      <bottom style="double">
        <color theme="0" tint="-0.499984740745262"/>
      </bottom>
      <diagonal/>
    </border>
    <border>
      <left style="medium">
        <color theme="0" tint="-0.3499862666707358"/>
      </left>
      <right style="medium">
        <color theme="0" tint="-0.3499862666707358"/>
      </right>
      <top style="medium">
        <color theme="0" tint="-0.3499862666707358"/>
      </top>
      <bottom style="medium">
        <color theme="0" tint="-0.3499862666707358"/>
      </bottom>
      <diagonal/>
    </border>
    <border>
      <left style="medium">
        <color theme="0" tint="-0.3499862666707358"/>
      </left>
      <right style="medium">
        <color theme="0" tint="-0.3499862666707358"/>
      </right>
      <top style="medium">
        <color theme="0" tint="-0.3499862666707358"/>
      </top>
      <bottom style="double">
        <color theme="0" tint="-0.3499862666707358"/>
      </bottom>
      <diagonal/>
    </border>
    <border>
      <left style="medium">
        <color theme="0" tint="-0.3499862666707358"/>
      </left>
      <right style="thin">
        <color theme="0" tint="-0.499984740745262"/>
      </right>
      <top style="medium">
        <color theme="0" tint="-0.3499862666707358"/>
      </top>
      <bottom style="double">
        <color theme="0" tint="-0.499984740745262"/>
      </bottom>
      <diagonal/>
    </border>
    <border>
      <left style="thin">
        <color theme="0" tint="-0.499984740745262"/>
      </left>
      <right style="thin">
        <color theme="0" tint="-0.499984740745262"/>
      </right>
      <top style="medium">
        <color theme="0" tint="-0.3499862666707358"/>
      </top>
      <bottom style="double">
        <color theme="0" tint="-0.499984740745262"/>
      </bottom>
      <diagonal/>
    </border>
    <border>
      <left style="medium">
        <color theme="0" tint="-0.499984740745262"/>
      </left>
      <right style="thin">
        <color theme="0" tint="-0.499984740745262"/>
      </right>
      <top style="medium">
        <color theme="0" tint="-0.3499862666707358"/>
      </top>
      <bottom style="double">
        <color theme="0" tint="-0.499984740745262"/>
      </bottom>
      <diagonal/>
    </border>
    <border>
      <left style="medium">
        <color theme="0" tint="-0.499984740745262"/>
      </left>
      <right style="medium">
        <color theme="0" tint="-0.3499862666707358"/>
      </right>
      <top style="medium">
        <color theme="0" tint="-0.3499862666707358"/>
      </top>
      <bottom style="double">
        <color theme="0" tint="-0.499984740745262"/>
      </bottom>
      <diagonal/>
    </border>
    <border>
      <left style="thin">
        <color theme="0" tint="-0.3499862666707358"/>
      </left>
      <right style="thin">
        <color theme="0" tint="-0.3499862666707358"/>
      </right>
      <top style="medium">
        <color theme="0" tint="-0.3499862666707358"/>
      </top>
      <bottom style="double">
        <color theme="0" tint="-0.3499862666707358"/>
      </bottom>
      <diagonal/>
    </border>
    <border>
      <left style="thin">
        <color theme="0" tint="-0.3499862666707358"/>
      </left>
      <right/>
      <top/>
      <bottom style="thin">
        <color theme="0" tint="-0.3499862666707358"/>
      </bottom>
      <diagonal/>
    </border>
    <border>
      <left/>
      <right/>
      <top/>
      <bottom style="thin">
        <color theme="0" tint="-0.3499862666707358"/>
      </bottom>
      <diagonal/>
    </border>
    <border>
      <left style="thin">
        <color theme="0" tint="-0.3499862666707358"/>
      </left>
      <right/>
      <top style="medium">
        <color theme="0" tint="-0.3499862666707358"/>
      </top>
      <bottom style="double">
        <color theme="0" tint="-0.3499862666707358"/>
      </bottom>
      <diagonal/>
    </border>
    <border>
      <left/>
      <right/>
      <top style="medium">
        <color theme="0" tint="-0.3499862666707358"/>
      </top>
      <bottom style="double">
        <color theme="0" tint="-0.3499862666707358"/>
      </bottom>
      <diagonal/>
    </border>
    <border>
      <left/>
      <right style="medium">
        <color theme="0" tint="-0.3499862666707358"/>
      </right>
      <top style="medium">
        <color theme="0" tint="-0.3499862666707358"/>
      </top>
      <bottom style="double">
        <color theme="0" tint="-0.3499862666707358"/>
      </bottom>
      <diagonal/>
    </border>
    <border>
      <left/>
      <right style="medium">
        <color theme="0" tint="-0.3499862666707358"/>
      </right>
      <top/>
      <bottom style="thin">
        <color theme="0" tint="-0.3499862666707358"/>
      </bottom>
      <diagonal/>
    </border>
    <border>
      <left/>
      <right style="medium">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medium">
        <color theme="0" tint="-0.3499862666707358"/>
      </bottom>
      <diagonal/>
    </border>
    <border>
      <left/>
      <right/>
      <top style="thin">
        <color theme="0" tint="-0.3499862666707358"/>
      </top>
      <bottom style="medium">
        <color theme="0" tint="-0.3499862666707358"/>
      </bottom>
      <diagonal/>
    </border>
    <border>
      <left/>
      <right style="medium">
        <color theme="0" tint="-0.3499862666707358"/>
      </right>
      <top style="thin">
        <color theme="0" tint="-0.3499862666707358"/>
      </top>
      <bottom style="medium">
        <color theme="0" tint="-0.3499862666707358"/>
      </bottom>
      <diagonal/>
    </border>
    <border>
      <left style="medium">
        <color theme="0" tint="-0.249977111117893"/>
      </left>
      <right style="thin">
        <color theme="0" tint="-0.249977111117893"/>
      </right>
      <top style="medium">
        <color theme="0" tint="-0.3499862666707358"/>
      </top>
      <bottom style="double">
        <color theme="0" tint="-0.3499862666707358"/>
      </bottom>
      <diagonal/>
    </border>
    <border>
      <left style="medium">
        <color theme="0" tint="-0.249977111117893"/>
      </left>
      <right style="medium">
        <color theme="0" tint="-0.3499862666707358"/>
      </right>
      <top style="medium">
        <color theme="0" tint="-0.3499862666707358"/>
      </top>
      <bottom style="double">
        <color theme="0" tint="-0.3499862666707358"/>
      </bottom>
      <diagonal/>
    </border>
    <border>
      <left style="medium">
        <color theme="0" tint="-0.3499862666707358"/>
      </left>
      <right style="thin">
        <color theme="0" tint="-0.3499862666707358"/>
      </right>
      <top/>
      <bottom style="double">
        <color theme="0" tint="-0.3499862666707358"/>
      </bottom>
      <diagonal/>
    </border>
    <border>
      <left style="thin">
        <color theme="0" tint="-0.3499862666707358"/>
      </left>
      <right style="thin">
        <color theme="0" tint="-0.3499862666707358"/>
      </right>
      <top/>
      <bottom style="double">
        <color theme="0" tint="-0.3499862666707358"/>
      </bottom>
      <diagonal/>
    </border>
    <border>
      <left style="thin">
        <color theme="0" tint="-0.3499862666707358"/>
      </left>
      <right style="medium">
        <color theme="0" tint="-0.3499862666707358"/>
      </right>
      <top/>
      <bottom style="double">
        <color theme="0" tint="-0.3499862666707358"/>
      </bottom>
      <diagonal/>
    </border>
    <border>
      <left/>
      <right/>
      <top/>
      <bottom style="double">
        <color theme="0" tint="-0.3499862666707358"/>
      </bottom>
      <diagonal/>
    </border>
    <border>
      <left style="medium">
        <color theme="0" tint="-0.3499862666707358"/>
      </left>
      <right style="thin">
        <color theme="0" tint="-0.3499862666707358"/>
      </right>
      <top style="double">
        <color theme="0" tint="-0.3499862666707358"/>
      </top>
      <bottom style="double">
        <color theme="0" tint="-0.3499862666707358"/>
      </bottom>
      <diagonal/>
    </border>
    <border>
      <left style="thin">
        <color theme="0" tint="-0.3499862666707358"/>
      </left>
      <right style="thin">
        <color theme="0" tint="-0.3499862666707358"/>
      </right>
      <top style="double">
        <color theme="0" tint="-0.3499862666707358"/>
      </top>
      <bottom style="double">
        <color theme="0" tint="-0.3499862666707358"/>
      </bottom>
      <diagonal/>
    </border>
    <border>
      <left style="thin">
        <color theme="0" tint="-0.3499862666707358"/>
      </left>
      <right style="medium">
        <color theme="0" tint="-0.3499862666707358"/>
      </right>
      <top style="double">
        <color theme="0" tint="-0.3499862666707358"/>
      </top>
      <bottom style="double">
        <color theme="0" tint="-0.3499862666707358"/>
      </bottom>
      <diagonal/>
    </border>
    <border>
      <left style="thin">
        <color theme="0" tint="-0.249977111117893"/>
      </left>
      <right style="thin">
        <color theme="0" tint="-0.249977111117893"/>
      </right>
      <top/>
      <bottom style="double">
        <color theme="0" tint="-0.3499862666707358"/>
      </bottom>
      <diagonal/>
    </border>
    <border>
      <left style="medium">
        <color theme="0" tint="-0.3499862666707358"/>
      </left>
      <right style="thin">
        <color theme="0" tint="-0.3499862666707358"/>
      </right>
      <top style="medium">
        <color theme="0" tint="-0.3499862666707358"/>
      </top>
      <bottom style="medium">
        <color theme="0" tint="-0.3499862666707358"/>
      </bottom>
      <diagonal/>
    </border>
    <border>
      <left style="thin">
        <color theme="0" tint="-0.3499862666707358"/>
      </left>
      <right style="thin">
        <color theme="0" tint="-0.3499862666707358"/>
      </right>
      <top style="medium">
        <color theme="0" tint="-0.3499862666707358"/>
      </top>
      <bottom style="medium">
        <color theme="0" tint="-0.3499862666707358"/>
      </bottom>
      <diagonal/>
    </border>
    <border>
      <left style="thin">
        <color theme="0" tint="-0.3499862666707358"/>
      </left>
      <right style="medium">
        <color theme="0" tint="-0.3499862666707358"/>
      </right>
      <top style="medium">
        <color theme="0" tint="-0.3499862666707358"/>
      </top>
      <bottom style="medium">
        <color theme="0" tint="-0.3499862666707358"/>
      </bottom>
      <diagonal/>
    </border>
    <border>
      <left style="medium">
        <color theme="0" tint="-0.3499862666707358"/>
      </left>
      <right style="thin">
        <color theme="0" tint="-0.3499862666707358"/>
      </right>
      <top/>
      <bottom style="medium">
        <color theme="0" tint="-0.3499862666707358"/>
      </bottom>
      <diagonal/>
    </border>
    <border>
      <left style="thin">
        <color theme="0" tint="-0.3499862666707358"/>
      </left>
      <right style="thin">
        <color theme="0" tint="-0.3499862666707358"/>
      </right>
      <top/>
      <bottom style="medium">
        <color theme="0" tint="-0.3499862666707358"/>
      </bottom>
      <diagonal/>
    </border>
    <border>
      <left style="medium">
        <color theme="0" tint="-0.3499862666707358"/>
      </left>
      <right style="thin">
        <color theme="0" tint="-0.3499862666707358"/>
      </right>
      <top style="thin">
        <color theme="0" tint="-0.3499862666707358"/>
      </top>
      <bottom style="double">
        <color theme="0" tint="-0.3499862666707358"/>
      </bottom>
      <diagonal/>
    </border>
    <border>
      <left style="thin">
        <color theme="0" tint="-0.3499862666707358"/>
      </left>
      <right style="thin">
        <color theme="0" tint="-0.3499862666707358"/>
      </right>
      <top style="thin">
        <color theme="0" tint="-0.3499862666707358"/>
      </top>
      <bottom style="double">
        <color theme="0" tint="-0.3499862666707358"/>
      </bottom>
      <diagonal/>
    </border>
    <border>
      <left style="thin">
        <color theme="0" tint="-0.3499862666707358"/>
      </left>
      <right style="medium">
        <color theme="0" tint="-0.3499862666707358"/>
      </right>
      <top style="thin">
        <color theme="0" tint="-0.3499862666707358"/>
      </top>
      <bottom style="double">
        <color theme="0" tint="-0.3499862666707358"/>
      </bottom>
      <diagonal/>
    </border>
    <border>
      <left style="thin">
        <color theme="0" tint="-0.3499862666707358"/>
      </left>
      <right style="thin">
        <color theme="0" tint="-0.3499862666707358"/>
      </right>
      <top style="medium">
        <color theme="0" tint="-0.3499862666707358"/>
      </top>
      <bottom style="thin">
        <color theme="0" tint="-0.3499862666707358"/>
      </bottom>
      <diagonal/>
    </border>
    <border>
      <left style="medium">
        <color theme="0" tint="-0.3499862666707358"/>
      </left>
      <right style="thin">
        <color theme="0" tint="-0.249977111117893"/>
      </right>
      <top/>
      <bottom style="double">
        <color theme="0" tint="-0.3499862666707358"/>
      </bottom>
      <diagonal/>
    </border>
    <border>
      <left style="thin">
        <color theme="0" tint="-0.249977111117893"/>
      </left>
      <right style="medium">
        <color theme="0" tint="-0.3499862666707358"/>
      </right>
      <top/>
      <bottom style="double">
        <color theme="0" tint="-0.3499862666707358"/>
      </bottom>
      <diagonal/>
    </border>
    <border>
      <left style="medium">
        <color theme="0" tint="-0.3499862666707358"/>
      </left>
      <right/>
      <top style="medium">
        <color theme="0" tint="-0.3499862666707358"/>
      </top>
      <bottom style="medium">
        <color theme="0" tint="-0.3499862666707358"/>
      </bottom>
      <diagonal/>
    </border>
    <border>
      <left/>
      <right style="medium">
        <color theme="0" tint="-0.3499862666707358"/>
      </right>
      <top style="medium">
        <color theme="0" tint="-0.3499862666707358"/>
      </top>
      <bottom style="medium">
        <color theme="0" tint="-0.3499862666707358"/>
      </bottom>
      <diagonal/>
    </border>
    <border>
      <left style="medium">
        <color theme="0" tint="-0.3499862666707358"/>
      </left>
      <right style="thin">
        <color theme="0" tint="-0.3499862666707358"/>
      </right>
      <top style="thin">
        <color theme="0" tint="-0.3499862666707358"/>
      </top>
      <bottom/>
      <diagonal/>
    </border>
    <border>
      <left style="thin">
        <color theme="0" tint="-0.3499862666707358"/>
      </left>
      <right style="thin">
        <color theme="0" tint="-0.3499862666707358"/>
      </right>
      <top style="thin">
        <color theme="0" tint="-0.3499862666707358"/>
      </top>
      <bottom/>
      <diagonal/>
    </border>
    <border>
      <left/>
      <right/>
      <top/>
      <bottom style="medium">
        <color theme="0" tint="-0.3499862666707358"/>
      </bottom>
      <diagonal/>
    </border>
    <border>
      <left style="medium">
        <color theme="0" tint="-0.3499862666707358"/>
      </left>
      <right/>
      <top style="double">
        <color theme="0" tint="-0.3499862666707358"/>
      </top>
      <bottom style="double">
        <color theme="0" tint="-0.3499862666707358"/>
      </bottom>
      <diagonal/>
    </border>
    <border>
      <left style="medium">
        <color theme="0" tint="-0.3499862666707358"/>
      </left>
      <right/>
      <top/>
      <bottom/>
      <diagonal/>
    </border>
    <border>
      <left style="thin">
        <color theme="0" tint="-0.3499862666707358"/>
      </left>
      <right style="medium">
        <color theme="0" tint="-0.3499862666707358"/>
      </right>
      <top style="thin">
        <color theme="0" tint="-0.3499862666707358"/>
      </top>
      <bottom/>
      <diagonal/>
    </border>
    <border>
      <left/>
      <right/>
      <top/>
      <bottom style="medium">
        <color theme="0" tint="-0.249977111117893"/>
      </bottom>
      <diagonal/>
    </border>
    <border>
      <left/>
      <right style="thin">
        <color theme="0" tint="-0.3499862666707358"/>
      </right>
      <top style="medium">
        <color theme="0" tint="-0.3499862666707358"/>
      </top>
      <bottom style="medium">
        <color theme="0" tint="-0.3499862666707358"/>
      </bottom>
      <diagonal/>
    </border>
    <border>
      <left style="thin">
        <color theme="0" tint="-0.3499862666707358"/>
      </left>
      <right/>
      <top style="medium">
        <color theme="0" tint="-0.3499862666707358"/>
      </top>
      <bottom style="medium">
        <color theme="0" tint="-0.3499862666707358"/>
      </bottom>
      <diagonal/>
    </border>
    <border>
      <left/>
      <right style="thin">
        <color theme="0" tint="-0.3499862666707358"/>
      </right>
      <top style="thin">
        <color theme="0" tint="-0.3499862666707358"/>
      </top>
      <bottom style="thin">
        <color theme="0" tint="-0.3499862666707358"/>
      </bottom>
      <diagonal/>
    </border>
    <border>
      <left style="medium">
        <color theme="0" tint="-0.3499862666707358"/>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3499862666707358"/>
      </right>
      <top style="thin">
        <color theme="0" tint="-0.249977111117893"/>
      </top>
      <bottom style="thin">
        <color theme="0" tint="-0.249977111117893"/>
      </bottom>
      <diagonal/>
    </border>
    <border>
      <left style="medium">
        <color theme="0" tint="-0.3499862666707358"/>
      </left>
      <right style="thin">
        <color theme="0" tint="-0.249977111117893"/>
      </right>
      <top style="thin">
        <color theme="0" tint="-0.249977111117893"/>
      </top>
      <bottom style="medium">
        <color theme="0" tint="-0.3499862666707358"/>
      </bottom>
      <diagonal/>
    </border>
    <border>
      <left style="thin">
        <color theme="0" tint="-0.249977111117893"/>
      </left>
      <right style="thin">
        <color theme="0" tint="-0.249977111117893"/>
      </right>
      <top style="thin">
        <color theme="0" tint="-0.249977111117893"/>
      </top>
      <bottom style="medium">
        <color theme="0" tint="-0.3499862666707358"/>
      </bottom>
      <diagonal/>
    </border>
    <border>
      <left style="thin">
        <color theme="0" tint="-0.249977111117893"/>
      </left>
      <right style="medium">
        <color theme="0" tint="-0.3499862666707358"/>
      </right>
      <top style="thin">
        <color theme="0" tint="-0.249977111117893"/>
      </top>
      <bottom style="medium">
        <color theme="0" tint="-0.3499862666707358"/>
      </bottom>
      <diagonal/>
    </border>
    <border>
      <left style="medium">
        <color theme="0" tint="-0.3499862666707358"/>
      </left>
      <right style="thin">
        <color theme="0" tint="-0.249977111117893"/>
      </right>
      <top/>
      <bottom style="thin">
        <color theme="0" tint="-0.249977111117893"/>
      </bottom>
      <diagonal/>
    </border>
    <border>
      <left style="thin">
        <color theme="0" tint="-0.249977111117893"/>
      </left>
      <right style="medium">
        <color theme="0" tint="-0.3499862666707358"/>
      </right>
      <top/>
      <bottom style="thin">
        <color theme="0" tint="-0.249977111117893"/>
      </bottom>
      <diagonal/>
    </border>
    <border>
      <left style="thin">
        <color theme="0" tint="-0.3499862666707358"/>
      </left>
      <right/>
      <top style="thin">
        <color theme="0" tint="-0.3499862666707358"/>
      </top>
      <bottom/>
      <diagonal/>
    </border>
    <border>
      <left/>
      <right style="thin">
        <color theme="0" tint="-0.3499862666707358"/>
      </right>
      <top/>
      <bottom/>
      <diagonal/>
    </border>
    <border>
      <left style="thin">
        <color theme="0" tint="-0.3499862666707358"/>
      </left>
      <right/>
      <top style="double">
        <color theme="0" tint="-0.3499862666707358"/>
      </top>
      <bottom style="thin">
        <color theme="0" tint="-0.3499862666707358"/>
      </bottom>
      <diagonal/>
    </border>
    <border>
      <left/>
      <right/>
      <top style="double">
        <color theme="0" tint="-0.3499862666707358"/>
      </top>
      <bottom style="thin">
        <color theme="0" tint="-0.3499862666707358"/>
      </bottom>
      <diagonal/>
    </border>
    <border>
      <left/>
      <right style="thin">
        <color theme="0" tint="-0.3499862666707358"/>
      </right>
      <top style="double">
        <color theme="0" tint="-0.3499862666707358"/>
      </top>
      <bottom style="thin">
        <color theme="0" tint="-0.3499862666707358"/>
      </bottom>
      <diagonal/>
    </border>
    <border>
      <left style="thin">
        <color theme="0" tint="-0.249977111117893"/>
      </left>
      <right/>
      <top style="medium">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medium">
        <color theme="0" tint="-0.249977111117893"/>
      </left>
      <right style="thin">
        <color theme="0" tint="-0.249977111117893"/>
      </right>
      <top style="medium">
        <color theme="0" tint="-0.3499862666707358"/>
      </top>
      <bottom/>
      <diagonal/>
    </border>
    <border>
      <left style="medium">
        <color theme="0" tint="-0.249977111117893"/>
      </left>
      <right style="medium">
        <color theme="0" tint="-0.3499862666707358"/>
      </right>
      <top style="medium">
        <color theme="0" tint="-0.3499862666707358"/>
      </top>
      <bottom/>
      <diagonal/>
    </border>
    <border>
      <left/>
      <right/>
      <top style="medium">
        <color theme="0" tint="-0.3499862666707358"/>
      </top>
      <bottom style="medium">
        <color theme="0" tint="-0.3499862666707358"/>
      </bottom>
      <diagonal/>
    </border>
    <border>
      <left style="thin">
        <color theme="0" tint="-0.3499862666707358"/>
      </left>
      <right style="medium">
        <color theme="0" tint="-0.3499862666707358"/>
      </right>
      <top style="medium">
        <color theme="0" tint="-0.3499862666707358"/>
      </top>
      <bottom/>
      <diagonal/>
    </border>
    <border>
      <left style="thin">
        <color theme="0" tint="-0.3499862666707358"/>
      </left>
      <right/>
      <top/>
      <bottom style="double">
        <color theme="0" tint="-0.3499862666707358"/>
      </bottom>
      <diagonal/>
    </border>
    <border>
      <left style="thin">
        <color theme="0" tint="-0.3499862666707358"/>
      </left>
      <right/>
      <top style="double">
        <color theme="0" tint="-0.3499862666707358"/>
      </top>
      <bottom style="double">
        <color theme="0" tint="-0.3499862666707358"/>
      </bottom>
      <diagonal/>
    </border>
    <border>
      <left style="thin">
        <color theme="0" tint="-0.3499862666707358"/>
      </left>
      <right/>
      <top/>
      <bottom/>
      <diagonal/>
    </border>
    <border>
      <left/>
      <right style="thin">
        <color theme="0" tint="-0.3499862666707358"/>
      </right>
      <top style="thin">
        <color theme="0" tint="-0.3499862666707358"/>
      </top>
      <bottom/>
      <diagonal/>
    </border>
    <border>
      <left style="medium">
        <color theme="0" tint="-0.3499862666707358"/>
      </left>
      <right style="thin">
        <color theme="0" tint="-0.249977111117893"/>
      </right>
      <top style="thin">
        <color theme="0" tint="-0.249977111117893"/>
      </top>
      <bottom/>
      <diagonal/>
    </border>
    <border>
      <left style="medium">
        <color theme="0" tint="-0.3499862666707358"/>
      </left>
      <right style="thin">
        <color theme="0" tint="-0.249977111117893"/>
      </right>
      <top/>
      <bottom style="medium">
        <color theme="0" tint="-0.3499862666707358"/>
      </bottom>
      <diagonal/>
    </border>
    <border>
      <left style="thin">
        <color theme="0" tint="-0.249977111117893"/>
      </left>
      <right style="thin">
        <color theme="0" tint="-0.249977111117893"/>
      </right>
      <top/>
      <bottom style="medium">
        <color theme="0" tint="-0.3499862666707358"/>
      </bottom>
      <diagonal/>
    </border>
    <border>
      <left style="thin">
        <color theme="0" tint="-0.249977111117893"/>
      </left>
      <right/>
      <top/>
      <bottom style="medium">
        <color theme="0" tint="-0.3499862666707358"/>
      </bottom>
      <diagonal/>
    </border>
    <border>
      <left/>
      <right style="medium">
        <color theme="0" tint="-0.3499862666707358"/>
      </right>
      <top/>
      <bottom/>
      <diagonal/>
    </border>
    <border>
      <left style="thin">
        <color theme="0" tint="-0.249977111117893"/>
      </left>
      <right style="thin">
        <color theme="0" tint="-0.249977111117893"/>
      </right>
      <top/>
      <bottom/>
      <diagonal/>
    </border>
    <border>
      <left style="thin">
        <color theme="0" tint="-0.3499862666707358"/>
      </left>
      <right style="medium">
        <color theme="0" tint="-0.3499862666707358"/>
      </right>
      <top/>
      <bottom/>
      <diagonal/>
    </border>
    <border>
      <left style="medium">
        <color theme="0" tint="-0.3499862666707358"/>
      </left>
      <right style="thin">
        <color theme="0" tint="-0.249977111117893"/>
      </right>
      <top style="double">
        <color theme="0" tint="-0.3499862666707358"/>
      </top>
      <bottom style="double">
        <color theme="0" tint="-0.3499862666707358"/>
      </bottom>
      <diagonal/>
    </border>
    <border>
      <left style="thin">
        <color theme="0" tint="-0.249977111117893"/>
      </left>
      <right style="thin">
        <color theme="0" tint="-0.249977111117893"/>
      </right>
      <top style="double">
        <color theme="0" tint="-0.3499862666707358"/>
      </top>
      <bottom style="double">
        <color theme="0" tint="-0.3499862666707358"/>
      </bottom>
      <diagonal/>
    </border>
    <border>
      <left style="thin">
        <color theme="0" tint="-0.249977111117893"/>
      </left>
      <right/>
      <top style="double">
        <color theme="0" tint="-0.3499862666707358"/>
      </top>
      <bottom style="double">
        <color theme="0" tint="-0.3499862666707358"/>
      </bottom>
      <diagonal/>
    </border>
    <border>
      <left style="medium">
        <color theme="0" tint="-0.3499862666707358"/>
      </left>
      <right style="thin">
        <color theme="0" tint="-0.249977111117893"/>
      </right>
      <top style="thin">
        <color theme="0" tint="-0.249977111117893"/>
      </top>
      <bottom style="thin">
        <color theme="0" tint="-0.3499862666707358"/>
      </bottom>
      <diagonal/>
    </border>
    <border>
      <left style="thin">
        <color theme="0" tint="-0.249977111117893"/>
      </left>
      <right style="thin">
        <color theme="0" tint="-0.249977111117893"/>
      </right>
      <top style="thin">
        <color theme="0" tint="-0.249977111117893"/>
      </top>
      <bottom style="thin">
        <color theme="0" tint="-0.3499862666707358"/>
      </bottom>
      <diagonal/>
    </border>
    <border>
      <left style="thin">
        <color theme="0" tint="-0.249977111117893"/>
      </left>
      <right/>
      <top style="thin">
        <color theme="0" tint="-0.249977111117893"/>
      </top>
      <bottom style="thin">
        <color theme="0" tint="-0.3499862666707358"/>
      </bottom>
      <diagonal/>
    </border>
    <border>
      <left style="thin">
        <color theme="0" tint="-0.3499862666707358"/>
      </left>
      <right style="medium">
        <color theme="0" tint="-0.3499862666707358"/>
      </right>
      <top style="double">
        <color theme="0" tint="-0.3499862666707358"/>
      </top>
      <bottom/>
      <diagonal/>
    </border>
    <border>
      <left/>
      <right/>
      <top style="medium">
        <color theme="0" tint="-0.3499862666707358"/>
      </top>
      <bottom/>
      <diagonal/>
    </border>
    <border>
      <left/>
      <right style="thin">
        <color theme="0" tint="-0.3499862666707358"/>
      </right>
      <top style="medium">
        <color theme="0" tint="-0.3499862666707358"/>
      </top>
      <bottom/>
      <diagonal/>
    </border>
    <border>
      <left/>
      <right style="thin">
        <color theme="0" tint="-0.3499862666707358"/>
      </right>
      <top style="medium">
        <color theme="0" tint="-0.3499862666707358"/>
      </top>
      <bottom style="double">
        <color theme="0" tint="-0.3499862666707358"/>
      </bottom>
      <diagonal/>
    </border>
    <border>
      <left/>
      <right/>
      <top style="thin">
        <color theme="0" tint="-0.3499862666707358"/>
      </top>
      <bottom/>
      <diagonal/>
    </border>
    <border>
      <left/>
      <right style="medium">
        <color theme="0" tint="-0.3499862666707358"/>
      </right>
      <top style="thin">
        <color theme="0" tint="-0.3499862666707358"/>
      </top>
      <bottom/>
      <diagonal/>
    </border>
    <border>
      <left/>
      <right style="medium">
        <color theme="0" tint="-0.3499862666707358"/>
      </right>
      <top style="medium">
        <color theme="0" tint="-0.3499862666707358"/>
      </top>
      <bottom/>
      <diagonal/>
    </border>
    <border>
      <left style="medium">
        <color theme="0" tint="-0.3499862666707358"/>
      </left>
      <right style="thin">
        <color theme="0" tint="-0.3499862666707358"/>
      </right>
      <top/>
      <bottom/>
      <diagonal/>
    </border>
    <border>
      <left style="thin">
        <color theme="0" tint="-0.3499862666707358"/>
      </left>
      <right style="thin">
        <color theme="0" tint="-0.3499862666707358"/>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theme="0" tint="-0.3499862666707358"/>
      </right>
      <top style="thin">
        <color theme="0" tint="-0.3499862666707358"/>
      </top>
      <bottom style="medium">
        <color theme="0" tint="-0.3499862666707358"/>
      </bottom>
      <diagonal/>
    </border>
    <border>
      <left/>
      <right style="thin">
        <color theme="0" tint="-0.3499862666707358"/>
      </right>
      <top/>
      <bottom style="thin">
        <color theme="0" tint="-0.3499862666707358"/>
      </bottom>
      <diagonal/>
    </border>
    <border>
      <left/>
      <right/>
      <top style="double">
        <color theme="0" tint="-0.3499862666707358"/>
      </top>
      <bottom/>
      <diagonal/>
    </border>
    <border>
      <left/>
      <right style="thin">
        <color theme="0" tint="-0.3499862666707358"/>
      </right>
      <top style="double">
        <color theme="0" tint="-0.3499862666707358"/>
      </top>
      <bottom/>
      <diagonal/>
    </border>
    <border>
      <left/>
      <right style="thin">
        <color theme="0" tint="-0.3499862666707358"/>
      </right>
      <top style="double">
        <color theme="0" tint="-0.3499862666707358"/>
      </top>
      <bottom style="double">
        <color theme="0" tint="-0.3499862666707358"/>
      </bottom>
      <diagonal/>
    </border>
    <border>
      <left/>
      <right/>
      <top style="double">
        <color theme="0" tint="-0.3499862666707358"/>
      </top>
      <bottom style="double">
        <color theme="0" tint="-0.3499862666707358"/>
      </bottom>
      <diagonal/>
    </border>
    <border>
      <left style="thin">
        <color theme="0" tint="-0.3499862666707358"/>
      </left>
      <right style="thin">
        <color theme="0" tint="-0.3499862666707358"/>
      </right>
      <top style="double">
        <color theme="0" tint="-0.3499862666707358"/>
      </top>
      <bottom style="thin">
        <color theme="0" tint="-0.3499862666707358"/>
      </bottom>
      <diagonal/>
    </border>
    <border>
      <left style="medium">
        <color theme="0" tint="-0.249977111117893"/>
      </left>
      <right style="thin">
        <color theme="0" tint="-0.3499862666707358"/>
      </right>
      <top/>
      <bottom/>
      <diagonal/>
    </border>
    <border>
      <left/>
      <right/>
      <top style="thin">
        <color theme="0" tint="-0.249977111117893"/>
      </top>
      <bottom/>
      <diagonal/>
    </border>
    <border>
      <left/>
      <right/>
      <top style="medium">
        <color theme="0" tint="-0.3499862666707358"/>
      </top>
      <bottom style="thin">
        <color theme="0" tint="-0.3499862666707358"/>
      </bottom>
      <diagonal/>
    </border>
    <border>
      <left/>
      <right style="thin">
        <color theme="0" tint="-0.3499862666707358"/>
      </right>
      <top style="medium">
        <color theme="0" tint="-0.3499862666707358"/>
      </top>
      <bottom style="thin">
        <color theme="0" tint="-0.3499862666707358"/>
      </bottom>
      <diagonal/>
    </border>
    <border>
      <left/>
      <right style="thin">
        <color theme="0" tint="-0.249977111117893"/>
      </right>
      <top style="thin">
        <color theme="0" tint="-0.249977111117893"/>
      </top>
      <bottom style="medium">
        <color theme="0" tint="-0.249977111117893"/>
      </bottom>
      <diagonal/>
    </border>
    <border>
      <left/>
      <right/>
      <top style="medium">
        <color theme="0" tint="-0.249977111117893"/>
      </top>
      <bottom/>
      <diagonal/>
    </border>
    <border>
      <left/>
      <right style="thin">
        <color theme="0" tint="-0.249977111117893"/>
      </right>
      <top style="medium">
        <color theme="0" tint="-0.249977111117893"/>
      </top>
      <bottom/>
      <diagonal/>
    </border>
    <border>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right/>
      <top style="thin">
        <color theme="0" tint="-0.249977111117893"/>
      </top>
      <bottom style="medium">
        <color theme="0" tint="-0.249977111117893"/>
      </bottom>
      <diagonal/>
    </border>
    <border>
      <left/>
      <right style="thin">
        <color theme="0" tint="-0.249977111117893"/>
      </right>
      <top/>
      <bottom/>
      <diagonal/>
    </border>
    <border>
      <left/>
      <right style="thin">
        <color theme="0" tint="-0.249977111117893"/>
      </right>
      <top/>
      <bottom style="medium">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diagonal/>
    </border>
  </borders>
  <cellStyleXfs count="6">
    <xf numFmtId="0" fontId="1" fillId="0" borderId="0"/>
    <xf numFmtId="9" fontId="1" fillId="0" borderId="0"/>
    <xf numFmtId="0" fontId="25" fillId="0" borderId="0"/>
    <xf numFmtId="9" fontId="1" fillId="0" borderId="0"/>
    <xf numFmtId="0" fontId="25" fillId="0" borderId="0"/>
    <xf numFmtId="43" fontId="1" fillId="0" borderId="0"/>
  </cellStyleXfs>
  <cellXfs count="184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center"/>
    </xf>
    <xf numFmtId="0" fontId="4" fillId="0" borderId="0" applyAlignment="1" pivotButton="0" quotePrefix="0" xfId="0">
      <alignment horizontal="left" vertical="top" wrapText="1"/>
    </xf>
    <xf numFmtId="0" fontId="4" fillId="0" borderId="0" applyAlignment="1" pivotButton="0" quotePrefix="0" xfId="0">
      <alignment horizontal="left" vertical="top"/>
    </xf>
    <xf numFmtId="164" fontId="8" fillId="0" borderId="0" applyAlignment="1" pivotButton="0" quotePrefix="0" xfId="0">
      <alignment horizontal="right" vertical="top"/>
    </xf>
    <xf numFmtId="164" fontId="7" fillId="0" borderId="0" applyAlignment="1" pivotButton="0" quotePrefix="0" xfId="0">
      <alignment horizontal="right" vertical="top"/>
    </xf>
    <xf numFmtId="0" fontId="12" fillId="0" borderId="0" applyAlignment="1" pivotButton="0" quotePrefix="0" xfId="0">
      <alignment horizontal="left" vertical="top"/>
    </xf>
    <xf numFmtId="0" fontId="16" fillId="0" borderId="0" applyAlignment="1" pivotButton="0" quotePrefix="0" xfId="0">
      <alignment horizontal="left" vertical="top"/>
    </xf>
    <xf numFmtId="0" fontId="17" fillId="0" borderId="0" applyAlignment="1" pivotButton="0" quotePrefix="0" xfId="0">
      <alignment horizontal="left" vertical="top" wrapText="1"/>
    </xf>
    <xf numFmtId="0" fontId="19" fillId="0" borderId="0" applyAlignment="1" pivotButton="0" quotePrefix="0" xfId="0">
      <alignment horizontal="left" vertical="top"/>
    </xf>
    <xf numFmtId="0" fontId="6" fillId="0" borderId="1" applyAlignment="1" pivotButton="0" quotePrefix="0" xfId="0">
      <alignment horizontal="center" vertical="top" wrapText="1"/>
    </xf>
    <xf numFmtId="0" fontId="4" fillId="0" borderId="1" applyAlignment="1" pivotButton="0" quotePrefix="0" xfId="0">
      <alignment horizontal="left" vertical="top"/>
    </xf>
    <xf numFmtId="0" fontId="5" fillId="3" borderId="1" applyAlignment="1" pivotButton="0" quotePrefix="0" xfId="0">
      <alignment horizontal="left"/>
    </xf>
    <xf numFmtId="0" fontId="20" fillId="0" borderId="1" applyAlignment="1" pivotButton="0" quotePrefix="0" xfId="0">
      <alignment horizontal="left" vertical="top"/>
    </xf>
    <xf numFmtId="0" fontId="0" fillId="0" borderId="1" applyAlignment="1" pivotButton="0" quotePrefix="0" xfId="0">
      <alignment wrapText="1"/>
    </xf>
    <xf numFmtId="0" fontId="4" fillId="0" borderId="1" applyAlignment="1" pivotButton="0" quotePrefix="0" xfId="0">
      <alignment horizontal="center" vertical="top"/>
    </xf>
    <xf numFmtId="0" fontId="4" fillId="0" borderId="1" applyAlignment="1" pivotButton="0" quotePrefix="0" xfId="0">
      <alignment horizontal="right" vertical="top"/>
    </xf>
    <xf numFmtId="0" fontId="5" fillId="3" borderId="1" applyAlignment="1" pivotButton="0" quotePrefix="0" xfId="0">
      <alignment horizontal="center"/>
    </xf>
    <xf numFmtId="0" fontId="2" fillId="0" borderId="0" pivotButton="0" quotePrefix="0" xfId="0"/>
    <xf numFmtId="0" fontId="5" fillId="3" borderId="5" applyAlignment="1" pivotButton="0" quotePrefix="0" xfId="0">
      <alignment horizontal="left" vertical="center" wrapText="1"/>
    </xf>
    <xf numFmtId="0" fontId="5" fillId="3" borderId="6"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0" borderId="14" applyAlignment="1" pivotButton="0" quotePrefix="0" xfId="0">
      <alignment horizontal="center" vertical="center" wrapText="1"/>
    </xf>
    <xf numFmtId="0" fontId="7"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5" applyAlignment="1" pivotButton="0" quotePrefix="0" xfId="0">
      <alignment horizontal="left" vertical="center" wrapText="1"/>
    </xf>
    <xf numFmtId="0" fontId="4" fillId="0" borderId="18" applyAlignment="1" pivotButton="0" quotePrefix="0" xfId="0">
      <alignment horizontal="left" vertical="center" wrapText="1"/>
    </xf>
    <xf numFmtId="0" fontId="5" fillId="3" borderId="6" applyAlignment="1" pivotButton="0" quotePrefix="0" xfId="0">
      <alignment horizontal="left" wrapText="1"/>
    </xf>
    <xf numFmtId="0" fontId="5" fillId="3" borderId="6" applyAlignment="1" pivotButton="0" quotePrefix="0" xfId="0">
      <alignment horizontal="center" wrapText="1"/>
    </xf>
    <xf numFmtId="0" fontId="5" fillId="3" borderId="7" applyAlignment="1" pivotButton="0" quotePrefix="0" xfId="0">
      <alignment horizontal="left" wrapText="1"/>
    </xf>
    <xf numFmtId="0" fontId="5" fillId="3" borderId="6" applyAlignment="1" pivotButton="0" quotePrefix="0" xfId="0">
      <alignment horizontal="left" vertical="center" wrapText="1"/>
    </xf>
    <xf numFmtId="0" fontId="5" fillId="3" borderId="7"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xf>
    <xf numFmtId="0" fontId="0" fillId="0" borderId="1" applyAlignment="1" pivotButton="0" quotePrefix="0" xfId="0">
      <alignment vertical="center"/>
    </xf>
    <xf numFmtId="165" fontId="6" fillId="0" borderId="1" applyAlignment="1" pivotButton="0" quotePrefix="0" xfId="0">
      <alignment horizontal="right" vertical="center"/>
    </xf>
    <xf numFmtId="0" fontId="4" fillId="0" borderId="2" applyAlignment="1" pivotButton="0" quotePrefix="0" xfId="0">
      <alignment horizontal="left" vertical="center" wrapText="1"/>
    </xf>
    <xf numFmtId="166" fontId="6" fillId="0" borderId="1" applyAlignment="1" pivotButton="0" quotePrefix="0" xfId="0">
      <alignment horizontal="right" vertical="center"/>
    </xf>
    <xf numFmtId="164" fontId="6" fillId="0" borderId="1" applyAlignment="1" pivotButton="0" quotePrefix="0" xfId="0">
      <alignment horizontal="right" vertical="center"/>
    </xf>
    <xf numFmtId="167" fontId="6" fillId="0" borderId="1" applyAlignment="1" pivotButton="0" quotePrefix="0" xfId="0">
      <alignment horizontal="right" vertical="center"/>
    </xf>
    <xf numFmtId="0" fontId="6" fillId="0" borderId="9" applyAlignment="1" pivotButton="0" quotePrefix="0" xfId="0">
      <alignment horizontal="left" vertical="center" wrapText="1"/>
    </xf>
    <xf numFmtId="0" fontId="0" fillId="0" borderId="9" applyAlignment="1" pivotButton="0" quotePrefix="0" xfId="0">
      <alignment vertical="center"/>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0" fontId="5" fillId="3" borderId="5" applyAlignment="1" pivotButton="0" quotePrefix="0" xfId="0">
      <alignment horizontal="left"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7" fillId="0" borderId="4" applyAlignment="1" pivotButton="0" quotePrefix="0" xfId="0">
      <alignment horizontal="left" vertical="center" wrapText="1"/>
    </xf>
    <xf numFmtId="0" fontId="7" fillId="0" borderId="8" applyAlignment="1" pivotButton="0" quotePrefix="0" xfId="0">
      <alignment horizontal="left" vertical="center" wrapText="1"/>
    </xf>
    <xf numFmtId="0" fontId="15" fillId="0" borderId="0" pivotButton="0" quotePrefix="0" xfId="0"/>
    <xf numFmtId="0" fontId="5" fillId="3" borderId="11" applyAlignment="1" pivotButton="0" quotePrefix="0" xfId="0">
      <alignment horizontal="left" vertical="center" wrapText="1"/>
    </xf>
    <xf numFmtId="0" fontId="5" fillId="3" borderId="12" applyAlignment="1" pivotButton="0" quotePrefix="0" xfId="0">
      <alignment horizontal="left" vertical="center" wrapText="1"/>
    </xf>
    <xf numFmtId="0" fontId="5" fillId="3" borderId="12" applyAlignment="1" pivotButton="0" quotePrefix="0" xfId="0">
      <alignment horizontal="center" vertical="center" wrapText="1"/>
    </xf>
    <xf numFmtId="0" fontId="5" fillId="3" borderId="13" applyAlignment="1" pivotButton="0" quotePrefix="0" xfId="0">
      <alignment horizontal="left" vertical="center" wrapText="1"/>
    </xf>
    <xf numFmtId="0" fontId="0" fillId="0" borderId="15" applyAlignment="1" pivotButton="0" quotePrefix="0" xfId="0">
      <alignment vertical="center"/>
    </xf>
    <xf numFmtId="0" fontId="6" fillId="0" borderId="14" applyAlignment="1" pivotButton="0" quotePrefix="0" xfId="0">
      <alignment horizontal="left" vertical="center" wrapText="1"/>
    </xf>
    <xf numFmtId="168" fontId="6" fillId="0" borderId="1" applyAlignment="1" pivotButton="0" quotePrefix="0" xfId="0">
      <alignment horizontal="right" vertical="center"/>
    </xf>
    <xf numFmtId="0" fontId="0" fillId="0" borderId="14" applyAlignment="1" pivotButton="0" quotePrefix="0" xfId="0">
      <alignment vertical="center"/>
    </xf>
    <xf numFmtId="0" fontId="6" fillId="0" borderId="16" applyAlignment="1" pivotButton="0" quotePrefix="0" xfId="0">
      <alignment horizontal="left" vertical="center" wrapText="1"/>
    </xf>
    <xf numFmtId="0" fontId="4" fillId="0" borderId="17" applyAlignment="1" pivotButton="0" quotePrefix="0" xfId="0">
      <alignment horizontal="left" vertical="center"/>
    </xf>
    <xf numFmtId="0" fontId="0" fillId="0" borderId="17" applyAlignment="1" pivotButton="0" quotePrefix="0" xfId="0">
      <alignment vertical="center"/>
    </xf>
    <xf numFmtId="165" fontId="6" fillId="0" borderId="17" applyAlignment="1" pivotButton="0" quotePrefix="0" xfId="0">
      <alignment horizontal="right" vertical="center"/>
    </xf>
    <xf numFmtId="0" fontId="20" fillId="0" borderId="14" applyAlignment="1" pivotButton="0" quotePrefix="0" xfId="0">
      <alignment horizontal="left" vertical="center" wrapText="1"/>
    </xf>
    <xf numFmtId="0" fontId="4" fillId="0" borderId="1" applyAlignment="1" pivotButton="0" quotePrefix="0" xfId="0">
      <alignment horizontal="center" vertical="center"/>
    </xf>
    <xf numFmtId="0" fontId="4" fillId="0" borderId="17" applyAlignment="1" pivotButton="0" quotePrefix="0" xfId="0">
      <alignment horizontal="center" vertical="center"/>
    </xf>
    <xf numFmtId="0" fontId="5" fillId="3" borderId="12" applyAlignment="1" pivotButton="0" quotePrefix="0" xfId="0">
      <alignment horizontal="right" vertical="center" wrapText="1"/>
    </xf>
    <xf numFmtId="0" fontId="0" fillId="0" borderId="1" applyAlignment="1" pivotButton="0" quotePrefix="0" xfId="0">
      <alignment horizontal="right" vertical="center"/>
    </xf>
    <xf numFmtId="169" fontId="6" fillId="0" borderId="1" applyAlignment="1" pivotButton="0" quotePrefix="0" xfId="0">
      <alignment horizontal="center" vertical="center"/>
    </xf>
    <xf numFmtId="0" fontId="0" fillId="0" borderId="1" applyAlignment="1" pivotButton="0" quotePrefix="0" xfId="0">
      <alignment horizontal="center" vertical="center"/>
    </xf>
    <xf numFmtId="165" fontId="6" fillId="0" borderId="1" applyAlignment="1" pivotButton="0" quotePrefix="0" xfId="0">
      <alignment horizontal="center" vertical="center"/>
    </xf>
    <xf numFmtId="165" fontId="6" fillId="0" borderId="17" applyAlignment="1" pivotButton="0" quotePrefix="0" xfId="0">
      <alignment horizontal="center" vertical="center"/>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49" fontId="6" fillId="0" borderId="1" applyAlignment="1" pivotButton="0" quotePrefix="0" xfId="0">
      <alignment horizontal="right" vertical="center"/>
    </xf>
    <xf numFmtId="164" fontId="6" fillId="0" borderId="1" applyAlignment="1" pivotButton="0" quotePrefix="0" xfId="0">
      <alignment horizontal="center" vertical="center"/>
    </xf>
    <xf numFmtId="166" fontId="6" fillId="0" borderId="1" applyAlignment="1" pivotButton="0" quotePrefix="0" xfId="0">
      <alignment horizontal="center" vertical="center"/>
    </xf>
    <xf numFmtId="168" fontId="6" fillId="0" borderId="1" applyAlignment="1" pivotButton="0" quotePrefix="0" xfId="0">
      <alignment horizontal="center" vertical="center"/>
    </xf>
    <xf numFmtId="0" fontId="0" fillId="0" borderId="17" applyAlignment="1" pivotButton="0" quotePrefix="0" xfId="0">
      <alignment horizontal="center" vertical="center"/>
    </xf>
    <xf numFmtId="168" fontId="20" fillId="0" borderId="1" applyAlignment="1" pivotButton="0" quotePrefix="0" xfId="0">
      <alignment horizontal="center" vertical="center"/>
    </xf>
    <xf numFmtId="165" fontId="20" fillId="0" borderId="17" applyAlignment="1" pivotButton="0" quotePrefix="0" xfId="0">
      <alignment horizontal="center" vertical="center"/>
    </xf>
    <xf numFmtId="0" fontId="20" fillId="0" borderId="16" applyAlignment="1" pivotButton="0" quotePrefix="0" xfId="0">
      <alignment horizontal="left" vertical="center" wrapText="1"/>
    </xf>
    <xf numFmtId="49" fontId="6" fillId="0" borderId="4" applyAlignment="1" pivotButton="0" quotePrefix="0" xfId="0">
      <alignment horizontal="left" vertical="top" wrapText="1"/>
    </xf>
    <xf numFmtId="49" fontId="6" fillId="0" borderId="1" applyAlignment="1" pivotButton="0" quotePrefix="0" xfId="0">
      <alignment horizontal="left" vertical="top" wrapText="1"/>
    </xf>
    <xf numFmtId="167" fontId="6" fillId="0" borderId="1" applyAlignment="1" pivotButton="0" quotePrefix="0" xfId="0">
      <alignment horizontal="right" vertical="top" wrapText="1"/>
    </xf>
    <xf numFmtId="49" fontId="4" fillId="0" borderId="2" applyAlignment="1" pivotButton="0" quotePrefix="0" xfId="0">
      <alignment horizontal="left" vertical="top" wrapText="1"/>
    </xf>
    <xf numFmtId="49" fontId="6" fillId="0" borderId="8" applyAlignment="1" pivotButton="0" quotePrefix="0" xfId="0">
      <alignment horizontal="left" vertical="top" wrapText="1"/>
    </xf>
    <xf numFmtId="49" fontId="6" fillId="0" borderId="9" applyAlignment="1" pivotButton="0" quotePrefix="0" xfId="0">
      <alignment horizontal="left" vertical="top" wrapText="1"/>
    </xf>
    <xf numFmtId="0" fontId="0" fillId="0" borderId="9" applyAlignment="1" pivotButton="0" quotePrefix="0" xfId="0">
      <alignment wrapText="1"/>
    </xf>
    <xf numFmtId="49" fontId="4" fillId="0" borderId="10" applyAlignment="1" pivotButton="0" quotePrefix="0" xfId="0">
      <alignment horizontal="left" vertical="top" wrapText="1"/>
    </xf>
    <xf numFmtId="164"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9" applyAlignment="1" pivotButton="0" quotePrefix="0" xfId="0">
      <alignment horizontal="center" vertical="center" wrapText="1"/>
    </xf>
    <xf numFmtId="49" fontId="6" fillId="0" borderId="1" applyAlignment="1" pivotButton="0" quotePrefix="0" xfId="0">
      <alignment horizontal="center" vertical="top" wrapText="1"/>
    </xf>
    <xf numFmtId="49" fontId="6" fillId="0" borderId="9" applyAlignment="1" pivotButton="0" quotePrefix="0" xfId="0">
      <alignment horizontal="center" vertical="top" wrapText="1"/>
    </xf>
    <xf numFmtId="167" fontId="20" fillId="0" borderId="1" applyAlignment="1" pivotButton="0" quotePrefix="0" xfId="0">
      <alignment horizontal="right" vertical="center"/>
    </xf>
    <xf numFmtId="167" fontId="6" fillId="0" borderId="1" applyAlignment="1" pivotButton="0" quotePrefix="0" xfId="0">
      <alignment horizontal="center" vertical="center"/>
    </xf>
    <xf numFmtId="167" fontId="20" fillId="0" borderId="1" applyAlignment="1" pivotButton="0" quotePrefix="0" xfId="0">
      <alignment horizontal="center" vertical="center"/>
    </xf>
    <xf numFmtId="167" fontId="20" fillId="0" borderId="17" applyAlignment="1" pivotButton="0" quotePrefix="0" xfId="0">
      <alignment horizontal="center" vertical="center"/>
    </xf>
    <xf numFmtId="167" fontId="6" fillId="0" borderId="17" applyAlignment="1" pivotButton="0" quotePrefix="0" xfId="0">
      <alignment horizontal="right" vertical="center"/>
    </xf>
    <xf numFmtId="167" fontId="6" fillId="0" borderId="17" applyAlignment="1" pivotButton="0" quotePrefix="0" xfId="0">
      <alignment horizontal="center" vertical="center"/>
    </xf>
    <xf numFmtId="0" fontId="12" fillId="0" borderId="0" applyAlignment="1" pivotButton="0" quotePrefix="0" xfId="0">
      <alignment horizontal="left" vertical="center"/>
    </xf>
    <xf numFmtId="0" fontId="0" fillId="0" borderId="0" applyAlignment="1" pivotButton="0" quotePrefix="0" xfId="0">
      <alignment horizontal="center" vertical="center"/>
    </xf>
    <xf numFmtId="0" fontId="4" fillId="0" borderId="0" applyAlignment="1" pivotButton="0" quotePrefix="0" xfId="0">
      <alignment horizontal="left" vertical="center" wrapText="1"/>
    </xf>
    <xf numFmtId="0" fontId="16" fillId="0" borderId="0" applyAlignment="1" pivotButton="0" quotePrefix="0" xfId="0">
      <alignment horizontal="left" vertical="center"/>
    </xf>
    <xf numFmtId="0" fontId="17" fillId="0" borderId="0" applyAlignment="1" pivotButton="0" quotePrefix="0" xfId="0">
      <alignment horizontal="left" vertical="center" wrapText="1"/>
    </xf>
    <xf numFmtId="0" fontId="20" fillId="0" borderId="0" applyAlignment="1" pivotButton="0" quotePrefix="0" xfId="0">
      <alignment horizontal="left" vertical="center"/>
    </xf>
    <xf numFmtId="165" fontId="20" fillId="0" borderId="1" applyAlignment="1" pivotButton="0" quotePrefix="0" xfId="0">
      <alignment horizontal="right" vertical="center"/>
    </xf>
    <xf numFmtId="0" fontId="24" fillId="0" borderId="0" applyAlignment="1" pivotButton="0" quotePrefix="0" xfId="0">
      <alignment vertical="center"/>
    </xf>
    <xf numFmtId="0" fontId="15" fillId="0" borderId="0" applyAlignment="1" pivotButton="0" quotePrefix="0" xfId="0">
      <alignment vertical="center"/>
    </xf>
    <xf numFmtId="0" fontId="15" fillId="0" borderId="0" applyAlignment="1" pivotButton="0" quotePrefix="0" xfId="0">
      <alignment horizontal="center" vertical="center"/>
    </xf>
    <xf numFmtId="0" fontId="3" fillId="0" borderId="0" applyAlignment="1" pivotButton="0" quotePrefix="0" xfId="0">
      <alignment horizontal="left" vertical="center" wrapText="1"/>
    </xf>
    <xf numFmtId="0" fontId="7" fillId="0" borderId="14" applyAlignment="1" pivotButton="0" quotePrefix="0" xfId="0">
      <alignment horizontal="left" vertical="center" wrapText="1"/>
    </xf>
    <xf numFmtId="0" fontId="4" fillId="2" borderId="1" applyAlignment="1" pivotButton="0" quotePrefix="0" xfId="0">
      <alignment horizontal="center" vertical="center"/>
    </xf>
    <xf numFmtId="164" fontId="6" fillId="2" borderId="1" applyAlignment="1" pivotButton="0" quotePrefix="0" xfId="0">
      <alignment horizontal="center" vertical="center"/>
    </xf>
    <xf numFmtId="0" fontId="2" fillId="0" borderId="0" applyAlignment="1" pivotButton="0" quotePrefix="0" xfId="0">
      <alignment horizontal="center" vertical="center"/>
    </xf>
    <xf numFmtId="0" fontId="0" fillId="0" borderId="20" applyAlignment="1" pivotButton="0" quotePrefix="0" xfId="0">
      <alignment horizontal="center" vertical="center"/>
    </xf>
    <xf numFmtId="0" fontId="7" fillId="0" borderId="16" applyAlignment="1" pivotButton="0" quotePrefix="0" xfId="0">
      <alignment horizontal="left" vertical="center" wrapText="1"/>
    </xf>
    <xf numFmtId="0" fontId="19" fillId="0" borderId="20" applyAlignment="1" pivotButton="0" quotePrefix="0" xfId="0">
      <alignment horizontal="center" vertical="center" wrapText="1"/>
    </xf>
    <xf numFmtId="165" fontId="20" fillId="0" borderId="1" applyAlignment="1" pivotButton="0" quotePrefix="0" xfId="0">
      <alignment horizontal="center" vertical="center"/>
    </xf>
    <xf numFmtId="0" fontId="19" fillId="0" borderId="19" applyAlignment="1" pivotButton="0" quotePrefix="0" xfId="0">
      <alignment horizontal="left" vertical="center"/>
    </xf>
    <xf numFmtId="0" fontId="6" fillId="0" borderId="1" applyAlignment="1" pivotButton="0" quotePrefix="0" xfId="0">
      <alignment horizontal="center" vertical="center" wrapText="1"/>
    </xf>
    <xf numFmtId="0" fontId="7" fillId="0" borderId="27" applyAlignment="1" pivotButton="0" quotePrefix="0" xfId="0">
      <alignment horizontal="left" vertical="center" wrapText="1"/>
    </xf>
    <xf numFmtId="0" fontId="4" fillId="0" borderId="28" applyAlignment="1" pivotButton="0" quotePrefix="0" xfId="0">
      <alignment horizontal="center" vertical="center" wrapText="1"/>
    </xf>
    <xf numFmtId="0" fontId="6" fillId="0" borderId="28" applyAlignment="1" pivotButton="0" quotePrefix="0" xfId="0">
      <alignment horizontal="center" vertical="center" wrapText="1"/>
    </xf>
    <xf numFmtId="0" fontId="0" fillId="0" borderId="20" applyAlignment="1" pivotButton="0" quotePrefix="0" xfId="0">
      <alignment vertical="center"/>
    </xf>
    <xf numFmtId="0" fontId="4" fillId="0" borderId="12" applyAlignment="1" pivotButton="0" quotePrefix="0" xfId="0">
      <alignment horizontal="center" vertical="center"/>
    </xf>
    <xf numFmtId="167" fontId="6" fillId="0" borderId="13" applyAlignment="1" pivotButton="0" quotePrefix="0" xfId="0">
      <alignment horizontal="right" vertical="center"/>
    </xf>
    <xf numFmtId="165" fontId="6" fillId="0" borderId="15" applyAlignment="1" pivotButton="0" quotePrefix="0" xfId="0">
      <alignment horizontal="right" vertical="center"/>
    </xf>
    <xf numFmtId="169" fontId="6" fillId="0" borderId="15" applyAlignment="1" pivotButton="0" quotePrefix="0" xfId="0">
      <alignment horizontal="right" vertical="center"/>
    </xf>
    <xf numFmtId="167" fontId="6" fillId="0" borderId="15" applyAlignment="1" pivotButton="0" quotePrefix="0" xfId="0">
      <alignment horizontal="right" vertical="center"/>
    </xf>
    <xf numFmtId="164" fontId="6" fillId="0" borderId="15" applyAlignment="1" pivotButton="0" quotePrefix="0" xfId="0">
      <alignment horizontal="right" vertical="center"/>
    </xf>
    <xf numFmtId="168" fontId="6" fillId="0" borderId="15" applyAlignment="1" pivotButton="0" quotePrefix="0" xfId="0">
      <alignment horizontal="right" vertical="center"/>
    </xf>
    <xf numFmtId="166" fontId="6" fillId="0" borderId="15" applyAlignment="1" pivotButton="0" quotePrefix="0" xfId="0">
      <alignment horizontal="right" vertical="center"/>
    </xf>
    <xf numFmtId="167" fontId="6" fillId="0" borderId="18" applyAlignment="1" pivotButton="0" quotePrefix="0" xfId="0">
      <alignment horizontal="right" vertical="center"/>
    </xf>
    <xf numFmtId="0" fontId="13" fillId="2" borderId="11" applyAlignment="1" pivotButton="0" quotePrefix="0" xfId="0">
      <alignment horizontal="center" vertical="center" wrapText="1"/>
    </xf>
    <xf numFmtId="167" fontId="13" fillId="2" borderId="12" applyAlignment="1" pivotButton="0" quotePrefix="0" xfId="0">
      <alignment horizontal="center" vertical="center" wrapText="1"/>
    </xf>
    <xf numFmtId="167" fontId="13" fillId="2" borderId="13" applyAlignment="1" pivotButton="0" quotePrefix="0" xfId="0">
      <alignment horizontal="center" vertical="center" wrapText="1"/>
    </xf>
    <xf numFmtId="167" fontId="13" fillId="2" borderId="14" applyAlignment="1" pivotButton="0" quotePrefix="0" xfId="0">
      <alignment horizontal="right" vertical="center"/>
    </xf>
    <xf numFmtId="167" fontId="6" fillId="0" borderId="15" applyAlignment="1" pivotButton="0" quotePrefix="0" xfId="0">
      <alignment horizontal="center" vertical="center"/>
    </xf>
    <xf numFmtId="167" fontId="13" fillId="2" borderId="16" applyAlignment="1" pivotButton="0" quotePrefix="0" xfId="0">
      <alignment horizontal="right" vertical="center"/>
    </xf>
    <xf numFmtId="167" fontId="6" fillId="0" borderId="18" applyAlignment="1" pivotButton="0" quotePrefix="0" xfId="0">
      <alignment horizontal="center" vertical="center"/>
    </xf>
    <xf numFmtId="0" fontId="14" fillId="0" borderId="0" applyAlignment="1" pivotButton="0" quotePrefix="0" xfId="0">
      <alignment horizontal="left" vertical="center"/>
    </xf>
    <xf numFmtId="165" fontId="13" fillId="2" borderId="14" applyAlignment="1" pivotButton="0" quotePrefix="0" xfId="0">
      <alignment horizontal="right" vertical="center"/>
    </xf>
    <xf numFmtId="165" fontId="13" fillId="2" borderId="16" applyAlignment="1" pivotButton="0" quotePrefix="0" xfId="0">
      <alignment horizontal="right" vertical="center"/>
    </xf>
    <xf numFmtId="167"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7" fontId="6" fillId="0" borderId="28" applyAlignment="1" pivotButton="0" quotePrefix="0" xfId="0">
      <alignment horizontal="center" vertical="center" wrapText="1"/>
    </xf>
    <xf numFmtId="165" fontId="6" fillId="0" borderId="17" applyAlignment="1" pivotButton="0" quotePrefix="0" xfId="0">
      <alignment horizontal="center" vertical="center" wrapText="1"/>
    </xf>
    <xf numFmtId="167" fontId="8" fillId="0" borderId="26" applyAlignment="1" pivotButton="0" quotePrefix="0" xfId="0">
      <alignment horizontal="right" vertical="center"/>
    </xf>
    <xf numFmtId="0" fontId="4" fillId="0" borderId="0" applyAlignment="1" pivotButton="0" quotePrefix="0" xfId="0">
      <alignment horizontal="left" vertical="center"/>
    </xf>
    <xf numFmtId="0" fontId="0" fillId="0" borderId="30" applyAlignment="1" pivotButton="0" quotePrefix="0" xfId="0">
      <alignment vertical="center"/>
    </xf>
    <xf numFmtId="0" fontId="4" fillId="0" borderId="31" applyAlignment="1" pivotButton="0" quotePrefix="0" xfId="0">
      <alignment horizontal="left" vertical="center" wrapText="1"/>
    </xf>
    <xf numFmtId="167" fontId="7" fillId="0" borderId="1" applyAlignment="1" pivotButton="0" quotePrefix="0" xfId="0">
      <alignment horizontal="right" vertical="center"/>
    </xf>
    <xf numFmtId="166" fontId="20" fillId="0" borderId="30" applyAlignment="1" pivotButton="0" quotePrefix="0" xfId="0">
      <alignment horizontal="center" vertical="center"/>
    </xf>
    <xf numFmtId="166" fontId="20" fillId="0" borderId="1" applyAlignment="1" pivotButton="0" quotePrefix="0" xfId="0">
      <alignment horizontal="right" vertical="center"/>
    </xf>
    <xf numFmtId="167" fontId="19" fillId="0" borderId="1" applyAlignment="1" pivotButton="0" quotePrefix="0" xfId="0">
      <alignment horizontal="right" vertical="center"/>
    </xf>
    <xf numFmtId="167" fontId="20" fillId="0" borderId="12" applyAlignment="1" pivotButton="0" quotePrefix="0" xfId="0">
      <alignment horizontal="right" vertical="center"/>
    </xf>
    <xf numFmtId="165" fontId="7" fillId="0" borderId="17" applyAlignment="1" pivotButton="0" quotePrefix="0" xfId="0">
      <alignment horizontal="right" vertical="center"/>
    </xf>
    <xf numFmtId="0" fontId="19" fillId="0" borderId="0" applyAlignment="1" pivotButton="0" quotePrefix="0" xfId="0">
      <alignment horizontal="left" vertical="center"/>
    </xf>
    <xf numFmtId="0" fontId="5" fillId="3" borderId="13" applyAlignment="1" pivotButton="0" quotePrefix="0" xfId="0">
      <alignment horizontal="center" vertical="center" wrapText="1"/>
    </xf>
    <xf numFmtId="0" fontId="4" fillId="0" borderId="15" applyAlignment="1" pivotButton="0" quotePrefix="0" xfId="0">
      <alignment horizontal="center" vertical="center" wrapText="1"/>
    </xf>
    <xf numFmtId="0" fontId="4" fillId="0" borderId="18" applyAlignment="1" pivotButton="0" quotePrefix="0" xfId="0">
      <alignment horizontal="center" vertical="center" wrapText="1"/>
    </xf>
    <xf numFmtId="0" fontId="5" fillId="3" borderId="11" applyAlignment="1" pivotButton="0" quotePrefix="0" xfId="0">
      <alignment horizontal="center" vertical="center" wrapText="1"/>
    </xf>
    <xf numFmtId="0" fontId="0" fillId="0" borderId="19" applyAlignment="1" pivotButton="0" quotePrefix="0" xfId="0">
      <alignment vertical="center"/>
    </xf>
    <xf numFmtId="0" fontId="19" fillId="0" borderId="20" applyAlignment="1" pivotButton="0" quotePrefix="0" xfId="0">
      <alignment horizontal="left" vertical="center"/>
    </xf>
    <xf numFmtId="0" fontId="7" fillId="0" borderId="4" applyAlignment="1" pivotButton="0" quotePrefix="0" xfId="0">
      <alignment horizontal="left" vertical="center"/>
    </xf>
    <xf numFmtId="0" fontId="7" fillId="0" borderId="8" applyAlignment="1" pivotButton="0" quotePrefix="0" xfId="0">
      <alignment horizontal="left" vertical="center"/>
    </xf>
    <xf numFmtId="0" fontId="6" fillId="0" borderId="9" applyAlignment="1" pivotButton="0" quotePrefix="0" xfId="0">
      <alignment horizontal="center" vertical="center" wrapText="1"/>
    </xf>
    <xf numFmtId="0" fontId="17" fillId="0" borderId="0" applyAlignment="1" pivotButton="0" quotePrefix="0" xfId="0">
      <alignment horizontal="left" vertical="center"/>
    </xf>
    <xf numFmtId="0" fontId="11" fillId="0" borderId="0" applyAlignment="1" pivotButton="0" quotePrefix="0" xfId="0">
      <alignment horizontal="left" vertical="center" wrapText="1"/>
    </xf>
    <xf numFmtId="0" fontId="17" fillId="0" borderId="0" applyAlignment="1" pivotButton="0" quotePrefix="0" xfId="0">
      <alignment horizontal="left" vertical="top"/>
    </xf>
    <xf numFmtId="0" fontId="0" fillId="0" borderId="0" applyAlignment="1" pivotButton="0" quotePrefix="0" xfId="0">
      <alignment vertical="center" wrapText="1"/>
    </xf>
    <xf numFmtId="0" fontId="2" fillId="0" borderId="0" applyAlignment="1" pivotButton="0" quotePrefix="0" xfId="0">
      <alignment vertical="center" wrapText="1"/>
    </xf>
    <xf numFmtId="0" fontId="26" fillId="0" borderId="0" applyAlignment="1" pivotButton="0" quotePrefix="0" xfId="0">
      <alignment vertical="center" wrapText="1"/>
    </xf>
    <xf numFmtId="0" fontId="26" fillId="0" borderId="0" applyAlignment="1" pivotButton="0" quotePrefix="0" xfId="0">
      <alignment vertical="center"/>
    </xf>
    <xf numFmtId="0" fontId="2" fillId="0" borderId="36" applyAlignment="1" pivotButton="0" quotePrefix="0" xfId="0">
      <alignment vertical="center" wrapText="1"/>
    </xf>
    <xf numFmtId="0" fontId="0" fillId="0" borderId="32" applyAlignment="1" pivotButton="0" quotePrefix="0" xfId="0">
      <alignment vertical="center" wrapText="1"/>
    </xf>
    <xf numFmtId="0" fontId="0" fillId="0" borderId="32" applyAlignment="1" pivotButton="0" quotePrefix="0" xfId="0">
      <alignment horizontal="left" vertical="center" wrapText="1"/>
    </xf>
    <xf numFmtId="0" fontId="0" fillId="0" borderId="35" applyAlignment="1" pivotButton="0" quotePrefix="0" xfId="0">
      <alignment vertical="center"/>
    </xf>
    <xf numFmtId="0" fontId="2" fillId="0" borderId="37" applyAlignment="1" pivotButton="0" quotePrefix="0" xfId="0">
      <alignment vertical="center" wrapText="1"/>
    </xf>
    <xf numFmtId="0" fontId="0" fillId="0" borderId="39" applyAlignment="1" pivotButton="0" quotePrefix="0" xfId="0">
      <alignment vertical="center"/>
    </xf>
    <xf numFmtId="0" fontId="2" fillId="0" borderId="40" applyAlignment="1" pivotButton="0" quotePrefix="0" xfId="0">
      <alignment vertical="center" wrapText="1"/>
    </xf>
    <xf numFmtId="170" fontId="33" fillId="0" borderId="40" applyAlignment="1" pivotButton="0" quotePrefix="0" xfId="0">
      <alignment horizontal="left" vertical="center" wrapText="1"/>
    </xf>
    <xf numFmtId="0" fontId="33" fillId="0" borderId="36" applyAlignment="1" pivotButton="0" quotePrefix="0" xfId="0">
      <alignment horizontal="left"/>
    </xf>
    <xf numFmtId="0" fontId="33" fillId="0" borderId="36" applyAlignment="1" pivotButton="0" quotePrefix="0" xfId="0">
      <alignment horizontal="left" vertical="center" wrapText="1"/>
    </xf>
    <xf numFmtId="15" fontId="33" fillId="0" borderId="38" applyAlignment="1" pivotButton="0" quotePrefix="0" xfId="0">
      <alignment horizontal="left" vertical="center" wrapText="1"/>
    </xf>
    <xf numFmtId="0" fontId="2" fillId="0" borderId="43" applyAlignment="1" pivotButton="0" quotePrefix="0" xfId="0">
      <alignment vertical="center" wrapText="1"/>
    </xf>
    <xf numFmtId="0" fontId="2" fillId="0" borderId="44" applyAlignment="1" pivotButton="0" quotePrefix="0" xfId="0">
      <alignment vertical="center" wrapText="1"/>
    </xf>
    <xf numFmtId="0" fontId="2" fillId="0" borderId="46" applyAlignment="1" pivotButton="0" quotePrefix="0" xfId="0">
      <alignment vertical="center" wrapText="1"/>
    </xf>
    <xf numFmtId="0" fontId="2" fillId="0" borderId="47" applyAlignment="1" pivotButton="0" quotePrefix="0" xfId="0">
      <alignment vertical="center" wrapText="1"/>
    </xf>
    <xf numFmtId="0" fontId="2" fillId="0" borderId="48" applyAlignment="1" pivotButton="0" quotePrefix="0" xfId="0">
      <alignment vertical="center" wrapText="1"/>
    </xf>
    <xf numFmtId="0" fontId="2" fillId="0" borderId="49" applyAlignment="1" pivotButton="0" quotePrefix="0" xfId="0">
      <alignment vertical="center" wrapText="1"/>
    </xf>
    <xf numFmtId="0" fontId="6" fillId="0" borderId="32" applyAlignment="1" pivotButton="0" quotePrefix="0" xfId="0">
      <alignment horizontal="center" vertical="top" wrapText="1"/>
    </xf>
    <xf numFmtId="0" fontId="0" fillId="0" borderId="32" applyAlignment="1" pivotButton="0" quotePrefix="0" xfId="0">
      <alignment horizontal="center" vertical="center" wrapText="1"/>
    </xf>
    <xf numFmtId="0" fontId="0" fillId="0" borderId="0" applyAlignment="1" pivotButton="0" quotePrefix="0" xfId="0">
      <alignment horizontal="left" wrapText="1"/>
    </xf>
    <xf numFmtId="0" fontId="0" fillId="0" borderId="0" applyAlignment="1" pivotButton="0" quotePrefix="0" xfId="0">
      <alignment horizontal="left"/>
    </xf>
    <xf numFmtId="0" fontId="34" fillId="0" borderId="0" applyAlignment="1" pivotButton="0" quotePrefix="0" xfId="0">
      <alignment vertical="top" wrapText="1"/>
    </xf>
    <xf numFmtId="0" fontId="29" fillId="0" borderId="0" applyAlignment="1" pivotButton="0" quotePrefix="0" xfId="0">
      <alignment wrapText="1"/>
    </xf>
    <xf numFmtId="0" fontId="29" fillId="0" borderId="0" pivotButton="0" quotePrefix="0" xfId="0"/>
    <xf numFmtId="0" fontId="0" fillId="0" borderId="42" applyAlignment="1" pivotButton="0" quotePrefix="0" xfId="0">
      <alignment vertical="center" wrapText="1"/>
    </xf>
    <xf numFmtId="0" fontId="0" fillId="0" borderId="39" applyAlignment="1" pivotButton="0" quotePrefix="0" xfId="0">
      <alignment vertical="center" wrapText="1"/>
    </xf>
    <xf numFmtId="0" fontId="0" fillId="0" borderId="35" applyAlignment="1" pivotButton="0" quotePrefix="0" xfId="0">
      <alignment vertical="center" wrapText="1"/>
    </xf>
    <xf numFmtId="0" fontId="0" fillId="0" borderId="37" applyAlignment="1" pivotButton="0" quotePrefix="0" xfId="0">
      <alignment vertical="center" wrapText="1"/>
    </xf>
    <xf numFmtId="0" fontId="29" fillId="0" borderId="0" applyAlignment="1" pivotButton="0" quotePrefix="0" xfId="0">
      <alignment vertical="center"/>
    </xf>
    <xf numFmtId="0" fontId="31" fillId="0" borderId="0" applyAlignment="1" pivotButton="0" quotePrefix="0" xfId="0">
      <alignment vertical="center"/>
    </xf>
    <xf numFmtId="0" fontId="0" fillId="0" borderId="0" applyAlignment="1" pivotButton="0" quotePrefix="0" xfId="0">
      <alignment horizontal="left" vertical="center" wrapText="1"/>
    </xf>
    <xf numFmtId="0" fontId="0" fillId="0" borderId="36" applyAlignment="1" pivotButton="0" quotePrefix="0" xfId="0">
      <alignment horizontal="center" vertical="center" wrapText="1"/>
    </xf>
    <xf numFmtId="0" fontId="0" fillId="0" borderId="53" applyAlignment="1" pivotButton="0" quotePrefix="0" xfId="0">
      <alignment vertical="center" wrapText="1"/>
    </xf>
    <xf numFmtId="0" fontId="0" fillId="0" borderId="38" applyAlignment="1" pivotButton="0" quotePrefix="0" xfId="0">
      <alignment horizontal="center" vertical="center" wrapText="1"/>
    </xf>
    <xf numFmtId="0" fontId="0" fillId="0" borderId="40" applyAlignment="1" pivotButton="0" quotePrefix="0" xfId="0">
      <alignment horizontal="center" vertical="center" wrapText="1"/>
    </xf>
    <xf numFmtId="0" fontId="35" fillId="0" borderId="36" applyAlignment="1" pivotButton="0" quotePrefix="0" xfId="0">
      <alignment horizontal="left" vertical="center" wrapText="1"/>
    </xf>
    <xf numFmtId="0" fontId="35" fillId="0" borderId="38" applyAlignment="1" pivotButton="0" quotePrefix="0" xfId="0">
      <alignment horizontal="left" vertical="center" wrapText="1"/>
    </xf>
    <xf numFmtId="0" fontId="0" fillId="0" borderId="45" applyAlignment="1" pivotButton="0" quotePrefix="0" xfId="0">
      <alignment vertical="center"/>
    </xf>
    <xf numFmtId="0" fontId="0" fillId="0" borderId="54" applyAlignment="1" pivotButton="0" quotePrefix="0" xfId="0">
      <alignment vertical="center"/>
    </xf>
    <xf numFmtId="0" fontId="0" fillId="0" borderId="46" applyAlignment="1" pivotButton="0" quotePrefix="0" xfId="0">
      <alignment vertical="center"/>
    </xf>
    <xf numFmtId="0" fontId="0" fillId="0" borderId="47" applyAlignment="1" pivotButton="0" quotePrefix="0" xfId="0">
      <alignment vertical="center"/>
    </xf>
    <xf numFmtId="0" fontId="36" fillId="0" borderId="40" applyAlignment="1" pivotButton="0" quotePrefix="0" xfId="2">
      <alignment horizontal="left" vertical="center" wrapText="1"/>
    </xf>
    <xf numFmtId="170" fontId="35" fillId="0" borderId="36" applyAlignment="1" pivotButton="0" quotePrefix="0" xfId="0">
      <alignment horizontal="left" vertical="center" wrapText="1"/>
    </xf>
    <xf numFmtId="0" fontId="21" fillId="0" borderId="0" applyAlignment="1" pivotButton="0" quotePrefix="0" xfId="0">
      <alignment horizontal="left" vertical="center"/>
    </xf>
    <xf numFmtId="0" fontId="0" fillId="0" borderId="36" applyAlignment="1" pivotButton="0" quotePrefix="0" xfId="0">
      <alignment vertical="center" wrapText="1"/>
    </xf>
    <xf numFmtId="0" fontId="0" fillId="0" borderId="38" applyAlignment="1" pivotButton="0" quotePrefix="0" xfId="0">
      <alignment vertical="center" wrapText="1"/>
    </xf>
    <xf numFmtId="0" fontId="37" fillId="0" borderId="40" applyAlignment="1" pivotButton="0" quotePrefix="0" xfId="0">
      <alignment vertical="center" wrapText="1"/>
    </xf>
    <xf numFmtId="0" fontId="37" fillId="0" borderId="36" applyAlignment="1" pivotButton="0" quotePrefix="0" xfId="0">
      <alignment vertical="center" wrapText="1"/>
    </xf>
    <xf numFmtId="0" fontId="37" fillId="0" borderId="38" applyAlignment="1" pivotButton="0" quotePrefix="0" xfId="0">
      <alignment vertical="center" wrapText="1"/>
    </xf>
    <xf numFmtId="0" fontId="2" fillId="0" borderId="0" applyAlignment="1" pivotButton="0" quotePrefix="0" xfId="0">
      <alignment horizontal="left" indent="2"/>
    </xf>
    <xf numFmtId="0" fontId="16" fillId="0" borderId="35" applyAlignment="1" pivotButton="0" quotePrefix="0" xfId="0">
      <alignment horizontal="left" vertical="top"/>
    </xf>
    <xf numFmtId="0" fontId="16" fillId="0" borderId="37" applyAlignment="1" pivotButton="0" quotePrefix="0" xfId="0">
      <alignment horizontal="left" vertical="top"/>
    </xf>
    <xf numFmtId="0" fontId="16" fillId="0" borderId="39" applyAlignment="1" pivotButton="0" quotePrefix="0" xfId="0">
      <alignment horizontal="left" vertical="top"/>
    </xf>
    <xf numFmtId="0" fontId="40" fillId="0" borderId="40" applyAlignment="1" pivotButton="0" quotePrefix="0" xfId="0">
      <alignment horizontal="left" vertical="top"/>
    </xf>
    <xf numFmtId="170" fontId="40" fillId="0" borderId="36" applyAlignment="1" pivotButton="0" quotePrefix="0" xfId="0">
      <alignment horizontal="left" vertical="top"/>
    </xf>
    <xf numFmtId="0" fontId="40" fillId="0" borderId="36" applyAlignment="1" pivotButton="0" quotePrefix="0" xfId="0">
      <alignment horizontal="left" vertical="top"/>
    </xf>
    <xf numFmtId="14" fontId="40" fillId="0" borderId="36" applyAlignment="1" pivotButton="0" quotePrefix="0" xfId="0">
      <alignment horizontal="left" vertical="top"/>
    </xf>
    <xf numFmtId="0" fontId="40" fillId="0" borderId="38" applyAlignment="1" pivotButton="0" quotePrefix="0" xfId="0">
      <alignment horizontal="left" vertical="top"/>
    </xf>
    <xf numFmtId="0" fontId="0" fillId="0" borderId="0" applyAlignment="1" pivotButton="0" quotePrefix="0" xfId="0">
      <alignment horizontal="center" vertical="center" wrapText="1"/>
    </xf>
    <xf numFmtId="0" fontId="39" fillId="0" borderId="40" applyAlignment="1" pivotButton="0" quotePrefix="0" xfId="0">
      <alignment horizontal="center" vertical="top"/>
    </xf>
    <xf numFmtId="170" fontId="39" fillId="0" borderId="36" applyAlignment="1" pivotButton="0" quotePrefix="0" xfId="0">
      <alignment horizontal="center" vertical="top"/>
    </xf>
    <xf numFmtId="0" fontId="39" fillId="0" borderId="36" applyAlignment="1" pivotButton="0" quotePrefix="0" xfId="0">
      <alignment horizontal="center" vertical="top"/>
    </xf>
    <xf numFmtId="1" fontId="39" fillId="0" borderId="36" applyAlignment="1" pivotButton="0" quotePrefix="0" xfId="0">
      <alignment horizontal="center" vertical="top"/>
    </xf>
    <xf numFmtId="0" fontId="39" fillId="0" borderId="38" applyAlignment="1" pivotButton="0" quotePrefix="0" xfId="0">
      <alignment horizontal="center" vertical="top"/>
    </xf>
    <xf numFmtId="0" fontId="26" fillId="0" borderId="39" applyAlignment="1" pivotButton="0" quotePrefix="0" xfId="0">
      <alignment vertical="center" wrapText="1"/>
    </xf>
    <xf numFmtId="0" fontId="26" fillId="0" borderId="35" applyAlignment="1" pivotButton="0" quotePrefix="0" xfId="0">
      <alignment vertical="center" wrapText="1"/>
    </xf>
    <xf numFmtId="0" fontId="26" fillId="0" borderId="37" applyAlignment="1" pivotButton="0" quotePrefix="0" xfId="0">
      <alignment vertical="center" wrapText="1"/>
    </xf>
    <xf numFmtId="0" fontId="41" fillId="3" borderId="56" applyAlignment="1" pivotButton="0" quotePrefix="0" xfId="0">
      <alignment horizontal="left" wrapText="1"/>
    </xf>
    <xf numFmtId="0" fontId="41" fillId="3" borderId="56" applyAlignment="1" pivotButton="0" quotePrefix="0" xfId="0">
      <alignment horizontal="center" wrapText="1"/>
    </xf>
    <xf numFmtId="0" fontId="0" fillId="0" borderId="0" applyAlignment="1" pivotButton="0" quotePrefix="0" xfId="0">
      <alignment horizontal="center"/>
    </xf>
    <xf numFmtId="0" fontId="11" fillId="0" borderId="0" applyAlignment="1" pivotButton="0" quotePrefix="0" xfId="0">
      <alignment horizontal="left" vertical="top"/>
    </xf>
    <xf numFmtId="0" fontId="7" fillId="0" borderId="33" applyAlignment="1" pivotButton="0" quotePrefix="0" xfId="0">
      <alignment horizontal="left" vertical="top"/>
    </xf>
    <xf numFmtId="0" fontId="6" fillId="0" borderId="37" applyAlignment="1" pivotButton="0" quotePrefix="0" xfId="0">
      <alignment horizontal="left" vertical="top"/>
    </xf>
    <xf numFmtId="167" fontId="7" fillId="0" borderId="38" applyAlignment="1" pivotButton="0" quotePrefix="0" xfId="0">
      <alignment horizontal="center" vertical="top" wrapText="1"/>
    </xf>
    <xf numFmtId="0" fontId="44" fillId="2" borderId="34" applyAlignment="1" pivotButton="0" quotePrefix="0" xfId="0">
      <alignment horizontal="center" vertical="top" wrapText="1"/>
    </xf>
    <xf numFmtId="0" fontId="26" fillId="0" borderId="0" applyAlignment="1" pivotButton="0" quotePrefix="0" xfId="0">
      <alignment horizontal="left" vertical="center" wrapText="1" indent="1"/>
    </xf>
    <xf numFmtId="0" fontId="38" fillId="0" borderId="0" applyAlignment="1" pivotButton="0" quotePrefix="0" xfId="0">
      <alignment horizontal="left" vertical="center" indent="7"/>
    </xf>
    <xf numFmtId="0" fontId="10" fillId="0" borderId="1" applyAlignment="1" pivotButton="0" quotePrefix="0" xfId="0">
      <alignment horizontal="center" vertical="center" wrapText="1"/>
    </xf>
    <xf numFmtId="0" fontId="10" fillId="0" borderId="9" applyAlignment="1" pivotButton="0" quotePrefix="0" xfId="0">
      <alignment horizontal="center" vertical="center" wrapText="1"/>
    </xf>
    <xf numFmtId="0" fontId="12" fillId="0" borderId="0" applyAlignment="1" pivotButton="0" quotePrefix="0" xfId="0">
      <alignment horizontal="center" vertical="center"/>
    </xf>
    <xf numFmtId="0" fontId="0" fillId="0" borderId="32" pivotButton="0" quotePrefix="0" xfId="0"/>
    <xf numFmtId="0" fontId="0" fillId="0" borderId="0" applyAlignment="1" pivotButton="0" quotePrefix="0" xfId="0">
      <alignment horizontal="right" vertical="center" wrapText="1"/>
    </xf>
    <xf numFmtId="0" fontId="0" fillId="0" borderId="32" applyAlignment="1" pivotButton="0" quotePrefix="0" xfId="0">
      <alignment horizontal="right" vertical="center" wrapText="1"/>
    </xf>
    <xf numFmtId="0" fontId="26" fillId="0" borderId="32" applyAlignment="1" pivotButton="0" quotePrefix="0" xfId="0">
      <alignment vertical="center" wrapText="1"/>
    </xf>
    <xf numFmtId="0" fontId="0" fillId="0" borderId="35" applyAlignment="1" pivotButton="0" quotePrefix="0" xfId="0">
      <alignment horizontal="left" vertical="center" wrapText="1"/>
    </xf>
    <xf numFmtId="0" fontId="0" fillId="0" borderId="37" applyAlignment="1" pivotButton="0" quotePrefix="0" xfId="0">
      <alignment horizontal="left" vertical="center" wrapText="1"/>
    </xf>
    <xf numFmtId="0" fontId="0" fillId="0" borderId="53" applyAlignment="1" pivotButton="0" quotePrefix="0" xfId="0">
      <alignment horizontal="left" vertical="center" wrapText="1"/>
    </xf>
    <xf numFmtId="0" fontId="5" fillId="0" borderId="0" applyAlignment="1" pivotButton="0" quotePrefix="0" xfId="0">
      <alignment horizontal="center" vertical="center" wrapText="1"/>
    </xf>
    <xf numFmtId="0" fontId="5" fillId="3" borderId="32" applyAlignment="1" pivotButton="0" quotePrefix="0" xfId="0">
      <alignment horizontal="center" vertical="center" wrapText="1"/>
    </xf>
    <xf numFmtId="0" fontId="0" fillId="0" borderId="53" applyAlignment="1" pivotButton="0" quotePrefix="0" xfId="0">
      <alignment horizontal="right" vertical="center" wrapText="1"/>
    </xf>
    <xf numFmtId="0" fontId="0" fillId="0" borderId="42" applyAlignment="1" pivotButton="0" quotePrefix="0" xfId="0">
      <alignment horizontal="right" vertical="center" wrapText="1"/>
    </xf>
    <xf numFmtId="0" fontId="0" fillId="0" borderId="40" applyAlignment="1" pivotButton="0" quotePrefix="0" xfId="0">
      <alignment vertical="center" wrapText="1"/>
    </xf>
    <xf numFmtId="0" fontId="5" fillId="3" borderId="50" applyAlignment="1" pivotButton="0" quotePrefix="0" xfId="0">
      <alignment horizontal="left" vertical="center" wrapText="1"/>
    </xf>
    <xf numFmtId="0" fontId="5" fillId="3" borderId="79" applyAlignment="1" pivotButton="0" quotePrefix="0" xfId="0">
      <alignment horizontal="left" vertical="center" wrapText="1"/>
    </xf>
    <xf numFmtId="0" fontId="5" fillId="3" borderId="51" applyAlignment="1" pivotButton="0" quotePrefix="0" xfId="0">
      <alignment horizontal="left" vertical="center" wrapText="1"/>
    </xf>
    <xf numFmtId="0" fontId="5" fillId="3" borderId="32" applyAlignment="1" pivotButton="0" quotePrefix="0" xfId="0">
      <alignment horizontal="left" vertical="center" wrapText="1"/>
    </xf>
    <xf numFmtId="0" fontId="5" fillId="3" borderId="33" applyAlignment="1" pivotButton="0" quotePrefix="0" xfId="0">
      <alignment horizontal="left" vertical="center" wrapText="1"/>
    </xf>
    <xf numFmtId="0" fontId="5" fillId="3" borderId="34" applyAlignment="1" pivotButton="0" quotePrefix="0" xfId="0">
      <alignment horizontal="left" vertical="center" wrapText="1"/>
    </xf>
    <xf numFmtId="0" fontId="0" fillId="0" borderId="53" applyAlignment="1" pivotButton="0" quotePrefix="0" xfId="0">
      <alignment horizontal="center" vertical="center" wrapText="1"/>
    </xf>
    <xf numFmtId="0" fontId="0" fillId="0" borderId="42" applyAlignment="1" pivotButton="0" quotePrefix="0" xfId="0">
      <alignment horizontal="center" vertical="center" wrapText="1"/>
    </xf>
    <xf numFmtId="10" fontId="0" fillId="0" borderId="53" applyAlignment="1" pivotButton="0" quotePrefix="0" xfId="1">
      <alignment horizontal="center" vertical="center" wrapText="1"/>
    </xf>
    <xf numFmtId="169" fontId="0" fillId="0" borderId="42" applyAlignment="1" pivotButton="0" quotePrefix="0" xfId="0">
      <alignment horizontal="center" vertical="center" wrapText="1"/>
    </xf>
    <xf numFmtId="10" fontId="0" fillId="0" borderId="32" applyAlignment="1" pivotButton="0" quotePrefix="0" xfId="1">
      <alignment horizontal="center" vertical="center" wrapText="1"/>
    </xf>
    <xf numFmtId="0" fontId="41" fillId="3" borderId="50" applyAlignment="1" pivotButton="0" quotePrefix="0" xfId="0">
      <alignment horizontal="left" vertical="center" wrapText="1"/>
    </xf>
    <xf numFmtId="0" fontId="41" fillId="3" borderId="79" applyAlignment="1" pivotButton="0" quotePrefix="0" xfId="0">
      <alignment horizontal="center" vertical="center" wrapText="1"/>
    </xf>
    <xf numFmtId="0" fontId="41" fillId="3" borderId="51" applyAlignment="1" pivotButton="0" quotePrefix="0" xfId="0">
      <alignment horizontal="center" vertical="center" wrapText="1"/>
    </xf>
    <xf numFmtId="0" fontId="41" fillId="3" borderId="75" applyAlignment="1" pivotButton="0" quotePrefix="0" xfId="0">
      <alignment horizontal="left" vertical="center" wrapText="1"/>
    </xf>
    <xf numFmtId="0" fontId="41" fillId="3" borderId="76" applyAlignment="1" pivotButton="0" quotePrefix="0" xfId="0">
      <alignment horizontal="left" vertical="center" wrapText="1"/>
    </xf>
    <xf numFmtId="0" fontId="41" fillId="3" borderId="77" applyAlignment="1" pivotButton="0" quotePrefix="0" xfId="0">
      <alignment horizontal="center" vertical="center" wrapText="1"/>
    </xf>
    <xf numFmtId="0" fontId="41" fillId="3" borderId="76" applyAlignment="1" pivotButton="0" quotePrefix="0" xfId="0">
      <alignment horizontal="center" vertical="center" wrapText="1"/>
    </xf>
    <xf numFmtId="0" fontId="41" fillId="3" borderId="78" applyAlignment="1" pivotButton="0" quotePrefix="0" xfId="0">
      <alignment horizontal="center" vertical="center" wrapText="1"/>
    </xf>
    <xf numFmtId="0" fontId="41" fillId="3" borderId="79" applyAlignment="1" pivotButton="0" quotePrefix="0" xfId="0">
      <alignment horizontal="left" vertical="center" wrapText="1"/>
    </xf>
    <xf numFmtId="0" fontId="41" fillId="3" borderId="51" applyAlignment="1" pivotButton="0" quotePrefix="0" xfId="0">
      <alignment horizontal="left" vertical="center" wrapText="1"/>
    </xf>
    <xf numFmtId="0" fontId="41" fillId="3" borderId="32" applyAlignment="1" pivotButton="0" quotePrefix="0" xfId="0">
      <alignment horizontal="left" vertical="center" wrapText="1"/>
    </xf>
    <xf numFmtId="9" fontId="0" fillId="0" borderId="32" applyAlignment="1" pivotButton="0" quotePrefix="0" xfId="0">
      <alignment horizontal="right" vertical="center" wrapText="1"/>
    </xf>
    <xf numFmtId="9" fontId="0" fillId="0" borderId="32" applyAlignment="1" pivotButton="0" quotePrefix="0" xfId="0">
      <alignment horizontal="center" vertical="center" wrapText="1"/>
    </xf>
    <xf numFmtId="0" fontId="41" fillId="3" borderId="32" applyAlignment="1" pivotButton="0" quotePrefix="0" xfId="0">
      <alignment horizontal="center" vertical="center" wrapText="1"/>
    </xf>
    <xf numFmtId="0" fontId="17" fillId="0" borderId="40" applyAlignment="1" pivotButton="0" quotePrefix="0" xfId="0">
      <alignment horizontal="center" vertical="top" wrapText="1"/>
    </xf>
    <xf numFmtId="0" fontId="17" fillId="0" borderId="36" applyAlignment="1" pivotButton="0" quotePrefix="0" xfId="0">
      <alignment horizontal="center" vertical="top" wrapText="1"/>
    </xf>
    <xf numFmtId="9" fontId="26" fillId="0" borderId="32" applyAlignment="1" pivotButton="0" quotePrefix="0" xfId="0">
      <alignment horizontal="right" vertical="center" wrapText="1"/>
    </xf>
    <xf numFmtId="0" fontId="17" fillId="0" borderId="0" applyAlignment="1" pivotButton="0" quotePrefix="0" xfId="0">
      <alignment horizontal="center" vertical="top" wrapText="1"/>
    </xf>
    <xf numFmtId="0" fontId="15" fillId="0" borderId="0" applyAlignment="1" pivotButton="0" quotePrefix="0" xfId="0">
      <alignment horizontal="center"/>
    </xf>
    <xf numFmtId="0" fontId="5" fillId="0" borderId="0" applyAlignment="1" pivotButton="0" quotePrefix="0" xfId="0">
      <alignment horizontal="left" vertical="center" wrapText="1"/>
    </xf>
    <xf numFmtId="0" fontId="5" fillId="3" borderId="74" applyAlignment="1" pivotButton="0" quotePrefix="0" xfId="0">
      <alignment horizontal="left" vertical="center" wrapText="1"/>
    </xf>
    <xf numFmtId="49" fontId="6" fillId="0" borderId="32" applyAlignment="1" pivotButton="0" quotePrefix="0" xfId="0">
      <alignment horizontal="left" vertical="top" wrapText="1"/>
    </xf>
    <xf numFmtId="9" fontId="0" fillId="0" borderId="36" applyAlignment="1" pivotButton="0" quotePrefix="0" xfId="0">
      <alignment horizontal="right" vertical="center" wrapText="1"/>
    </xf>
    <xf numFmtId="9" fontId="0" fillId="0" borderId="38" applyAlignment="1" pivotButton="0" quotePrefix="0" xfId="0">
      <alignment horizontal="right" vertical="center" wrapText="1"/>
    </xf>
    <xf numFmtId="0" fontId="5" fillId="3" borderId="57" applyAlignment="1" pivotButton="0" quotePrefix="0" xfId="0">
      <alignment horizontal="left" vertical="center" wrapText="1"/>
    </xf>
    <xf numFmtId="0" fontId="21" fillId="0" borderId="0" applyAlignment="1" pivotButton="0" quotePrefix="0" xfId="0">
      <alignment vertical="center"/>
    </xf>
    <xf numFmtId="0" fontId="5" fillId="3" borderId="51" applyAlignment="1" pivotButton="0" quotePrefix="0" xfId="0">
      <alignment horizontal="left" wrapText="1"/>
    </xf>
    <xf numFmtId="0" fontId="17" fillId="0" borderId="0" applyAlignment="1" pivotButton="0" quotePrefix="0" xfId="0">
      <alignment horizontal="center" vertical="center" wrapText="1"/>
    </xf>
    <xf numFmtId="0" fontId="5" fillId="3" borderId="92" applyAlignment="1" pivotButton="0" quotePrefix="0" xfId="0">
      <alignment horizontal="left" vertical="center" wrapText="1"/>
    </xf>
    <xf numFmtId="0" fontId="5" fillId="3" borderId="93" applyAlignment="1" pivotButton="0" quotePrefix="0" xfId="0">
      <alignment horizontal="left" vertical="center" wrapText="1"/>
    </xf>
    <xf numFmtId="0" fontId="5" fillId="3" borderId="94" applyAlignment="1" pivotButton="0" quotePrefix="0" xfId="0">
      <alignment horizontal="left" vertical="center" wrapText="1"/>
    </xf>
    <xf numFmtId="0" fontId="5" fillId="3" borderId="99" applyAlignment="1" pivotButton="0" quotePrefix="0" xfId="0">
      <alignment horizontal="left" wrapText="1"/>
    </xf>
    <xf numFmtId="0" fontId="5" fillId="3" borderId="50" applyAlignment="1" pivotButton="0" quotePrefix="0" xfId="0">
      <alignment horizontal="center" wrapText="1"/>
    </xf>
    <xf numFmtId="0" fontId="20" fillId="3" borderId="79" applyAlignment="1" pivotButton="0" quotePrefix="0" xfId="0">
      <alignment wrapText="1"/>
    </xf>
    <xf numFmtId="0" fontId="5" fillId="3" borderId="79" applyAlignment="1" pivotButton="0" quotePrefix="0" xfId="0">
      <alignment horizontal="center" wrapText="1"/>
    </xf>
    <xf numFmtId="0" fontId="6" fillId="0" borderId="35" applyAlignment="1" pivotButton="0" quotePrefix="0" xfId="0">
      <alignment horizontal="center" vertical="top" wrapText="1"/>
    </xf>
    <xf numFmtId="0" fontId="0" fillId="0" borderId="36" applyAlignment="1" pivotButton="0" quotePrefix="0" xfId="0">
      <alignment horizontal="left"/>
    </xf>
    <xf numFmtId="0" fontId="0" fillId="0" borderId="35" applyAlignment="1" pivotButton="0" quotePrefix="0" xfId="0">
      <alignment horizontal="center" vertical="center" wrapText="1"/>
    </xf>
    <xf numFmtId="0" fontId="0" fillId="0" borderId="36" applyAlignment="1" pivotButton="0" quotePrefix="0" xfId="0">
      <alignment horizontal="left" vertical="center" wrapText="1"/>
    </xf>
    <xf numFmtId="1" fontId="0" fillId="0" borderId="35" applyAlignment="1" pivotButton="0" quotePrefix="0" xfId="0">
      <alignment horizontal="center" vertical="center" wrapText="1"/>
    </xf>
    <xf numFmtId="1" fontId="0" fillId="0" borderId="37" applyAlignment="1" pivotButton="0" quotePrefix="0" xfId="0">
      <alignment horizontal="center" vertical="center" wrapText="1"/>
    </xf>
    <xf numFmtId="0" fontId="0" fillId="0" borderId="38" applyAlignment="1" pivotButton="0" quotePrefix="0" xfId="0">
      <alignment horizontal="left" vertical="center" wrapText="1"/>
    </xf>
    <xf numFmtId="0" fontId="41" fillId="3" borderId="96" applyAlignment="1" pivotButton="0" quotePrefix="0" xfId="0">
      <alignment horizontal="left" vertical="center" wrapText="1"/>
    </xf>
    <xf numFmtId="0" fontId="41" fillId="3" borderId="97" applyAlignment="1" pivotButton="0" quotePrefix="0" xfId="0">
      <alignment horizontal="left" vertical="center" wrapText="1"/>
    </xf>
    <xf numFmtId="0" fontId="41" fillId="3" borderId="92" applyAlignment="1" pivotButton="0" quotePrefix="0" xfId="0">
      <alignment horizontal="left" vertical="center" wrapText="1"/>
    </xf>
    <xf numFmtId="0" fontId="41" fillId="3" borderId="97" applyAlignment="1" pivotButton="0" quotePrefix="0" xfId="0">
      <alignment horizontal="center" vertical="center" wrapText="1"/>
    </xf>
    <xf numFmtId="0" fontId="41" fillId="3" borderId="98" applyAlignment="1" pivotButton="0" quotePrefix="0" xfId="0">
      <alignment horizontal="center" vertical="center" wrapText="1"/>
    </xf>
    <xf numFmtId="0" fontId="21" fillId="0" borderId="0" applyAlignment="1" pivotButton="0" quotePrefix="0" xfId="0">
      <alignment horizontal="center" vertical="center"/>
    </xf>
    <xf numFmtId="0" fontId="41" fillId="3" borderId="93" applyAlignment="1" pivotButton="0" quotePrefix="0" xfId="0">
      <alignment horizontal="center" vertical="center" wrapText="1"/>
    </xf>
    <xf numFmtId="0" fontId="41" fillId="3" borderId="94" applyAlignment="1" pivotButton="0" quotePrefix="0" xfId="0">
      <alignment horizontal="center" vertical="center" wrapText="1"/>
    </xf>
    <xf numFmtId="0" fontId="17" fillId="0" borderId="32" applyAlignment="1" pivotButton="0" quotePrefix="0" xfId="0">
      <alignment horizontal="left" vertical="center" wrapText="1"/>
    </xf>
    <xf numFmtId="0" fontId="5" fillId="3" borderId="32" applyAlignment="1" pivotButton="0" quotePrefix="0" xfId="0">
      <alignment vertical="center" wrapText="1"/>
    </xf>
    <xf numFmtId="0" fontId="0" fillId="0" borderId="32" applyAlignment="1" pivotButton="0" quotePrefix="0" xfId="0">
      <alignment horizontal="center"/>
    </xf>
    <xf numFmtId="0" fontId="24" fillId="0" borderId="0" applyAlignment="1" pivotButton="0" quotePrefix="0" xfId="0">
      <alignment horizontal="center" vertical="center"/>
    </xf>
    <xf numFmtId="167" fontId="8" fillId="0" borderId="1" applyAlignment="1" pivotButton="0" quotePrefix="0" xfId="0">
      <alignment horizontal="right" vertical="center"/>
    </xf>
    <xf numFmtId="167" fontId="20" fillId="0" borderId="17" applyAlignment="1" pivotButton="0" quotePrefix="0" xfId="0">
      <alignment horizontal="right" vertical="center"/>
    </xf>
    <xf numFmtId="0" fontId="42" fillId="3" borderId="0" applyAlignment="1" pivotButton="0" quotePrefix="0" xfId="0">
      <alignment vertical="center"/>
    </xf>
    <xf numFmtId="0" fontId="41" fillId="0" borderId="0" applyAlignment="1" pivotButton="0" quotePrefix="0" xfId="0">
      <alignment horizontal="center" vertical="center" wrapText="1"/>
    </xf>
    <xf numFmtId="10" fontId="0" fillId="0" borderId="32" applyAlignment="1" pivotButton="0" quotePrefix="0" xfId="0">
      <alignment horizontal="center" vertical="center" wrapText="1"/>
    </xf>
    <xf numFmtId="10" fontId="41" fillId="3" borderId="32" applyAlignment="1" pivotButton="0" quotePrefix="0" xfId="1">
      <alignment horizontal="center" vertical="center" wrapText="1"/>
    </xf>
    <xf numFmtId="0" fontId="47" fillId="0" borderId="0" applyAlignment="1" pivotButton="0" quotePrefix="0" xfId="0">
      <alignment vertical="center"/>
    </xf>
    <xf numFmtId="0" fontId="2" fillId="0" borderId="32" applyAlignment="1" pivotButton="0" quotePrefix="0" xfId="0">
      <alignment vertical="center" wrapText="1"/>
    </xf>
    <xf numFmtId="0" fontId="42" fillId="0" borderId="0" applyAlignment="1" pivotButton="0" quotePrefix="0" xfId="0">
      <alignment vertical="center"/>
    </xf>
    <xf numFmtId="0" fontId="48" fillId="2" borderId="73" applyAlignment="1" pivotButton="0" quotePrefix="0" xfId="0">
      <alignment horizontal="center" vertical="center" wrapText="1"/>
    </xf>
    <xf numFmtId="0" fontId="21" fillId="0" borderId="100" applyAlignment="1" pivotButton="0" quotePrefix="0" xfId="0">
      <alignment horizontal="center" vertical="center"/>
    </xf>
    <xf numFmtId="0" fontId="0" fillId="0" borderId="102" applyAlignment="1" pivotButton="0" quotePrefix="0" xfId="0">
      <alignment horizontal="center"/>
    </xf>
    <xf numFmtId="0" fontId="25" fillId="0" borderId="101" applyAlignment="1" pivotButton="0" quotePrefix="0" xfId="2">
      <alignment horizontal="center"/>
    </xf>
    <xf numFmtId="0" fontId="25" fillId="0" borderId="101" applyAlignment="1" pivotButton="0" quotePrefix="0" xfId="2">
      <alignment horizontal="center" vertical="center"/>
    </xf>
    <xf numFmtId="0" fontId="29" fillId="0" borderId="32" pivotButton="0" quotePrefix="0" xfId="2"/>
    <xf numFmtId="0" fontId="29" fillId="0" borderId="32" applyAlignment="1" pivotButton="0" quotePrefix="0" xfId="2">
      <alignment vertical="center" wrapText="1"/>
    </xf>
    <xf numFmtId="0" fontId="29" fillId="0" borderId="53" applyAlignment="1" pivotButton="0" quotePrefix="0" xfId="2">
      <alignment vertical="center" wrapText="1"/>
    </xf>
    <xf numFmtId="0" fontId="41" fillId="3" borderId="70" applyAlignment="1" pivotButton="0" quotePrefix="0" xfId="0">
      <alignment horizontal="center" vertical="center" wrapText="1"/>
    </xf>
    <xf numFmtId="0" fontId="41" fillId="3" borderId="71" applyAlignment="1" pivotButton="0" quotePrefix="0" xfId="0">
      <alignment horizontal="left" vertical="center" wrapText="1"/>
    </xf>
    <xf numFmtId="0" fontId="41" fillId="3" borderId="71" applyAlignment="1" pivotButton="0" quotePrefix="0" xfId="0">
      <alignment horizontal="center" vertical="center" wrapText="1"/>
    </xf>
    <xf numFmtId="0" fontId="49" fillId="0" borderId="62" applyAlignment="1" pivotButton="0" quotePrefix="0" xfId="0">
      <alignment horizontal="center" vertical="center" wrapText="1"/>
    </xf>
    <xf numFmtId="0" fontId="50" fillId="0" borderId="63" applyAlignment="1" pivotButton="0" quotePrefix="0" xfId="0">
      <alignment horizontal="left" vertical="center" wrapText="1"/>
    </xf>
    <xf numFmtId="0" fontId="49" fillId="0" borderId="63" applyAlignment="1" pivotButton="0" quotePrefix="0" xfId="0">
      <alignment horizontal="left" vertical="center"/>
    </xf>
    <xf numFmtId="0" fontId="49" fillId="0" borderId="65" applyAlignment="1" pivotButton="0" quotePrefix="0" xfId="0">
      <alignment horizontal="center" vertical="center" wrapText="1"/>
    </xf>
    <xf numFmtId="0" fontId="50" fillId="0" borderId="61" applyAlignment="1" pivotButton="0" quotePrefix="0" xfId="0">
      <alignment horizontal="left" vertical="center" wrapText="1"/>
    </xf>
    <xf numFmtId="0" fontId="49" fillId="0" borderId="61" applyAlignment="1" pivotButton="0" quotePrefix="0" xfId="0">
      <alignment horizontal="left" vertical="center"/>
    </xf>
    <xf numFmtId="0" fontId="49" fillId="0" borderId="67" applyAlignment="1" pivotButton="0" quotePrefix="0" xfId="0">
      <alignment horizontal="center" vertical="center" wrapText="1"/>
    </xf>
    <xf numFmtId="0" fontId="50" fillId="0" borderId="68" applyAlignment="1" pivotButton="0" quotePrefix="0" xfId="0">
      <alignment horizontal="left" vertical="center" wrapText="1"/>
    </xf>
    <xf numFmtId="0" fontId="49" fillId="0" borderId="68" applyAlignment="1" pivotButton="0" quotePrefix="0" xfId="0">
      <alignment horizontal="left" vertical="center"/>
    </xf>
    <xf numFmtId="49" fontId="0" fillId="0" borderId="32" applyAlignment="1" pivotButton="0" quotePrefix="0" xfId="0">
      <alignment horizontal="center" vertical="center" wrapText="1"/>
    </xf>
    <xf numFmtId="168" fontId="54" fillId="0" borderId="1" applyAlignment="1" pivotButton="0" quotePrefix="0" xfId="0">
      <alignment horizontal="right" vertical="top"/>
    </xf>
    <xf numFmtId="165" fontId="54" fillId="0" borderId="1" applyAlignment="1" pivotButton="0" quotePrefix="0" xfId="0">
      <alignment horizontal="right" vertical="top"/>
    </xf>
    <xf numFmtId="167" fontId="54" fillId="0" borderId="1" applyAlignment="1" pivotButton="0" quotePrefix="0" xfId="0">
      <alignment horizontal="right" vertical="top"/>
    </xf>
    <xf numFmtId="165" fontId="6" fillId="0" borderId="1" applyAlignment="1" pivotButton="0" quotePrefix="0" xfId="0">
      <alignment horizontal="center" vertical="top"/>
    </xf>
    <xf numFmtId="171" fontId="51" fillId="0" borderId="42" applyAlignment="1" pivotButton="0" quotePrefix="0" xfId="0">
      <alignment horizontal="right" vertical="center" wrapText="1"/>
    </xf>
    <xf numFmtId="171" fontId="51" fillId="0" borderId="32" applyAlignment="1" pivotButton="0" quotePrefix="0" xfId="0">
      <alignment horizontal="right" vertical="center" wrapText="1"/>
    </xf>
    <xf numFmtId="171" fontId="51" fillId="0" borderId="42" applyAlignment="1" pivotButton="0" quotePrefix="0" xfId="0">
      <alignment horizontal="center" vertical="center" wrapText="1"/>
    </xf>
    <xf numFmtId="171" fontId="51" fillId="0" borderId="32" applyAlignment="1" pivotButton="0" quotePrefix="0" xfId="0">
      <alignment horizontal="center" vertical="center" wrapText="1"/>
    </xf>
    <xf numFmtId="172" fontId="57" fillId="0" borderId="32" applyAlignment="1" pivotButton="0" quotePrefix="0" xfId="0">
      <alignment horizontal="center" vertical="center" wrapText="1"/>
    </xf>
    <xf numFmtId="172" fontId="52" fillId="0" borderId="32" applyAlignment="1" pivotButton="0" quotePrefix="0" xfId="0">
      <alignment horizontal="center" vertical="center" wrapText="1"/>
    </xf>
    <xf numFmtId="172" fontId="51" fillId="0" borderId="42" applyAlignment="1" pivotButton="0" quotePrefix="0" xfId="0">
      <alignment horizontal="right" vertical="center" wrapText="1"/>
    </xf>
    <xf numFmtId="172" fontId="51" fillId="0" borderId="32" applyAlignment="1" pivotButton="0" quotePrefix="0" xfId="0">
      <alignment horizontal="right" vertical="center" wrapText="1"/>
    </xf>
    <xf numFmtId="171" fontId="51" fillId="0" borderId="53" applyAlignment="1" pivotButton="0" quotePrefix="0" xfId="0">
      <alignment horizontal="right" vertical="center" wrapText="1"/>
    </xf>
    <xf numFmtId="171" fontId="50" fillId="0" borderId="40" applyAlignment="1" pivotButton="0" quotePrefix="0" xfId="0">
      <alignment horizontal="right" vertical="center" wrapText="1"/>
    </xf>
    <xf numFmtId="171" fontId="50" fillId="0" borderId="36" applyAlignment="1" pivotButton="0" quotePrefix="0" xfId="0">
      <alignment horizontal="right" vertical="center" wrapText="1"/>
    </xf>
    <xf numFmtId="171" fontId="50" fillId="0" borderId="38" applyAlignment="1" pivotButton="0" quotePrefix="0" xfId="0">
      <alignment horizontal="right" vertical="center" wrapText="1"/>
    </xf>
    <xf numFmtId="171" fontId="50" fillId="0" borderId="42" applyAlignment="1" pivotButton="0" quotePrefix="0" xfId="0">
      <alignment horizontal="right" vertical="center" wrapText="1"/>
    </xf>
    <xf numFmtId="171" fontId="50" fillId="0" borderId="32" applyAlignment="1" pivotButton="0" quotePrefix="0" xfId="0">
      <alignment horizontal="right" vertical="center" wrapText="1"/>
    </xf>
    <xf numFmtId="171" fontId="50" fillId="0" borderId="53" applyAlignment="1" pivotButton="0" quotePrefix="0" xfId="0">
      <alignment horizontal="right" vertical="center" wrapText="1"/>
    </xf>
    <xf numFmtId="170" fontId="52" fillId="0" borderId="42" applyAlignment="1" pivotButton="0" quotePrefix="0" xfId="0">
      <alignment horizontal="right" vertical="center" wrapText="1"/>
    </xf>
    <xf numFmtId="170" fontId="52" fillId="0" borderId="32" applyAlignment="1" pivotButton="0" quotePrefix="0" xfId="0">
      <alignment horizontal="right" vertical="center" wrapText="1"/>
    </xf>
    <xf numFmtId="170" fontId="52" fillId="0" borderId="53" applyAlignment="1" pivotButton="0" quotePrefix="0" xfId="0">
      <alignment horizontal="right" vertical="center" wrapText="1"/>
    </xf>
    <xf numFmtId="0" fontId="26" fillId="0" borderId="103" applyAlignment="1" pivotButton="0" quotePrefix="0" xfId="0">
      <alignment vertical="center" wrapText="1"/>
    </xf>
    <xf numFmtId="0" fontId="0" fillId="0" borderId="105" applyAlignment="1" pivotButton="0" quotePrefix="0" xfId="0">
      <alignment vertical="center" wrapText="1"/>
    </xf>
    <xf numFmtId="172" fontId="50" fillId="0" borderId="40" applyAlignment="1" pivotButton="0" quotePrefix="0" xfId="0">
      <alignment horizontal="right" vertical="center" wrapText="1"/>
    </xf>
    <xf numFmtId="172" fontId="50" fillId="0" borderId="36" applyAlignment="1" pivotButton="0" quotePrefix="0" xfId="0">
      <alignment horizontal="right" vertical="center" wrapText="1"/>
    </xf>
    <xf numFmtId="172" fontId="50" fillId="0" borderId="38" applyAlignment="1" pivotButton="0" quotePrefix="0" xfId="0">
      <alignment horizontal="right" vertical="center" wrapText="1"/>
    </xf>
    <xf numFmtId="171" fontId="52" fillId="0" borderId="42" applyAlignment="1" pivotButton="0" quotePrefix="0" xfId="0">
      <alignment horizontal="right" vertical="center" wrapText="1"/>
    </xf>
    <xf numFmtId="173" fontId="50" fillId="0" borderId="32" applyAlignment="1" pivotButton="0" quotePrefix="0" xfId="0">
      <alignment horizontal="right" vertical="center" wrapText="1"/>
    </xf>
    <xf numFmtId="173" fontId="50" fillId="0" borderId="36" applyAlignment="1" pivotButton="0" quotePrefix="0" xfId="0">
      <alignment horizontal="right" vertical="center" wrapText="1"/>
    </xf>
    <xf numFmtId="172" fontId="51" fillId="0" borderId="53" applyAlignment="1" pivotButton="0" quotePrefix="0" xfId="0">
      <alignment horizontal="right" vertical="center" wrapText="1"/>
    </xf>
    <xf numFmtId="172" fontId="50" fillId="0" borderId="32" applyAlignment="1" pivotButton="0" quotePrefix="0" xfId="0">
      <alignment horizontal="right" vertical="center" wrapText="1"/>
    </xf>
    <xf numFmtId="171" fontId="52" fillId="0" borderId="32" applyAlignment="1" pivotButton="0" quotePrefix="0" xfId="0">
      <alignment horizontal="right" vertical="center" wrapText="1"/>
    </xf>
    <xf numFmtId="174" fontId="50" fillId="0" borderId="32" applyAlignment="1" pivotButton="0" quotePrefix="0" xfId="0">
      <alignment horizontal="right" vertical="center" wrapText="1"/>
    </xf>
    <xf numFmtId="3" fontId="50" fillId="0" borderId="36" applyAlignment="1" pivotButton="0" quotePrefix="0" xfId="0">
      <alignment horizontal="right" vertical="center" wrapText="1"/>
    </xf>
    <xf numFmtId="4" fontId="50" fillId="0" borderId="36" applyAlignment="1" pivotButton="0" quotePrefix="0" xfId="0">
      <alignment horizontal="right" vertical="center" wrapText="1"/>
    </xf>
    <xf numFmtId="9" fontId="51" fillId="0" borderId="36" applyAlignment="1" pivotButton="0" quotePrefix="0" xfId="0">
      <alignment horizontal="right" vertical="center" wrapText="1"/>
    </xf>
    <xf numFmtId="4" fontId="50" fillId="0" borderId="38" applyAlignment="1" pivotButton="0" quotePrefix="0" xfId="0">
      <alignment horizontal="right" vertical="center" wrapText="1"/>
    </xf>
    <xf numFmtId="49" fontId="59" fillId="0" borderId="32" applyAlignment="1" pivotButton="0" quotePrefix="0" xfId="0">
      <alignment horizontal="left" vertical="top"/>
    </xf>
    <xf numFmtId="49" fontId="6" fillId="0" borderId="32" applyAlignment="1" pivotButton="0" quotePrefix="0" xfId="0">
      <alignment horizontal="left" vertical="top"/>
    </xf>
    <xf numFmtId="0" fontId="17" fillId="6" borderId="32" applyAlignment="1" pivotButton="0" quotePrefix="0" xfId="0">
      <alignment horizontal="left" vertical="top"/>
    </xf>
    <xf numFmtId="4" fontId="59" fillId="0" borderId="32" applyAlignment="1" pivotButton="0" quotePrefix="0" xfId="0">
      <alignment horizontal="left" vertical="top"/>
    </xf>
    <xf numFmtId="4" fontId="50" fillId="0" borderId="42" applyAlignment="1" pivotButton="0" quotePrefix="0" xfId="0">
      <alignment horizontal="right" vertical="center" wrapText="1"/>
    </xf>
    <xf numFmtId="4" fontId="50" fillId="0" borderId="40" applyAlignment="1" pivotButton="0" quotePrefix="0" xfId="0">
      <alignment horizontal="right" vertical="center" wrapText="1"/>
    </xf>
    <xf numFmtId="4" fontId="50" fillId="0" borderId="32" applyAlignment="1" pivotButton="0" quotePrefix="0" xfId="0">
      <alignment horizontal="right" vertical="center" wrapText="1"/>
    </xf>
    <xf numFmtId="4" fontId="50" fillId="0" borderId="53" applyAlignment="1" pivotButton="0" quotePrefix="0" xfId="0">
      <alignment horizontal="right" vertical="center" wrapText="1"/>
    </xf>
    <xf numFmtId="0" fontId="0" fillId="6" borderId="32" applyAlignment="1" pivotButton="0" quotePrefix="0" xfId="0">
      <alignment horizontal="right" vertical="center" wrapText="1"/>
    </xf>
    <xf numFmtId="172" fontId="51" fillId="0" borderId="40" applyAlignment="1" pivotButton="0" quotePrefix="0" xfId="0">
      <alignment horizontal="right" vertical="center" wrapText="1"/>
    </xf>
    <xf numFmtId="0" fontId="5" fillId="3" borderId="79" applyAlignment="1" pivotButton="0" quotePrefix="0" xfId="0">
      <alignment horizontal="right" vertical="center" wrapText="1"/>
    </xf>
    <xf numFmtId="0" fontId="5" fillId="3" borderId="51" applyAlignment="1" pivotButton="0" quotePrefix="0" xfId="0">
      <alignment horizontal="right" vertical="center" wrapText="1"/>
    </xf>
    <xf numFmtId="0" fontId="6" fillId="0" borderId="32" applyAlignment="1" pivotButton="0" quotePrefix="0" xfId="0">
      <alignment horizontal="left" vertical="center" wrapText="1"/>
    </xf>
    <xf numFmtId="0" fontId="4" fillId="0" borderId="32" applyAlignment="1" pivotButton="0" quotePrefix="0" xfId="0">
      <alignment horizontal="left" vertical="center" wrapText="1"/>
    </xf>
    <xf numFmtId="167" fontId="6" fillId="0" borderId="32" applyAlignment="1" pivotButton="0" quotePrefix="0" xfId="0">
      <alignment horizontal="center" vertical="center" wrapText="1"/>
    </xf>
    <xf numFmtId="0" fontId="0" fillId="0" borderId="32" applyAlignment="1" pivotButton="0" quotePrefix="0" xfId="0">
      <alignment horizontal="center" vertical="center"/>
    </xf>
    <xf numFmtId="0" fontId="20" fillId="0" borderId="32" applyAlignment="1" pivotButton="0" quotePrefix="0" xfId="0">
      <alignment horizontal="left" vertical="center" wrapText="1"/>
    </xf>
    <xf numFmtId="0" fontId="6" fillId="0" borderId="35" applyAlignment="1" pivotButton="0" quotePrefix="0" xfId="0">
      <alignment horizontal="left" vertical="center" wrapText="1"/>
    </xf>
    <xf numFmtId="0" fontId="0" fillId="0" borderId="36" applyAlignment="1" pivotButton="0" quotePrefix="0" xfId="0">
      <alignment horizontal="center" vertical="center"/>
    </xf>
    <xf numFmtId="0" fontId="20" fillId="0" borderId="37" applyAlignment="1" pivotButton="0" quotePrefix="0" xfId="0">
      <alignment horizontal="left" vertical="center" wrapText="1"/>
    </xf>
    <xf numFmtId="164" fontId="20" fillId="0" borderId="53" applyAlignment="1" pivotButton="0" quotePrefix="0" xfId="0">
      <alignment horizontal="center" vertical="center" wrapText="1"/>
    </xf>
    <xf numFmtId="0" fontId="4" fillId="0" borderId="53" applyAlignment="1" pivotButton="0" quotePrefix="0" xfId="0">
      <alignment horizontal="left" vertical="center" wrapText="1"/>
    </xf>
    <xf numFmtId="0" fontId="0" fillId="0" borderId="38" applyAlignment="1" pivotButton="0" quotePrefix="0" xfId="0">
      <alignment horizontal="center" vertical="center"/>
    </xf>
    <xf numFmtId="0" fontId="6" fillId="0" borderId="39" applyAlignment="1" pivotButton="0" quotePrefix="0" xfId="0">
      <alignment horizontal="left" vertical="center" wrapText="1"/>
    </xf>
    <xf numFmtId="0" fontId="4" fillId="0" borderId="42" applyAlignment="1" pivotButton="0" quotePrefix="0" xfId="0">
      <alignment horizontal="left" vertical="center" wrapText="1"/>
    </xf>
    <xf numFmtId="167" fontId="6" fillId="0" borderId="42" applyAlignment="1" pivotButton="0" quotePrefix="0" xfId="0">
      <alignment horizontal="center" vertical="center" wrapText="1"/>
    </xf>
    <xf numFmtId="0" fontId="0" fillId="0" borderId="40" applyAlignment="1" pivotButton="0" quotePrefix="0" xfId="0">
      <alignment horizontal="center" vertical="center"/>
    </xf>
    <xf numFmtId="165" fontId="6" fillId="0" borderId="42" applyAlignment="1" pivotButton="0" quotePrefix="0" xfId="0">
      <alignment horizontal="center" vertical="center" wrapText="1"/>
    </xf>
    <xf numFmtId="165" fontId="6" fillId="0" borderId="32" applyAlignment="1" pivotButton="0" quotePrefix="0" xfId="0">
      <alignment horizontal="center" vertical="center" wrapText="1"/>
    </xf>
    <xf numFmtId="165" fontId="7" fillId="0" borderId="53" applyAlignment="1" pivotButton="0" quotePrefix="0" xfId="0">
      <alignment horizontal="center" vertical="center" wrapText="1"/>
    </xf>
    <xf numFmtId="0" fontId="41" fillId="3" borderId="109" applyAlignment="1" pivotButton="0" quotePrefix="0" xfId="0">
      <alignment horizontal="left" vertical="center" wrapText="1"/>
    </xf>
    <xf numFmtId="0" fontId="41" fillId="3" borderId="110" applyAlignment="1" pivotButton="0" quotePrefix="0" xfId="0">
      <alignment horizontal="left" vertical="center" wrapText="1"/>
    </xf>
    <xf numFmtId="0" fontId="41" fillId="3" borderId="109" applyAlignment="1" pivotButton="0" quotePrefix="0" xfId="0">
      <alignment vertical="center" wrapText="1"/>
    </xf>
    <xf numFmtId="0" fontId="41" fillId="3" borderId="110" applyAlignment="1" pivotButton="0" quotePrefix="0" xfId="0">
      <alignment vertical="center" wrapText="1"/>
    </xf>
    <xf numFmtId="0" fontId="41" fillId="3" borderId="92" applyAlignment="1" pivotButton="0" quotePrefix="0" xfId="0">
      <alignment horizontal="left"/>
    </xf>
    <xf numFmtId="0" fontId="41" fillId="3" borderId="94" applyAlignment="1" pivotButton="0" quotePrefix="0" xfId="0">
      <alignment horizontal="left"/>
    </xf>
    <xf numFmtId="0" fontId="21" fillId="0" borderId="95" applyAlignment="1" pivotButton="0" quotePrefix="0" xfId="0">
      <alignment horizontal="left" vertical="top"/>
    </xf>
    <xf numFmtId="0" fontId="41" fillId="3" borderId="94" applyAlignment="1" pivotButton="0" quotePrefix="0" xfId="0">
      <alignment horizontal="center"/>
    </xf>
    <xf numFmtId="0" fontId="0" fillId="0" borderId="95" pivotButton="0" quotePrefix="0" xfId="0"/>
    <xf numFmtId="0" fontId="19" fillId="3" borderId="94" applyAlignment="1" pivotButton="0" quotePrefix="0" xfId="0">
      <alignment horizontal="center"/>
    </xf>
    <xf numFmtId="0" fontId="24" fillId="0" borderId="40" applyAlignment="1" pivotButton="0" quotePrefix="0" xfId="2">
      <alignment horizontal="center"/>
    </xf>
    <xf numFmtId="0" fontId="24" fillId="0" borderId="36" applyAlignment="1" pivotButton="0" quotePrefix="0" xfId="2">
      <alignment horizontal="center"/>
    </xf>
    <xf numFmtId="0" fontId="24" fillId="0" borderId="38" applyAlignment="1" pivotButton="0" quotePrefix="0" xfId="2">
      <alignment horizontal="center"/>
    </xf>
    <xf numFmtId="0" fontId="67" fillId="0" borderId="40" applyAlignment="1" pivotButton="0" quotePrefix="0" xfId="0">
      <alignment horizontal="center" vertical="center" wrapText="1"/>
    </xf>
    <xf numFmtId="0" fontId="67" fillId="0" borderId="36" applyAlignment="1" pivotButton="0" quotePrefix="0" xfId="0">
      <alignment horizontal="center" vertical="center" wrapText="1"/>
    </xf>
    <xf numFmtId="0" fontId="67" fillId="0" borderId="38" applyAlignment="1" pivotButton="0" quotePrefix="0" xfId="0">
      <alignment horizontal="center" vertical="center" wrapText="1"/>
    </xf>
    <xf numFmtId="0" fontId="41" fillId="3" borderId="72" applyAlignment="1" pivotButton="0" quotePrefix="0" xfId="0">
      <alignment horizontal="center" vertical="center" wrapText="1"/>
    </xf>
    <xf numFmtId="0" fontId="49" fillId="0" borderId="64" applyAlignment="1" pivotButton="0" quotePrefix="0" xfId="0">
      <alignment horizontal="center" vertical="center" wrapText="1"/>
    </xf>
    <xf numFmtId="0" fontId="49" fillId="0" borderId="66" applyAlignment="1" pivotButton="0" quotePrefix="0" xfId="0">
      <alignment horizontal="center" vertical="center" wrapText="1"/>
    </xf>
    <xf numFmtId="0" fontId="49" fillId="0" borderId="69" applyAlignment="1" pivotButton="0" quotePrefix="0" xfId="0">
      <alignment horizontal="center" vertical="center" wrapText="1"/>
    </xf>
    <xf numFmtId="0" fontId="4" fillId="0" borderId="32" applyAlignment="1" pivotButton="0" quotePrefix="0" xfId="0">
      <alignment horizontal="center" vertical="center"/>
    </xf>
    <xf numFmtId="165" fontId="6" fillId="0" borderId="32" applyAlignment="1" pivotButton="0" quotePrefix="0" xfId="0">
      <alignment horizontal="center" vertical="center"/>
    </xf>
    <xf numFmtId="0" fontId="4" fillId="0" borderId="32" applyAlignment="1" pivotButton="0" quotePrefix="0" xfId="0">
      <alignment horizontal="center" vertical="center" wrapText="1"/>
    </xf>
    <xf numFmtId="0" fontId="4" fillId="0" borderId="32" applyAlignment="1" pivotButton="0" quotePrefix="0" xfId="0">
      <alignment vertical="center" wrapText="1"/>
    </xf>
    <xf numFmtId="165" fontId="6" fillId="2" borderId="32" applyAlignment="1" pivotButton="0" quotePrefix="0" xfId="0">
      <alignment horizontal="center" vertical="center"/>
    </xf>
    <xf numFmtId="166" fontId="6" fillId="2" borderId="32" applyAlignment="1" pivotButton="0" quotePrefix="0" xfId="0">
      <alignment horizontal="center" vertical="center"/>
    </xf>
    <xf numFmtId="165" fontId="8" fillId="0" borderId="32" applyAlignment="1" pivotButton="0" quotePrefix="0" xfId="0">
      <alignment horizontal="center" vertical="center"/>
    </xf>
    <xf numFmtId="0" fontId="0" fillId="7" borderId="32" applyAlignment="1" pivotButton="0" quotePrefix="0" xfId="0">
      <alignment horizontal="right" vertical="center" wrapText="1"/>
    </xf>
    <xf numFmtId="175" fontId="57" fillId="0" borderId="42" applyAlignment="1" pivotButton="0" quotePrefix="0" xfId="0">
      <alignment horizontal="right" vertical="center" wrapText="1"/>
    </xf>
    <xf numFmtId="175" fontId="57" fillId="0" borderId="32" applyAlignment="1" pivotButton="0" quotePrefix="0" xfId="0">
      <alignment horizontal="right" vertical="center" wrapText="1"/>
    </xf>
    <xf numFmtId="175" fontId="57" fillId="0" borderId="53" applyAlignment="1" pivotButton="0" quotePrefix="0" xfId="0">
      <alignment horizontal="right" vertical="center" wrapText="1"/>
    </xf>
    <xf numFmtId="170" fontId="0" fillId="0" borderId="40" applyAlignment="1" pivotButton="0" quotePrefix="0" xfId="0">
      <alignment horizontal="right" vertical="center" wrapText="1"/>
    </xf>
    <xf numFmtId="170" fontId="0" fillId="0" borderId="55" applyAlignment="1" pivotButton="0" quotePrefix="0" xfId="0">
      <alignment horizontal="right" vertical="center" wrapText="1"/>
    </xf>
    <xf numFmtId="0" fontId="41" fillId="3" borderId="79" applyAlignment="1" pivotButton="0" quotePrefix="0" xfId="0">
      <alignment horizontal="right" vertical="center" wrapText="1"/>
    </xf>
    <xf numFmtId="170" fontId="41" fillId="3" borderId="79" applyAlignment="1" pivotButton="0" quotePrefix="0" xfId="0">
      <alignment horizontal="right" vertical="center" wrapText="1"/>
    </xf>
    <xf numFmtId="0" fontId="41" fillId="3" borderId="51" applyAlignment="1" pivotButton="0" quotePrefix="0" xfId="0">
      <alignment horizontal="right" vertical="center" wrapText="1"/>
    </xf>
    <xf numFmtId="171" fontId="51" fillId="7" borderId="42" applyAlignment="1" pivotButton="0" quotePrefix="0" xfId="0">
      <alignment horizontal="right" vertical="center" wrapText="1"/>
    </xf>
    <xf numFmtId="171" fontId="51" fillId="7" borderId="40" applyAlignment="1" pivotButton="0" quotePrefix="0" xfId="0">
      <alignment horizontal="right" vertical="center" wrapText="1"/>
    </xf>
    <xf numFmtId="171" fontId="51" fillId="7" borderId="32" applyAlignment="1" pivotButton="0" quotePrefix="0" xfId="0">
      <alignment horizontal="right" vertical="center" wrapText="1"/>
    </xf>
    <xf numFmtId="171" fontId="51" fillId="0" borderId="0" applyAlignment="1" pivotButton="0" quotePrefix="0" xfId="0">
      <alignment horizontal="center" vertical="center" wrapText="1"/>
    </xf>
    <xf numFmtId="164" fontId="6" fillId="0" borderId="32" applyAlignment="1" pivotButton="0" quotePrefix="0" xfId="0">
      <alignment horizontal="center" vertical="center"/>
    </xf>
    <xf numFmtId="0" fontId="0" fillId="0" borderId="32" applyAlignment="1" pivotButton="0" quotePrefix="0" xfId="0">
      <alignment vertical="center"/>
    </xf>
    <xf numFmtId="0" fontId="5" fillId="3" borderId="108" applyAlignment="1" pivotButton="0" quotePrefix="0" xfId="0">
      <alignment horizontal="center" vertical="center" wrapText="1"/>
    </xf>
    <xf numFmtId="0" fontId="5" fillId="3" borderId="34" applyAlignment="1" pivotButton="0" quotePrefix="0" xfId="0">
      <alignment horizontal="center" vertical="center" wrapText="1"/>
    </xf>
    <xf numFmtId="0" fontId="20" fillId="0" borderId="35" applyAlignment="1" pivotButton="0" quotePrefix="0" xfId="0">
      <alignment horizontal="left" vertical="center" wrapText="1"/>
    </xf>
    <xf numFmtId="0" fontId="6" fillId="0" borderId="37" applyAlignment="1" pivotButton="0" quotePrefix="0" xfId="0">
      <alignment horizontal="left" vertical="center" wrapText="1"/>
    </xf>
    <xf numFmtId="0" fontId="4" fillId="0" borderId="53" applyAlignment="1" pivotButton="0" quotePrefix="0" xfId="0">
      <alignment horizontal="center" vertical="center"/>
    </xf>
    <xf numFmtId="0" fontId="0" fillId="0" borderId="53" applyAlignment="1" pivotButton="0" quotePrefix="0" xfId="0">
      <alignment horizontal="center" vertical="center"/>
    </xf>
    <xf numFmtId="171" fontId="58" fillId="0" borderId="32" applyAlignment="1" pivotButton="0" quotePrefix="0" xfId="0">
      <alignment horizontal="right" vertical="center" wrapText="1"/>
    </xf>
    <xf numFmtId="0" fontId="5" fillId="3" borderId="32" applyAlignment="1" pivotButton="0" quotePrefix="0" xfId="0">
      <alignment horizontal="right" vertical="center" wrapText="1"/>
    </xf>
    <xf numFmtId="171" fontId="26" fillId="0" borderId="53" applyAlignment="1" pivotButton="0" quotePrefix="0" xfId="0">
      <alignment horizontal="right" vertical="center" wrapText="1"/>
    </xf>
    <xf numFmtId="170" fontId="26" fillId="0" borderId="53" applyAlignment="1" pivotButton="0" quotePrefix="0" xfId="0">
      <alignment horizontal="right" vertical="center" wrapText="1"/>
    </xf>
    <xf numFmtId="170" fontId="26" fillId="0" borderId="38" applyAlignment="1" pivotButton="0" quotePrefix="0" xfId="0">
      <alignment horizontal="right" vertical="center" wrapText="1"/>
    </xf>
    <xf numFmtId="0" fontId="17" fillId="0" borderId="0" applyAlignment="1" pivotButton="0" quotePrefix="0" xfId="0">
      <alignment horizontal="right" vertical="top" wrapText="1"/>
    </xf>
    <xf numFmtId="0" fontId="0" fillId="0" borderId="32" applyAlignment="1" pivotButton="0" quotePrefix="0" xfId="0">
      <alignment horizontal="right" vertical="center"/>
    </xf>
    <xf numFmtId="168" fontId="6" fillId="0" borderId="32" applyAlignment="1" pivotButton="0" quotePrefix="0" xfId="0">
      <alignment horizontal="right" vertical="center"/>
    </xf>
    <xf numFmtId="164" fontId="6" fillId="0" borderId="32" applyAlignment="1" pivotButton="0" quotePrefix="0" xfId="0">
      <alignment horizontal="right" vertical="center"/>
    </xf>
    <xf numFmtId="165" fontId="6" fillId="0" borderId="32" applyAlignment="1" pivotButton="0" quotePrefix="0" xfId="0">
      <alignment horizontal="right" vertical="center"/>
    </xf>
    <xf numFmtId="0" fontId="5" fillId="3" borderId="96" applyAlignment="1" pivotButton="0" quotePrefix="0" xfId="0">
      <alignment horizontal="left" vertical="center" wrapText="1"/>
    </xf>
    <xf numFmtId="0" fontId="5" fillId="3" borderId="97" applyAlignment="1" pivotButton="0" quotePrefix="0" xfId="0">
      <alignment horizontal="center" vertical="center" wrapText="1"/>
    </xf>
    <xf numFmtId="0" fontId="0" fillId="0" borderId="113" applyAlignment="1" pivotButton="0" quotePrefix="0" xfId="0">
      <alignment vertical="center" wrapText="1"/>
    </xf>
    <xf numFmtId="0" fontId="0" fillId="0" borderId="114" applyAlignment="1" pivotButton="0" quotePrefix="0" xfId="0">
      <alignment horizontal="center" vertical="center" wrapText="1"/>
    </xf>
    <xf numFmtId="172" fontId="50" fillId="0" borderId="53" applyAlignment="1" pivotButton="0" quotePrefix="0" xfId="0">
      <alignment horizontal="right" vertical="center" wrapText="1"/>
    </xf>
    <xf numFmtId="172" fontId="50" fillId="0" borderId="42" applyAlignment="1" pivotButton="0" quotePrefix="0" xfId="0">
      <alignment horizontal="right" vertical="center" wrapText="1"/>
    </xf>
    <xf numFmtId="0" fontId="5" fillId="3" borderId="94" applyAlignment="1" pivotButton="0" quotePrefix="0" xfId="0">
      <alignment horizontal="right" vertical="center" wrapText="1"/>
    </xf>
    <xf numFmtId="172" fontId="51" fillId="0" borderId="38" applyAlignment="1" pivotButton="0" quotePrefix="0" xfId="0">
      <alignment horizontal="right" vertical="center" wrapText="1"/>
    </xf>
    <xf numFmtId="3" fontId="6" fillId="0" borderId="42" applyAlignment="1" pivotButton="0" quotePrefix="0" xfId="0">
      <alignment horizontal="right" vertical="top" wrapText="1"/>
    </xf>
    <xf numFmtId="0" fontId="41" fillId="3" borderId="93" applyAlignment="1" pivotButton="0" quotePrefix="0" xfId="0">
      <alignment horizontal="left" vertical="center" wrapText="1"/>
    </xf>
    <xf numFmtId="0" fontId="0" fillId="6" borderId="53" applyAlignment="1" pivotButton="0" quotePrefix="0" xfId="0">
      <alignment horizontal="right" vertical="center" wrapText="1"/>
    </xf>
    <xf numFmtId="3" fontId="50" fillId="0" borderId="42" applyAlignment="1" pivotButton="0" quotePrefix="0" xfId="0">
      <alignment horizontal="right" vertical="center" wrapText="1"/>
    </xf>
    <xf numFmtId="3" fontId="51" fillId="0" borderId="32" applyAlignment="1" pivotButton="0" quotePrefix="0" xfId="0">
      <alignment horizontal="right" vertical="center" wrapText="1"/>
    </xf>
    <xf numFmtId="3" fontId="51" fillId="0" borderId="42" applyAlignment="1" pivotButton="0" quotePrefix="0" xfId="0">
      <alignment horizontal="right" vertical="center" wrapText="1"/>
    </xf>
    <xf numFmtId="3" fontId="50" fillId="0" borderId="32" applyAlignment="1" pivotButton="0" quotePrefix="0" xfId="0">
      <alignment horizontal="right" vertical="center" wrapText="1"/>
    </xf>
    <xf numFmtId="3" fontId="51" fillId="0" borderId="40" applyAlignment="1" pivotButton="0" quotePrefix="0" xfId="0">
      <alignment horizontal="right" vertical="center" wrapText="1"/>
    </xf>
    <xf numFmtId="3" fontId="6" fillId="0" borderId="32" applyAlignment="1" pivotButton="0" quotePrefix="0" xfId="0">
      <alignment horizontal="right" vertical="top" wrapText="1"/>
    </xf>
    <xf numFmtId="3" fontId="52" fillId="0" borderId="32" applyAlignment="1" pivotButton="0" quotePrefix="0" xfId="0">
      <alignment horizontal="right" vertical="center" wrapText="1"/>
    </xf>
    <xf numFmtId="3" fontId="51" fillId="0" borderId="104" applyAlignment="1" pivotButton="0" quotePrefix="0" xfId="0">
      <alignment horizontal="right" vertical="center" wrapText="1"/>
    </xf>
    <xf numFmtId="3" fontId="51" fillId="0" borderId="55" applyAlignment="1" pivotButton="0" quotePrefix="0" xfId="0">
      <alignment horizontal="right" vertical="center" wrapText="1"/>
    </xf>
    <xf numFmtId="0" fontId="17" fillId="0" borderId="36" applyAlignment="1" pivotButton="0" quotePrefix="0" xfId="0">
      <alignment horizontal="right" vertical="top" wrapText="1"/>
    </xf>
    <xf numFmtId="176" fontId="0" fillId="0" borderId="32" applyAlignment="1" pivotButton="0" quotePrefix="0" xfId="0">
      <alignment horizontal="right" vertical="center" wrapText="1"/>
    </xf>
    <xf numFmtId="0" fontId="41" fillId="3" borderId="106" applyAlignment="1" pivotButton="0" quotePrefix="0" xfId="0">
      <alignment horizontal="left" vertical="center" wrapText="1"/>
    </xf>
    <xf numFmtId="0" fontId="41" fillId="3" borderId="106" applyAlignment="1" pivotButton="0" quotePrefix="0" xfId="0">
      <alignment horizontal="right" vertical="center" wrapText="1"/>
    </xf>
    <xf numFmtId="176" fontId="50" fillId="0" borderId="32" applyAlignment="1" pivotButton="0" quotePrefix="0" xfId="5">
      <alignment horizontal="right" vertical="center" wrapText="1"/>
    </xf>
    <xf numFmtId="176" fontId="0" fillId="0" borderId="32" applyAlignment="1" pivotButton="0" quotePrefix="0" xfId="5">
      <alignment horizontal="right" vertical="center" wrapText="1"/>
    </xf>
    <xf numFmtId="176" fontId="51" fillId="0" borderId="32" applyAlignment="1" pivotButton="0" quotePrefix="0" xfId="5">
      <alignment horizontal="right" vertical="center" wrapText="1"/>
    </xf>
    <xf numFmtId="176" fontId="51" fillId="0" borderId="42" applyAlignment="1" pivotButton="0" quotePrefix="0" xfId="5">
      <alignment horizontal="right" vertical="center" wrapText="1"/>
    </xf>
    <xf numFmtId="176" fontId="57" fillId="0" borderId="32" applyAlignment="1" pivotButton="0" quotePrefix="0" xfId="5">
      <alignment horizontal="right" vertical="center" wrapText="1"/>
    </xf>
    <xf numFmtId="10" fontId="57" fillId="0" borderId="32" applyAlignment="1" pivotButton="0" quotePrefix="0" xfId="1">
      <alignment horizontal="right" vertical="center" wrapText="1"/>
    </xf>
    <xf numFmtId="0" fontId="41" fillId="3" borderId="97" applyAlignment="1" pivotButton="0" quotePrefix="0" xfId="0">
      <alignment horizontal="right" vertical="center" wrapText="1"/>
    </xf>
    <xf numFmtId="0" fontId="41" fillId="3" borderId="98" applyAlignment="1" pivotButton="0" quotePrefix="0" xfId="0">
      <alignment horizontal="right" vertical="center" wrapText="1"/>
    </xf>
    <xf numFmtId="3" fontId="50" fillId="0" borderId="0" applyAlignment="1" pivotButton="0" quotePrefix="0" xfId="0">
      <alignment horizontal="right" vertical="center" wrapText="1"/>
    </xf>
    <xf numFmtId="3" fontId="50" fillId="0" borderId="38" applyAlignment="1" pivotButton="0" quotePrefix="0" xfId="0">
      <alignment horizontal="right" vertical="center" wrapText="1"/>
    </xf>
    <xf numFmtId="0" fontId="17" fillId="0" borderId="95" applyAlignment="1" pivotButton="0" quotePrefix="0" xfId="0">
      <alignment horizontal="left" vertical="top" wrapText="1"/>
    </xf>
    <xf numFmtId="167" fontId="6" fillId="0" borderId="32" applyAlignment="1" pivotButton="0" quotePrefix="0" xfId="0">
      <alignment horizontal="center" vertical="center"/>
    </xf>
    <xf numFmtId="169" fontId="6" fillId="0" borderId="32" applyAlignment="1" pivotButton="0" quotePrefix="0" xfId="0">
      <alignment horizontal="center" vertical="center"/>
    </xf>
    <xf numFmtId="167" fontId="60" fillId="0" borderId="42" applyAlignment="1" pivotButton="0" quotePrefix="0" xfId="0">
      <alignment horizontal="right" vertical="center" wrapText="1"/>
    </xf>
    <xf numFmtId="167" fontId="60" fillId="0" borderId="32" applyAlignment="1" pivotButton="0" quotePrefix="0" xfId="0">
      <alignment horizontal="right" vertical="center" wrapText="1"/>
    </xf>
    <xf numFmtId="176" fontId="60" fillId="0" borderId="42" applyAlignment="1" pivotButton="0" quotePrefix="0" xfId="5">
      <alignment horizontal="right" vertical="center" wrapText="1"/>
    </xf>
    <xf numFmtId="176" fontId="60" fillId="0" borderId="32" applyAlignment="1" pivotButton="0" quotePrefix="0" xfId="5">
      <alignment horizontal="right" vertical="center" wrapText="1"/>
    </xf>
    <xf numFmtId="176" fontId="50" fillId="0" borderId="53" applyAlignment="1" pivotButton="0" quotePrefix="0" xfId="5">
      <alignment horizontal="center"/>
    </xf>
    <xf numFmtId="0" fontId="41" fillId="3" borderId="93" applyAlignment="1" pivotButton="0" quotePrefix="0" xfId="0">
      <alignment horizontal="right" vertical="center" wrapText="1"/>
    </xf>
    <xf numFmtId="0" fontId="41" fillId="3" borderId="94" applyAlignment="1" pivotButton="0" quotePrefix="0" xfId="0">
      <alignment horizontal="right" vertical="center" wrapText="1"/>
    </xf>
    <xf numFmtId="176" fontId="0" fillId="0" borderId="53" applyAlignment="1" pivotButton="0" quotePrefix="0" xfId="5">
      <alignment horizontal="right" vertical="center" wrapText="1"/>
    </xf>
    <xf numFmtId="176" fontId="0" fillId="0" borderId="40" applyAlignment="1" pivotButton="0" quotePrefix="0" xfId="0">
      <alignment horizontal="right" vertical="center" wrapText="1"/>
    </xf>
    <xf numFmtId="176" fontId="26" fillId="0" borderId="38" applyAlignment="1" pivotButton="0" quotePrefix="0" xfId="0">
      <alignment horizontal="right" vertical="center" wrapText="1"/>
    </xf>
    <xf numFmtId="9" fontId="0" fillId="0" borderId="42" applyAlignment="1" pivotButton="0" quotePrefix="0" xfId="0">
      <alignment horizontal="right" vertical="center" wrapText="1"/>
    </xf>
    <xf numFmtId="9" fontId="0" fillId="0" borderId="53" applyAlignment="1" pivotButton="0" quotePrefix="0" xfId="0">
      <alignment horizontal="right" vertical="center" wrapText="1"/>
    </xf>
    <xf numFmtId="0" fontId="0" fillId="0" borderId="42" applyAlignment="1" pivotButton="0" quotePrefix="0" xfId="0">
      <alignment horizontal="left" vertical="center" wrapText="1"/>
    </xf>
    <xf numFmtId="176" fontId="68" fillId="0" borderId="32" applyAlignment="1" pivotButton="0" quotePrefix="0" xfId="5">
      <alignment horizontal="center"/>
    </xf>
    <xf numFmtId="176" fontId="0" fillId="0" borderId="42" applyAlignment="1" pivotButton="0" quotePrefix="0" xfId="5">
      <alignment horizontal="right" vertical="center" wrapText="1"/>
    </xf>
    <xf numFmtId="176" fontId="0" fillId="0" borderId="53" applyAlignment="1" pivotButton="0" quotePrefix="0" xfId="5">
      <alignment horizontal="right"/>
    </xf>
    <xf numFmtId="0" fontId="17" fillId="0" borderId="40" applyAlignment="1" pivotButton="0" quotePrefix="0" xfId="0">
      <alignment horizontal="right" vertical="top" wrapText="1"/>
    </xf>
    <xf numFmtId="0" fontId="17" fillId="0" borderId="55" applyAlignment="1" pivotButton="0" quotePrefix="0" xfId="0">
      <alignment horizontal="right" vertical="top" wrapText="1"/>
    </xf>
    <xf numFmtId="167" fontId="0" fillId="0" borderId="0" pivotButton="0" quotePrefix="0" xfId="0"/>
    <xf numFmtId="172" fontId="0" fillId="0" borderId="32" applyAlignment="1" pivotButton="0" quotePrefix="0" xfId="1">
      <alignment horizontal="right" vertical="center" wrapText="1"/>
    </xf>
    <xf numFmtId="172" fontId="0" fillId="0" borderId="53" applyAlignment="1" pivotButton="0" quotePrefix="0" xfId="1">
      <alignment horizontal="right" vertical="center" wrapText="1"/>
    </xf>
    <xf numFmtId="172" fontId="0" fillId="0" borderId="42" applyAlignment="1" pivotButton="0" quotePrefix="0" xfId="1">
      <alignment horizontal="right" vertical="center" wrapText="1"/>
    </xf>
    <xf numFmtId="176" fontId="60" fillId="0" borderId="53" applyAlignment="1" pivotButton="0" quotePrefix="0" xfId="5">
      <alignment horizontal="right" vertical="center" wrapText="1"/>
    </xf>
    <xf numFmtId="170" fontId="0" fillId="0" borderId="42" applyAlignment="1" pivotButton="0" quotePrefix="0" xfId="0">
      <alignment horizontal="right" vertical="center" wrapText="1"/>
    </xf>
    <xf numFmtId="170" fontId="0" fillId="0" borderId="32" applyAlignment="1" pivotButton="0" quotePrefix="0" xfId="0">
      <alignment horizontal="right" vertical="center" wrapText="1"/>
    </xf>
    <xf numFmtId="167" fontId="51" fillId="0" borderId="32" applyAlignment="1" pivotButton="0" quotePrefix="0" xfId="0">
      <alignment horizontal="right" vertical="center" wrapText="1"/>
    </xf>
    <xf numFmtId="167" fontId="52" fillId="0" borderId="32" applyAlignment="1" pivotButton="0" quotePrefix="0" xfId="0">
      <alignment horizontal="right" vertical="center" wrapText="1"/>
    </xf>
    <xf numFmtId="167" fontId="50" fillId="0" borderId="32" applyAlignment="1" pivotButton="0" quotePrefix="0" xfId="0">
      <alignment horizontal="right" vertical="center" wrapText="1"/>
    </xf>
    <xf numFmtId="3" fontId="53" fillId="0" borderId="32" applyAlignment="1" pivotButton="0" quotePrefix="0" xfId="0">
      <alignment horizontal="right" vertical="center" wrapText="1"/>
    </xf>
    <xf numFmtId="3" fontId="57" fillId="0" borderId="32" applyAlignment="1" pivotButton="0" quotePrefix="0" xfId="0">
      <alignment horizontal="right" vertical="center" wrapText="1"/>
    </xf>
    <xf numFmtId="0" fontId="5" fillId="3" borderId="50" applyAlignment="1" pivotButton="0" quotePrefix="0" xfId="0">
      <alignment vertical="center" wrapText="1"/>
    </xf>
    <xf numFmtId="0" fontId="5" fillId="3" borderId="92" applyAlignment="1" pivotButton="0" quotePrefix="0" xfId="0">
      <alignment vertical="center" wrapText="1"/>
    </xf>
    <xf numFmtId="0" fontId="5" fillId="3" borderId="93" applyAlignment="1" pivotButton="0" quotePrefix="0" xfId="0">
      <alignment horizontal="right" vertical="center" wrapText="1"/>
    </xf>
    <xf numFmtId="167" fontId="51" fillId="0" borderId="53" applyAlignment="1" pivotButton="0" quotePrefix="0" xfId="0">
      <alignment horizontal="right" vertical="center" wrapText="1"/>
    </xf>
    <xf numFmtId="167" fontId="50" fillId="0" borderId="42" applyAlignment="1" pivotButton="0" quotePrefix="0" xfId="0">
      <alignment horizontal="right" vertical="center" wrapText="1"/>
    </xf>
    <xf numFmtId="0" fontId="5" fillId="3" borderId="79" applyAlignment="1" pivotButton="0" quotePrefix="0" xfId="0">
      <alignment vertical="center" wrapText="1"/>
    </xf>
    <xf numFmtId="167" fontId="0" fillId="0" borderId="53" applyAlignment="1" pivotButton="0" quotePrefix="0" xfId="0">
      <alignment horizontal="right" vertical="center" wrapText="1"/>
    </xf>
    <xf numFmtId="4" fontId="0" fillId="0" borderId="53" applyAlignment="1" pivotButton="0" quotePrefix="0" xfId="0">
      <alignment horizontal="right" vertical="center" wrapText="1"/>
    </xf>
    <xf numFmtId="0" fontId="5" fillId="3" borderId="97" applyAlignment="1" pivotButton="0" quotePrefix="0" xfId="0">
      <alignment horizontal="right" vertical="center" wrapText="1"/>
    </xf>
    <xf numFmtId="0" fontId="5" fillId="3" borderId="98" applyAlignment="1" pivotButton="0" quotePrefix="0" xfId="0">
      <alignment horizontal="right" vertical="center" wrapText="1"/>
    </xf>
    <xf numFmtId="167" fontId="51" fillId="0" borderId="42" applyAlignment="1" pivotButton="0" quotePrefix="0" xfId="0">
      <alignment horizontal="right" vertical="center" wrapText="1"/>
    </xf>
    <xf numFmtId="167" fontId="51" fillId="0" borderId="40" applyAlignment="1" pivotButton="0" quotePrefix="0" xfId="0">
      <alignment horizontal="right" vertical="center" wrapText="1"/>
    </xf>
    <xf numFmtId="172" fontId="51" fillId="0" borderId="36" applyAlignment="1" pivotButton="0" quotePrefix="0" xfId="0">
      <alignment horizontal="right" vertical="center" wrapText="1"/>
    </xf>
    <xf numFmtId="167" fontId="50" fillId="0" borderId="53" applyAlignment="1" pivotButton="0" quotePrefix="0" xfId="0">
      <alignment horizontal="right"/>
    </xf>
    <xf numFmtId="167" fontId="50" fillId="0" borderId="38" applyAlignment="1" pivotButton="0" quotePrefix="0" xfId="0">
      <alignment horizontal="right"/>
    </xf>
    <xf numFmtId="176" fontId="0" fillId="0" borderId="0" applyAlignment="1" pivotButton="0" quotePrefix="0" xfId="5">
      <alignment horizontal="center" vertical="center" wrapText="1"/>
    </xf>
    <xf numFmtId="0" fontId="7" fillId="0" borderId="32" applyAlignment="1" pivotButton="0" quotePrefix="0" xfId="0">
      <alignment horizontal="left" vertical="center" wrapText="1"/>
    </xf>
    <xf numFmtId="0" fontId="41" fillId="3" borderId="98" applyAlignment="1" pivotButton="0" quotePrefix="0" xfId="0">
      <alignment horizontal="left" vertical="center" wrapText="1"/>
    </xf>
    <xf numFmtId="0" fontId="5" fillId="3" borderId="116" applyAlignment="1" pivotButton="0" quotePrefix="0" xfId="0">
      <alignment horizontal="left" wrapText="1"/>
    </xf>
    <xf numFmtId="0" fontId="5" fillId="3" borderId="98" applyAlignment="1" pivotButton="0" quotePrefix="0" xfId="0">
      <alignment horizontal="left" wrapText="1"/>
    </xf>
    <xf numFmtId="0" fontId="69" fillId="0" borderId="49" applyAlignment="1" pivotButton="0" quotePrefix="0" xfId="0">
      <alignment horizontal="left" vertical="center"/>
    </xf>
    <xf numFmtId="0" fontId="69" fillId="9" borderId="40" applyAlignment="1" pivotButton="0" quotePrefix="0" xfId="0">
      <alignment horizontal="left" vertical="center"/>
    </xf>
    <xf numFmtId="0" fontId="69" fillId="9" borderId="43" applyAlignment="1" pivotButton="0" quotePrefix="0" xfId="0">
      <alignment horizontal="left" vertical="center"/>
    </xf>
    <xf numFmtId="0" fontId="69" fillId="0" borderId="36" applyAlignment="1" pivotButton="0" quotePrefix="0" xfId="0">
      <alignment horizontal="left" vertical="center"/>
    </xf>
    <xf numFmtId="0" fontId="69" fillId="0" borderId="43" applyAlignment="1" pivotButton="0" quotePrefix="0" xfId="0">
      <alignment horizontal="left" vertical="center"/>
    </xf>
    <xf numFmtId="0" fontId="69" fillId="9" borderId="36" applyAlignment="1" pivotButton="0" quotePrefix="0" xfId="0">
      <alignment horizontal="left" vertical="center"/>
    </xf>
    <xf numFmtId="0" fontId="2" fillId="0" borderId="117" applyAlignment="1" pivotButton="0" quotePrefix="0" xfId="0">
      <alignment vertical="center" wrapText="1"/>
    </xf>
    <xf numFmtId="0" fontId="69" fillId="0" borderId="37" applyAlignment="1" pivotButton="0" quotePrefix="0" xfId="0">
      <alignment horizontal="left" vertical="center"/>
    </xf>
    <xf numFmtId="0" fontId="69" fillId="9" borderId="47" applyAlignment="1" pivotButton="0" quotePrefix="0" xfId="0">
      <alignment horizontal="left" vertical="center"/>
    </xf>
    <xf numFmtId="0" fontId="69" fillId="0" borderId="48" applyAlignment="1" pivotButton="0" quotePrefix="0" xfId="0">
      <alignment horizontal="left" vertical="center"/>
    </xf>
    <xf numFmtId="0" fontId="9" fillId="0" borderId="32" applyAlignment="1" pivotButton="0" quotePrefix="0" xfId="0">
      <alignment horizontal="center" vertical="center" wrapText="1"/>
    </xf>
    <xf numFmtId="165" fontId="53" fillId="0" borderId="32" applyAlignment="1" pivotButton="0" quotePrefix="0" xfId="0">
      <alignment horizontal="center" vertical="center" wrapText="1"/>
    </xf>
    <xf numFmtId="166" fontId="53" fillId="0" borderId="32" applyAlignment="1" pivotButton="0" quotePrefix="0" xfId="0">
      <alignment horizontal="center" vertical="center" wrapText="1"/>
    </xf>
    <xf numFmtId="164" fontId="53" fillId="0" borderId="32" applyAlignment="1" pivotButton="0" quotePrefix="0" xfId="0">
      <alignment horizontal="center" vertical="center" wrapText="1"/>
    </xf>
    <xf numFmtId="167" fontId="53" fillId="0" borderId="32" applyAlignment="1" pivotButton="0" quotePrefix="0" xfId="0">
      <alignment horizontal="center" vertical="center" wrapText="1"/>
    </xf>
    <xf numFmtId="0" fontId="9" fillId="0" borderId="53" applyAlignment="1" pivotButton="0" quotePrefix="0" xfId="0">
      <alignment horizontal="center" vertical="center" wrapText="1"/>
    </xf>
    <xf numFmtId="164" fontId="53" fillId="0" borderId="53" applyAlignment="1" pivotButton="0" quotePrefix="0" xfId="0">
      <alignment horizontal="center" vertical="center" wrapText="1"/>
    </xf>
    <xf numFmtId="0" fontId="5" fillId="3" borderId="100" applyAlignment="1" pivotButton="0" quotePrefix="0" xfId="0">
      <alignment horizontal="center" vertical="center" wrapText="1"/>
    </xf>
    <xf numFmtId="0" fontId="5" fillId="3" borderId="101" applyAlignment="1" pivotButton="0" quotePrefix="0" xfId="0">
      <alignment horizontal="center" vertical="center" wrapText="1"/>
    </xf>
    <xf numFmtId="0" fontId="5" fillId="3" borderId="102" applyAlignment="1" pivotButton="0" quotePrefix="0" xfId="0">
      <alignment horizontal="center" vertical="center" wrapText="1"/>
    </xf>
    <xf numFmtId="0" fontId="9" fillId="0" borderId="108" applyAlignment="1" pivotButton="0" quotePrefix="0" xfId="0">
      <alignment horizontal="center" vertical="center" wrapText="1"/>
    </xf>
    <xf numFmtId="165" fontId="53" fillId="0" borderId="108" applyAlignment="1" pivotButton="0" quotePrefix="0" xfId="0">
      <alignment horizontal="center" vertical="center" wrapText="1"/>
    </xf>
    <xf numFmtId="165" fontId="53" fillId="0" borderId="53" applyAlignment="1" pivotButton="0" quotePrefix="0" xfId="0">
      <alignment horizontal="center" vertical="center" wrapText="1"/>
    </xf>
    <xf numFmtId="166" fontId="53" fillId="0" borderId="108" applyAlignment="1" pivotButton="0" quotePrefix="0" xfId="0">
      <alignment horizontal="center" vertical="center" wrapText="1"/>
    </xf>
    <xf numFmtId="166" fontId="53" fillId="0" borderId="53" applyAlignment="1" pivotButton="0" quotePrefix="0" xfId="0">
      <alignment horizontal="center" vertical="center" wrapText="1"/>
    </xf>
    <xf numFmtId="164" fontId="53" fillId="0" borderId="108" applyAlignment="1" pivotButton="0" quotePrefix="0" xfId="0">
      <alignment horizontal="center" vertical="center" wrapText="1"/>
    </xf>
    <xf numFmtId="167" fontId="53" fillId="0" borderId="108" applyAlignment="1" pivotButton="0" quotePrefix="0" xfId="0">
      <alignment horizontal="center" vertical="center" wrapText="1"/>
    </xf>
    <xf numFmtId="0" fontId="9" fillId="0" borderId="114" applyAlignment="1" pivotButton="0" quotePrefix="0" xfId="0">
      <alignment horizontal="center" vertical="center" wrapText="1"/>
    </xf>
    <xf numFmtId="167" fontId="53" fillId="0" borderId="114" applyAlignment="1" pivotButton="0" quotePrefix="0" xfId="0">
      <alignment horizontal="center" vertical="center" wrapText="1"/>
    </xf>
    <xf numFmtId="0" fontId="41" fillId="3" borderId="71" applyAlignment="1" pivotButton="0" quotePrefix="0" xfId="0">
      <alignment horizontal="right" vertical="center" wrapText="1"/>
    </xf>
    <xf numFmtId="165" fontId="50" fillId="0" borderId="63" applyAlignment="1" pivotButton="0" quotePrefix="0" xfId="0">
      <alignment horizontal="right" vertical="center"/>
    </xf>
    <xf numFmtId="166" fontId="50" fillId="0" borderId="61" applyAlignment="1" pivotButton="0" quotePrefix="0" xfId="0">
      <alignment horizontal="right" vertical="center"/>
    </xf>
    <xf numFmtId="164" fontId="50" fillId="0" borderId="61" applyAlignment="1" pivotButton="0" quotePrefix="0" xfId="0">
      <alignment horizontal="right" vertical="center"/>
    </xf>
    <xf numFmtId="172" fontId="51" fillId="0" borderId="61" applyAlignment="1" pivotButton="0" quotePrefix="0" xfId="0">
      <alignment horizontal="right" vertical="center"/>
    </xf>
    <xf numFmtId="172" fontId="50" fillId="0" borderId="61" applyAlignment="1" pivotButton="0" quotePrefix="0" xfId="1">
      <alignment horizontal="right" vertical="center"/>
    </xf>
    <xf numFmtId="9" fontId="50" fillId="0" borderId="61" applyAlignment="1" pivotButton="0" quotePrefix="0" xfId="1">
      <alignment horizontal="right" vertical="center"/>
    </xf>
    <xf numFmtId="166" fontId="0" fillId="0" borderId="61" applyAlignment="1" pivotButton="0" quotePrefix="0" xfId="0">
      <alignment horizontal="right" vertical="center"/>
    </xf>
    <xf numFmtId="3" fontId="50" fillId="0" borderId="61" applyAlignment="1" pivotButton="0" quotePrefix="0" xfId="0">
      <alignment horizontal="right" vertical="center"/>
    </xf>
    <xf numFmtId="9" fontId="52" fillId="0" borderId="61" applyAlignment="1" pivotButton="0" quotePrefix="0" xfId="1">
      <alignment horizontal="right" vertical="center"/>
    </xf>
    <xf numFmtId="1" fontId="52" fillId="0" borderId="61" applyAlignment="1" pivotButton="0" quotePrefix="0" xfId="0">
      <alignment horizontal="right" vertical="center"/>
    </xf>
    <xf numFmtId="1" fontId="50" fillId="0" borderId="61" applyAlignment="1" pivotButton="0" quotePrefix="0" xfId="0">
      <alignment horizontal="right" vertical="center"/>
    </xf>
    <xf numFmtId="0" fontId="0" fillId="0" borderId="61" applyAlignment="1" pivotButton="0" quotePrefix="0" xfId="0">
      <alignment horizontal="right" vertical="center"/>
    </xf>
    <xf numFmtId="174" fontId="52" fillId="0" borderId="61" applyAlignment="1" pivotButton="0" quotePrefix="0" xfId="0">
      <alignment horizontal="right" vertical="center"/>
    </xf>
    <xf numFmtId="9" fontId="52" fillId="0" borderId="61" applyAlignment="1" pivotButton="0" quotePrefix="0" xfId="0">
      <alignment horizontal="right" vertical="center"/>
    </xf>
    <xf numFmtId="9" fontId="51" fillId="0" borderId="68" applyAlignment="1" pivotButton="0" quotePrefix="0" xfId="0">
      <alignment horizontal="right" vertical="center"/>
    </xf>
    <xf numFmtId="9" fontId="50" fillId="0" borderId="68" applyAlignment="1" pivotButton="0" quotePrefix="0" xfId="1">
      <alignment horizontal="right" vertical="center"/>
    </xf>
    <xf numFmtId="0" fontId="49" fillId="0" borderId="63" applyAlignment="1" pivotButton="0" quotePrefix="0" xfId="0">
      <alignment horizontal="center" vertical="center" wrapText="1"/>
    </xf>
    <xf numFmtId="0" fontId="49" fillId="0" borderId="61" applyAlignment="1" pivotButton="0" quotePrefix="0" xfId="0">
      <alignment horizontal="center" vertical="center" wrapText="1"/>
    </xf>
    <xf numFmtId="0" fontId="49" fillId="0" borderId="68" applyAlignment="1" pivotButton="0" quotePrefix="0" xfId="0">
      <alignment horizontal="center" vertical="center" wrapText="1"/>
    </xf>
    <xf numFmtId="0" fontId="20" fillId="0" borderId="32" applyAlignment="1" pivotButton="0" quotePrefix="0" xfId="0">
      <alignment horizontal="left" vertical="center"/>
    </xf>
    <xf numFmtId="171" fontId="70" fillId="0" borderId="32" applyAlignment="1" pivotButton="0" quotePrefix="0" xfId="0">
      <alignment horizontal="center" vertical="center" wrapText="1"/>
    </xf>
    <xf numFmtId="3" fontId="70" fillId="0" borderId="42" applyAlignment="1" pivotButton="0" quotePrefix="0" xfId="0">
      <alignment horizontal="center" vertical="center" wrapText="1"/>
    </xf>
    <xf numFmtId="0" fontId="70" fillId="0" borderId="32" applyAlignment="1" pivotButton="0" quotePrefix="0" xfId="0">
      <alignment horizontal="center" vertical="center" wrapText="1"/>
    </xf>
    <xf numFmtId="0" fontId="70" fillId="0" borderId="42" applyAlignment="1" pivotButton="0" quotePrefix="0" xfId="0">
      <alignment horizontal="center" vertical="center" wrapText="1"/>
    </xf>
    <xf numFmtId="169" fontId="70" fillId="0" borderId="42" applyAlignment="1" pivotButton="0" quotePrefix="0" xfId="0">
      <alignment horizontal="center" vertical="center" wrapText="1"/>
    </xf>
    <xf numFmtId="10" fontId="70" fillId="0" borderId="32" applyAlignment="1" pivotButton="0" quotePrefix="0" xfId="1">
      <alignment horizontal="center" vertical="center" wrapText="1"/>
    </xf>
    <xf numFmtId="3" fontId="12" fillId="0" borderId="0" applyAlignment="1" pivotButton="0" quotePrefix="0" xfId="0">
      <alignment horizontal="left" vertical="center"/>
    </xf>
    <xf numFmtId="3" fontId="68" fillId="0" borderId="32" applyAlignment="1" pivotButton="0" quotePrefix="0" xfId="0">
      <alignment horizontal="center" vertical="center" wrapText="1"/>
    </xf>
    <xf numFmtId="3" fontId="57" fillId="0" borderId="53" applyAlignment="1" pivotButton="0" quotePrefix="0" xfId="0">
      <alignment horizontal="center" vertical="center" wrapText="1"/>
    </xf>
    <xf numFmtId="3" fontId="70" fillId="0" borderId="53" applyAlignment="1" pivotButton="0" quotePrefix="0" xfId="0">
      <alignment horizontal="center" vertical="center" wrapText="1"/>
    </xf>
    <xf numFmtId="172" fontId="71" fillId="0" borderId="63" applyAlignment="1" pivotButton="0" quotePrefix="0" xfId="0">
      <alignment horizontal="right" vertical="center"/>
    </xf>
    <xf numFmtId="174" fontId="71" fillId="0" borderId="61" applyAlignment="1" pivotButton="0" quotePrefix="0" xfId="0">
      <alignment horizontal="right" vertical="center"/>
    </xf>
    <xf numFmtId="176" fontId="52" fillId="0" borderId="61" applyAlignment="1" pivotButton="0" quotePrefix="0" xfId="5">
      <alignment horizontal="right" vertical="center"/>
    </xf>
    <xf numFmtId="176" fontId="50" fillId="0" borderId="61" applyAlignment="1" pivotButton="0" quotePrefix="0" xfId="5">
      <alignment horizontal="right" vertical="center"/>
    </xf>
    <xf numFmtId="171" fontId="71" fillId="0" borderId="61" applyAlignment="1" pivotButton="0" quotePrefix="0" xfId="0">
      <alignment horizontal="right" vertical="center"/>
    </xf>
    <xf numFmtId="172" fontId="71" fillId="0" borderId="61" applyAlignment="1" pivotButton="0" quotePrefix="0" xfId="0">
      <alignment horizontal="right" vertical="center"/>
    </xf>
    <xf numFmtId="9" fontId="70" fillId="0" borderId="61" applyAlignment="1" pivotButton="0" quotePrefix="0" xfId="0">
      <alignment horizontal="right" vertical="center"/>
    </xf>
    <xf numFmtId="177" fontId="71" fillId="0" borderId="61" applyAlignment="1" pivotButton="0" quotePrefix="0" xfId="0">
      <alignment horizontal="right" vertical="center"/>
    </xf>
    <xf numFmtId="3" fontId="71" fillId="0" borderId="61" applyAlignment="1" pivotButton="0" quotePrefix="0" xfId="0">
      <alignment horizontal="right" vertical="center"/>
    </xf>
    <xf numFmtId="9" fontId="71" fillId="0" borderId="61" applyAlignment="1" pivotButton="0" quotePrefix="0" xfId="1">
      <alignment horizontal="right" vertical="center"/>
    </xf>
    <xf numFmtId="172" fontId="52" fillId="0" borderId="61" applyAlignment="1" pivotButton="0" quotePrefix="0" xfId="1">
      <alignment horizontal="right" vertical="center"/>
    </xf>
    <xf numFmtId="4" fontId="71" fillId="0" borderId="61" applyAlignment="1" pivotButton="0" quotePrefix="0" xfId="0">
      <alignment horizontal="right" vertical="center"/>
    </xf>
    <xf numFmtId="169" fontId="70" fillId="0" borderId="53" applyAlignment="1" pivotButton="0" quotePrefix="0" xfId="0">
      <alignment horizontal="center" vertical="center" wrapText="1"/>
    </xf>
    <xf numFmtId="176" fontId="70" fillId="0" borderId="42" applyAlignment="1" pivotButton="0" quotePrefix="0" xfId="5">
      <alignment horizontal="center"/>
    </xf>
    <xf numFmtId="171" fontId="52" fillId="8" borderId="53" applyAlignment="1" pivotButton="0" quotePrefix="0" xfId="0">
      <alignment horizontal="center" vertical="center" wrapText="1"/>
    </xf>
    <xf numFmtId="0" fontId="17" fillId="0" borderId="32" applyAlignment="1" pivotButton="0" quotePrefix="0" xfId="0">
      <alignment horizontal="left" vertical="top" wrapText="1"/>
    </xf>
    <xf numFmtId="10" fontId="60" fillId="0" borderId="42" applyAlignment="1" pivotButton="0" quotePrefix="0" xfId="1">
      <alignment horizontal="right" vertical="center" wrapText="1"/>
    </xf>
    <xf numFmtId="172" fontId="60" fillId="0" borderId="32" applyAlignment="1" pivotButton="0" quotePrefix="0" xfId="1">
      <alignment horizontal="right" vertical="center" wrapText="1"/>
    </xf>
    <xf numFmtId="10" fontId="55" fillId="0" borderId="32" applyAlignment="1" pivotButton="0" quotePrefix="0" xfId="0">
      <alignment horizontal="right" vertical="center" wrapText="1"/>
    </xf>
    <xf numFmtId="2" fontId="55" fillId="0" borderId="32" applyAlignment="1" pivotButton="0" quotePrefix="0" xfId="0">
      <alignment horizontal="right" vertical="center" wrapText="1"/>
    </xf>
    <xf numFmtId="2" fontId="68" fillId="0" borderId="32" applyAlignment="1" pivotButton="0" quotePrefix="0" xfId="0">
      <alignment horizontal="right" vertical="center" wrapText="1"/>
    </xf>
    <xf numFmtId="171" fontId="60" fillId="0" borderId="32" applyAlignment="1" pivotButton="0" quotePrefix="0" xfId="0">
      <alignment horizontal="right" vertical="center" wrapText="1"/>
    </xf>
    <xf numFmtId="171" fontId="60" fillId="0" borderId="114" applyAlignment="1" pivotButton="0" quotePrefix="0" xfId="0">
      <alignment horizontal="right" vertical="center" wrapText="1"/>
    </xf>
    <xf numFmtId="10" fontId="60" fillId="0" borderId="114" applyAlignment="1" pivotButton="0" quotePrefix="0" xfId="1">
      <alignment horizontal="right" vertical="center" wrapText="1"/>
    </xf>
    <xf numFmtId="171" fontId="55" fillId="0" borderId="114" applyAlignment="1" pivotButton="0" quotePrefix="0" xfId="0">
      <alignment horizontal="right" vertical="center" wrapText="1"/>
    </xf>
    <xf numFmtId="172" fontId="52" fillId="0" borderId="32" applyAlignment="1" pivotButton="0" quotePrefix="0" xfId="0">
      <alignment horizontal="right" vertical="top" wrapText="1"/>
    </xf>
    <xf numFmtId="0" fontId="57" fillId="0" borderId="0" applyAlignment="1" pivotButton="0" quotePrefix="0" xfId="0">
      <alignment horizontal="left" vertical="top" wrapText="1"/>
    </xf>
    <xf numFmtId="172" fontId="52" fillId="0" borderId="0" applyAlignment="1" pivotButton="0" quotePrefix="0" xfId="0">
      <alignment horizontal="right" vertical="top" wrapText="1"/>
    </xf>
    <xf numFmtId="0" fontId="57" fillId="0" borderId="35" applyAlignment="1" pivotButton="0" quotePrefix="0" xfId="0">
      <alignment horizontal="left" vertical="top" wrapText="1"/>
    </xf>
    <xf numFmtId="0" fontId="57" fillId="0" borderId="37" applyAlignment="1" pivotButton="0" quotePrefix="0" xfId="0">
      <alignment horizontal="left" vertical="top" wrapText="1"/>
    </xf>
    <xf numFmtId="172" fontId="51" fillId="0" borderId="53" applyAlignment="1" pivotButton="0" quotePrefix="0" xfId="0">
      <alignment horizontal="right" vertical="top" wrapText="1"/>
    </xf>
    <xf numFmtId="0" fontId="5" fillId="3" borderId="6" applyAlignment="1" pivotButton="0" quotePrefix="0" xfId="0">
      <alignment horizontal="right" vertical="center" wrapText="1"/>
    </xf>
    <xf numFmtId="165" fontId="59" fillId="0" borderId="32" applyAlignment="1" pivotButton="0" quotePrefix="0" xfId="0">
      <alignment horizontal="right" vertical="center"/>
    </xf>
    <xf numFmtId="166" fontId="59" fillId="0" borderId="32" applyAlignment="1" pivotButton="0" quotePrefix="0" xfId="0">
      <alignment horizontal="right" vertical="center"/>
    </xf>
    <xf numFmtId="164" fontId="20" fillId="0" borderId="32" applyAlignment="1" pivotButton="0" quotePrefix="0" xfId="0">
      <alignment horizontal="right" vertical="center"/>
    </xf>
    <xf numFmtId="169" fontId="53" fillId="0" borderId="32" applyAlignment="1" pivotButton="0" quotePrefix="0" xfId="0">
      <alignment horizontal="right" vertical="center"/>
    </xf>
    <xf numFmtId="169" fontId="6" fillId="0" borderId="32" applyAlignment="1" pivotButton="0" quotePrefix="0" xfId="0">
      <alignment horizontal="right" vertical="center"/>
    </xf>
    <xf numFmtId="0" fontId="5" fillId="3" borderId="108" applyAlignment="1" pivotButton="0" quotePrefix="0" xfId="0">
      <alignment horizontal="right" vertical="center" wrapText="1"/>
    </xf>
    <xf numFmtId="0" fontId="5" fillId="3" borderId="34" applyAlignment="1" pivotButton="0" quotePrefix="0" xfId="0">
      <alignment horizontal="right" vertical="center" wrapText="1"/>
    </xf>
    <xf numFmtId="165" fontId="59" fillId="0" borderId="36" applyAlignment="1" pivotButton="0" quotePrefix="0" xfId="0">
      <alignment horizontal="right" vertical="center"/>
    </xf>
    <xf numFmtId="0" fontId="5" fillId="3" borderId="39" applyAlignment="1" pivotButton="0" quotePrefix="0" xfId="0">
      <alignment horizontal="left" vertical="center" wrapText="1"/>
    </xf>
    <xf numFmtId="0" fontId="5" fillId="3" borderId="42" applyAlignment="1" pivotButton="0" quotePrefix="0" xfId="0">
      <alignment horizontal="right" vertical="center" wrapText="1"/>
    </xf>
    <xf numFmtId="0" fontId="4" fillId="0" borderId="42" applyAlignment="1" pivotButton="0" quotePrefix="0" xfId="0">
      <alignment horizontal="center" vertical="center"/>
    </xf>
    <xf numFmtId="165" fontId="59" fillId="0" borderId="42" applyAlignment="1" pivotButton="0" quotePrefix="0" xfId="0">
      <alignment horizontal="right" vertical="center"/>
    </xf>
    <xf numFmtId="171" fontId="51" fillId="7" borderId="53" applyAlignment="1" pivotButton="0" quotePrefix="0" xfId="0">
      <alignment horizontal="right" vertical="center" wrapText="1"/>
    </xf>
    <xf numFmtId="171" fontId="51" fillId="7" borderId="104" applyAlignment="1" pivotButton="0" quotePrefix="0" xfId="0">
      <alignment horizontal="right" vertical="center" wrapText="1"/>
    </xf>
    <xf numFmtId="171" fontId="51" fillId="7" borderId="55" applyAlignment="1" pivotButton="0" quotePrefix="0" xfId="0">
      <alignment horizontal="right" vertical="center" wrapText="1"/>
    </xf>
    <xf numFmtId="171" fontId="71" fillId="0" borderId="32" applyAlignment="1" pivotButton="0" quotePrefix="0" xfId="0">
      <alignment horizontal="center" vertical="center" wrapText="1"/>
    </xf>
    <xf numFmtId="0" fontId="7" fillId="0" borderId="37" applyAlignment="1" pivotButton="0" quotePrefix="0" xfId="0">
      <alignment horizontal="left" vertical="center" wrapText="1"/>
    </xf>
    <xf numFmtId="0" fontId="3" fillId="0" borderId="53" applyAlignment="1" pivotButton="0" quotePrefix="0" xfId="0">
      <alignment horizontal="center" vertical="center"/>
    </xf>
    <xf numFmtId="168" fontId="7" fillId="0" borderId="53" applyAlignment="1" pivotButton="0" quotePrefix="0" xfId="0">
      <alignment horizontal="right" vertical="center"/>
    </xf>
    <xf numFmtId="165" fontId="0" fillId="0" borderId="32" applyAlignment="1" pivotButton="0" quotePrefix="0" xfId="0">
      <alignment horizontal="right" vertical="center"/>
    </xf>
    <xf numFmtId="166" fontId="6" fillId="0" borderId="32" applyAlignment="1" pivotButton="0" quotePrefix="0" xfId="0">
      <alignment horizontal="right" vertical="center"/>
    </xf>
    <xf numFmtId="49" fontId="6" fillId="0" borderId="32" applyAlignment="1" pivotButton="0" quotePrefix="0" xfId="0">
      <alignment horizontal="right" vertical="center"/>
    </xf>
    <xf numFmtId="164" fontId="6" fillId="0" borderId="53" applyAlignment="1" pivotButton="0" quotePrefix="0" xfId="0">
      <alignment horizontal="right" vertical="center"/>
    </xf>
    <xf numFmtId="0" fontId="0" fillId="0" borderId="0" applyAlignment="1" pivotButton="0" quotePrefix="0" xfId="0">
      <alignment horizontal="right"/>
    </xf>
    <xf numFmtId="171" fontId="0" fillId="0" borderId="32" applyAlignment="1" pivotButton="0" quotePrefix="0" xfId="0">
      <alignment horizontal="right" vertical="center" wrapText="1"/>
    </xf>
    <xf numFmtId="171" fontId="0" fillId="0" borderId="36" applyAlignment="1" pivotButton="0" quotePrefix="0" xfId="0">
      <alignment horizontal="right" vertical="center" wrapText="1"/>
    </xf>
    <xf numFmtId="171" fontId="51" fillId="0" borderId="36" applyAlignment="1" pivotButton="0" quotePrefix="0" xfId="0">
      <alignment horizontal="right" vertical="center" wrapText="1"/>
    </xf>
    <xf numFmtId="2" fontId="26" fillId="0" borderId="53" applyAlignment="1" pivotButton="0" quotePrefix="0" xfId="0">
      <alignment horizontal="right" vertical="center" wrapText="1"/>
    </xf>
    <xf numFmtId="0" fontId="17" fillId="0" borderId="107" applyAlignment="1" pivotButton="0" quotePrefix="0" xfId="0">
      <alignment horizontal="right" vertical="top" wrapText="1"/>
    </xf>
    <xf numFmtId="171" fontId="58" fillId="0" borderId="104" applyAlignment="1" pivotButton="0" quotePrefix="0" xfId="0">
      <alignment horizontal="right" vertical="center" wrapText="1"/>
    </xf>
    <xf numFmtId="0" fontId="0" fillId="6" borderId="40" applyAlignment="1" pivotButton="0" quotePrefix="0" xfId="0">
      <alignment horizontal="right" vertical="center" wrapText="1"/>
    </xf>
    <xf numFmtId="0" fontId="55" fillId="0" borderId="32" applyAlignment="1" pivotButton="0" quotePrefix="0" xfId="0">
      <alignment horizontal="right" vertical="center" wrapText="1"/>
    </xf>
    <xf numFmtId="173" fontId="50" fillId="0" borderId="53" applyAlignment="1" pivotButton="0" quotePrefix="0" xfId="0">
      <alignment horizontal="right" vertical="center" wrapText="1"/>
    </xf>
    <xf numFmtId="173" fontId="50" fillId="0" borderId="38" applyAlignment="1" pivotButton="0" quotePrefix="0" xfId="0">
      <alignment horizontal="right" vertical="center" wrapText="1"/>
    </xf>
    <xf numFmtId="164" fontId="59" fillId="0" borderId="32" applyAlignment="1" pivotButton="0" quotePrefix="0" xfId="0">
      <alignment horizontal="right" vertical="center"/>
    </xf>
    <xf numFmtId="167" fontId="6" fillId="0" borderId="32" applyAlignment="1" pivotButton="0" quotePrefix="0" xfId="0">
      <alignment horizontal="right" vertical="center"/>
    </xf>
    <xf numFmtId="168" fontId="59" fillId="0" borderId="32" applyAlignment="1" pivotButton="0" quotePrefix="0" xfId="0">
      <alignment horizontal="right" vertical="center"/>
    </xf>
    <xf numFmtId="0" fontId="0" fillId="0" borderId="36" applyAlignment="1" pivotButton="0" quotePrefix="0" xfId="0">
      <alignment horizontal="center"/>
    </xf>
    <xf numFmtId="0" fontId="0" fillId="0" borderId="38" applyAlignment="1" pivotButton="0" quotePrefix="0" xfId="0">
      <alignment horizontal="center"/>
    </xf>
    <xf numFmtId="171" fontId="71" fillId="0" borderId="42" applyAlignment="1" pivotButton="0" quotePrefix="0" xfId="0">
      <alignment horizontal="right" vertical="center" wrapText="1"/>
    </xf>
    <xf numFmtId="171" fontId="70" fillId="0" borderId="32" applyAlignment="1" pivotButton="0" quotePrefix="0" xfId="0">
      <alignment horizontal="right" vertical="center" wrapText="1"/>
    </xf>
    <xf numFmtId="171" fontId="71" fillId="0" borderId="32" applyAlignment="1" pivotButton="0" quotePrefix="0" xfId="0">
      <alignment horizontal="right" vertical="center" wrapText="1"/>
    </xf>
    <xf numFmtId="171" fontId="71" fillId="0" borderId="53" applyAlignment="1" pivotButton="0" quotePrefix="0" xfId="0">
      <alignment horizontal="right" vertical="center" wrapText="1"/>
    </xf>
    <xf numFmtId="171" fontId="57" fillId="0" borderId="42" applyAlignment="1" pivotButton="0" quotePrefix="0" xfId="0">
      <alignment horizontal="right" vertical="center" wrapText="1"/>
    </xf>
    <xf numFmtId="171" fontId="57" fillId="0" borderId="40" applyAlignment="1" pivotButton="0" quotePrefix="0" xfId="0">
      <alignment horizontal="right" vertical="center" wrapText="1"/>
    </xf>
    <xf numFmtId="171" fontId="57" fillId="0" borderId="32" applyAlignment="1" pivotButton="0" quotePrefix="0" xfId="0">
      <alignment horizontal="right" vertical="center" wrapText="1"/>
    </xf>
    <xf numFmtId="171" fontId="57" fillId="0" borderId="36" applyAlignment="1" pivotButton="0" quotePrefix="0" xfId="0">
      <alignment horizontal="right" vertical="center" wrapText="1"/>
    </xf>
    <xf numFmtId="173" fontId="57" fillId="0" borderId="106" applyAlignment="1" pivotButton="0" quotePrefix="0" xfId="0">
      <alignment horizontal="right" vertical="center" wrapText="1"/>
    </xf>
    <xf numFmtId="0" fontId="26" fillId="0" borderId="53" applyAlignment="1" pivotButton="0" quotePrefix="0" xfId="0">
      <alignment horizontal="right" vertical="center" wrapText="1"/>
    </xf>
    <xf numFmtId="174" fontId="57" fillId="0" borderId="32" applyAlignment="1" pivotButton="0" quotePrefix="0" xfId="0">
      <alignment horizontal="right" vertical="center" wrapText="1"/>
    </xf>
    <xf numFmtId="0" fontId="47" fillId="10" borderId="60" applyAlignment="1" pivotButton="0" quotePrefix="0" xfId="0">
      <alignment horizontal="center" vertical="center"/>
    </xf>
    <xf numFmtId="0" fontId="74" fillId="0" borderId="0" applyAlignment="1" pivotButton="0" quotePrefix="0" xfId="0">
      <alignment horizontal="center" vertical="top"/>
    </xf>
    <xf numFmtId="2" fontId="60" fillId="0" borderId="0" applyAlignment="1" pivotButton="0" quotePrefix="0" xfId="0">
      <alignment horizontal="right"/>
    </xf>
    <xf numFmtId="165" fontId="6" fillId="0" borderId="41" applyAlignment="1" pivotButton="0" quotePrefix="0" xfId="0">
      <alignment horizontal="right" vertical="center"/>
    </xf>
    <xf numFmtId="0" fontId="4" fillId="0" borderId="0" applyAlignment="1" pivotButton="0" quotePrefix="0" xfId="0">
      <alignment horizontal="center" vertical="center" wrapText="1"/>
    </xf>
    <xf numFmtId="0" fontId="5" fillId="0" borderId="0" applyAlignment="1" pivotButton="0" quotePrefix="0" xfId="0">
      <alignment horizontal="right" vertical="center" wrapText="1"/>
    </xf>
    <xf numFmtId="0" fontId="0" fillId="0" borderId="0" applyAlignment="1" pivotButton="0" quotePrefix="0" xfId="0">
      <alignment horizontal="right" vertical="center"/>
    </xf>
    <xf numFmtId="165" fontId="23" fillId="0" borderId="0" applyAlignment="1" pivotButton="0" quotePrefix="0" xfId="0">
      <alignment horizontal="right" vertical="center"/>
    </xf>
    <xf numFmtId="0" fontId="19" fillId="0" borderId="0" applyAlignment="1" pivotButton="0" quotePrefix="0" xfId="0">
      <alignment vertical="center"/>
    </xf>
    <xf numFmtId="168" fontId="6" fillId="0" borderId="36" applyAlignment="1" pivotButton="0" quotePrefix="0" xfId="0">
      <alignment horizontal="center" vertical="center"/>
    </xf>
    <xf numFmtId="165" fontId="20" fillId="0" borderId="38" applyAlignment="1" pivotButton="0" quotePrefix="0" xfId="0">
      <alignment horizontal="center" vertical="center"/>
    </xf>
    <xf numFmtId="0" fontId="0" fillId="0" borderId="42" applyAlignment="1" pivotButton="0" quotePrefix="0" xfId="0">
      <alignment horizontal="center" vertical="center"/>
    </xf>
    <xf numFmtId="168" fontId="6" fillId="0" borderId="40" applyAlignment="1" pivotButton="0" quotePrefix="0" xfId="0">
      <alignment horizontal="center" vertical="center"/>
    </xf>
    <xf numFmtId="164" fontId="59" fillId="0" borderId="36" applyAlignment="1" pivotButton="0" quotePrefix="0" xfId="0">
      <alignment horizontal="right" vertical="center"/>
    </xf>
    <xf numFmtId="164" fontId="6" fillId="0" borderId="36" applyAlignment="1" pivotButton="0" quotePrefix="0" xfId="0">
      <alignment horizontal="right" vertical="center"/>
    </xf>
    <xf numFmtId="168" fontId="72" fillId="0" borderId="53" applyAlignment="1" pivotButton="0" quotePrefix="0" xfId="0">
      <alignment horizontal="right" vertical="center"/>
    </xf>
    <xf numFmtId="168" fontId="20" fillId="0" borderId="53" applyAlignment="1" pivotButton="0" quotePrefix="0" xfId="0">
      <alignment horizontal="right" vertical="center"/>
    </xf>
    <xf numFmtId="168" fontId="20" fillId="0" borderId="38" applyAlignment="1" pivotButton="0" quotePrefix="0" xfId="0">
      <alignment horizontal="right" vertical="center"/>
    </xf>
    <xf numFmtId="0" fontId="0" fillId="0" borderId="42" applyAlignment="1" pivotButton="0" quotePrefix="0" xfId="0">
      <alignment horizontal="right" vertical="center"/>
    </xf>
    <xf numFmtId="168" fontId="6" fillId="0" borderId="42" applyAlignment="1" pivotButton="0" quotePrefix="0" xfId="0">
      <alignment horizontal="right" vertical="center"/>
    </xf>
    <xf numFmtId="168" fontId="6" fillId="0" borderId="40" applyAlignment="1" pivotButton="0" quotePrefix="0" xfId="0">
      <alignment horizontal="right" vertical="center"/>
    </xf>
    <xf numFmtId="170" fontId="55" fillId="0" borderId="42" applyAlignment="1" pivotButton="0" quotePrefix="0" xfId="0">
      <alignment horizontal="center" vertical="center" wrapText="1"/>
    </xf>
    <xf numFmtId="170" fontId="55" fillId="0" borderId="32" applyAlignment="1" pivotButton="0" quotePrefix="0" xfId="0">
      <alignment horizontal="center" vertical="center" wrapText="1"/>
    </xf>
    <xf numFmtId="170" fontId="55" fillId="0" borderId="114" applyAlignment="1" pivotButton="0" quotePrefix="0" xfId="0">
      <alignment horizontal="center" vertical="center" wrapText="1"/>
    </xf>
    <xf numFmtId="170" fontId="55" fillId="0" borderId="53" applyAlignment="1" pivotButton="0" quotePrefix="0" xfId="0">
      <alignment horizontal="center" vertical="center" wrapText="1"/>
    </xf>
    <xf numFmtId="0" fontId="55" fillId="0" borderId="42" applyAlignment="1" pivotButton="0" quotePrefix="0" xfId="0">
      <alignment horizontal="right" vertical="center" wrapText="1"/>
    </xf>
    <xf numFmtId="0" fontId="75" fillId="0" borderId="53" applyAlignment="1" pivotButton="0" quotePrefix="0" xfId="0">
      <alignment horizontal="right" vertical="center" wrapText="1"/>
    </xf>
    <xf numFmtId="0" fontId="75" fillId="0" borderId="38" applyAlignment="1" pivotButton="0" quotePrefix="0" xfId="0">
      <alignment horizontal="right" vertical="center" wrapText="1"/>
    </xf>
    <xf numFmtId="170" fontId="55" fillId="0" borderId="42" applyAlignment="1" pivotButton="0" quotePrefix="0" xfId="0">
      <alignment horizontal="right" vertical="center" wrapText="1"/>
    </xf>
    <xf numFmtId="170" fontId="55" fillId="0" borderId="40" applyAlignment="1" pivotButton="0" quotePrefix="0" xfId="0">
      <alignment horizontal="right" vertical="center" wrapText="1"/>
    </xf>
    <xf numFmtId="170" fontId="55" fillId="0" borderId="32" applyAlignment="1" pivotButton="0" quotePrefix="0" xfId="0">
      <alignment horizontal="right" vertical="center" wrapText="1"/>
    </xf>
    <xf numFmtId="170" fontId="55" fillId="0" borderId="36" applyAlignment="1" pivotButton="0" quotePrefix="0" xfId="0">
      <alignment horizontal="right" vertical="center" wrapText="1"/>
    </xf>
    <xf numFmtId="49" fontId="59" fillId="0" borderId="32" applyAlignment="1" pivotButton="0" quotePrefix="0" xfId="0">
      <alignment horizontal="center" vertical="top"/>
    </xf>
    <xf numFmtId="167" fontId="59" fillId="0" borderId="32" applyAlignment="1" pivotButton="0" quotePrefix="0" xfId="0">
      <alignment horizontal="right" vertical="top"/>
    </xf>
    <xf numFmtId="49" fontId="59" fillId="0" borderId="32" applyAlignment="1" pivotButton="0" quotePrefix="0" xfId="0">
      <alignment horizontal="right" vertical="top"/>
    </xf>
    <xf numFmtId="9" fontId="6" fillId="0" borderId="32" applyAlignment="1" pivotButton="0" quotePrefix="0" xfId="0">
      <alignment horizontal="right" vertical="top"/>
    </xf>
    <xf numFmtId="0" fontId="73" fillId="0" borderId="111" applyAlignment="1" pivotButton="0" quotePrefix="0" xfId="0">
      <alignment vertical="top"/>
    </xf>
    <xf numFmtId="0" fontId="74" fillId="10" borderId="102" applyAlignment="1" pivotButton="0" quotePrefix="0" xfId="0">
      <alignment horizontal="center" vertical="top"/>
    </xf>
    <xf numFmtId="0" fontId="6" fillId="0" borderId="123" applyAlignment="1" pivotButton="0" quotePrefix="0" xfId="0">
      <alignment horizontal="left" vertical="center" wrapText="1"/>
    </xf>
    <xf numFmtId="0" fontId="16" fillId="0" borderId="123" applyAlignment="1" pivotButton="0" quotePrefix="0" xfId="0">
      <alignment horizontal="left" vertical="center" wrapText="1"/>
    </xf>
    <xf numFmtId="0" fontId="6" fillId="0" borderId="125" applyAlignment="1" pivotButton="0" quotePrefix="0" xfId="0">
      <alignment horizontal="left" vertical="center" wrapText="1"/>
    </xf>
    <xf numFmtId="0" fontId="4" fillId="0" borderId="126" applyAlignment="1" pivotButton="0" quotePrefix="0" xfId="0">
      <alignment horizontal="center" vertical="center"/>
    </xf>
    <xf numFmtId="0" fontId="5" fillId="3" borderId="128" applyAlignment="1" pivotButton="0" quotePrefix="0" xfId="0">
      <alignment horizontal="left" vertical="center" wrapText="1"/>
    </xf>
    <xf numFmtId="0" fontId="5" fillId="3" borderId="129" applyAlignment="1" pivotButton="0" quotePrefix="0" xfId="0">
      <alignment horizontal="right" vertical="center" wrapText="1"/>
    </xf>
    <xf numFmtId="164" fontId="6" fillId="0" borderId="124" applyAlignment="1" pivotButton="0" quotePrefix="0" xfId="0">
      <alignment horizontal="right" vertical="center"/>
    </xf>
    <xf numFmtId="168" fontId="6" fillId="0" borderId="124" applyAlignment="1" pivotButton="0" quotePrefix="0" xfId="0">
      <alignment horizontal="right" vertical="center"/>
    </xf>
    <xf numFmtId="165" fontId="16" fillId="0" borderId="1" applyAlignment="1" pivotButton="0" quotePrefix="0" xfId="0">
      <alignment horizontal="right" vertical="center"/>
    </xf>
    <xf numFmtId="165" fontId="16" fillId="0" borderId="124" applyAlignment="1" pivotButton="0" quotePrefix="0" xfId="0">
      <alignment horizontal="right" vertical="center"/>
    </xf>
    <xf numFmtId="165" fontId="6" fillId="0" borderId="124" applyAlignment="1" pivotButton="0" quotePrefix="0" xfId="0">
      <alignment horizontal="right" vertical="center"/>
    </xf>
    <xf numFmtId="10" fontId="6" fillId="0" borderId="1" applyAlignment="1" pivotButton="0" quotePrefix="0" xfId="1">
      <alignment horizontal="right" vertical="center"/>
    </xf>
    <xf numFmtId="168" fontId="6" fillId="0" borderId="126" applyAlignment="1" pivotButton="0" quotePrefix="0" xfId="0">
      <alignment horizontal="right" vertical="center"/>
    </xf>
    <xf numFmtId="168" fontId="6" fillId="0" borderId="127" applyAlignment="1" pivotButton="0" quotePrefix="0" xfId="0">
      <alignment horizontal="right" vertical="center"/>
    </xf>
    <xf numFmtId="0" fontId="5" fillId="3" borderId="90" applyAlignment="1" pivotButton="0" quotePrefix="0" xfId="0">
      <alignment horizontal="right" vertical="center" wrapText="1"/>
    </xf>
    <xf numFmtId="0" fontId="5" fillId="3" borderId="91" applyAlignment="1" pivotButton="0" quotePrefix="0" xfId="0">
      <alignment horizontal="right" vertical="center" wrapText="1"/>
    </xf>
    <xf numFmtId="172" fontId="57" fillId="0" borderId="32" applyAlignment="1" pivotButton="0" quotePrefix="0" xfId="0">
      <alignment horizontal="right" vertical="center" wrapText="1"/>
    </xf>
    <xf numFmtId="172" fontId="57" fillId="0" borderId="36" applyAlignment="1" pivotButton="0" quotePrefix="0" xfId="0">
      <alignment horizontal="right" vertical="center" wrapText="1"/>
    </xf>
    <xf numFmtId="49" fontId="50" fillId="0" borderId="53" applyAlignment="1" pivotButton="0" quotePrefix="0" xfId="0">
      <alignment horizontal="right" vertical="center" wrapText="1"/>
    </xf>
    <xf numFmtId="49" fontId="50" fillId="0" borderId="38" applyAlignment="1" pivotButton="0" quotePrefix="0" xfId="0">
      <alignment horizontal="right" vertical="center" wrapText="1"/>
    </xf>
    <xf numFmtId="0" fontId="17" fillId="0" borderId="40" applyAlignment="1" pivotButton="0" quotePrefix="0" xfId="0">
      <alignment horizontal="center" vertical="center" wrapText="1"/>
    </xf>
    <xf numFmtId="0" fontId="17" fillId="0" borderId="36" applyAlignment="1" pivotButton="0" quotePrefix="0" xfId="0">
      <alignment horizontal="center" vertical="center" wrapText="1"/>
    </xf>
    <xf numFmtId="0" fontId="17" fillId="0" borderId="38" applyAlignment="1" pivotButton="0" quotePrefix="0" xfId="0">
      <alignment horizontal="center" vertical="center" wrapText="1"/>
    </xf>
    <xf numFmtId="171" fontId="58" fillId="0" borderId="53" applyAlignment="1" pivotButton="0" quotePrefix="0" xfId="0">
      <alignment horizontal="right" vertical="center" wrapText="1"/>
    </xf>
    <xf numFmtId="172" fontId="58" fillId="0" borderId="53" applyAlignment="1" pivotButton="0" quotePrefix="0" xfId="0">
      <alignment horizontal="right" vertical="center" wrapText="1"/>
    </xf>
    <xf numFmtId="172" fontId="58" fillId="0" borderId="38" applyAlignment="1" pivotButton="0" quotePrefix="0" xfId="0">
      <alignment horizontal="right" vertical="center" wrapText="1"/>
    </xf>
    <xf numFmtId="0" fontId="21" fillId="0" borderId="0" applyAlignment="1" pivotButton="0" quotePrefix="0" xfId="0">
      <alignment horizontal="right" vertical="center"/>
    </xf>
    <xf numFmtId="176" fontId="0" fillId="0" borderId="32" applyAlignment="1" pivotButton="0" quotePrefix="0" xfId="5">
      <alignment horizontal="right"/>
    </xf>
    <xf numFmtId="176" fontId="17" fillId="0" borderId="32" applyAlignment="1" pivotButton="0" quotePrefix="0" xfId="5">
      <alignment horizontal="right" vertical="top" wrapText="1"/>
    </xf>
    <xf numFmtId="0" fontId="17" fillId="0" borderId="95" applyAlignment="1" pivotButton="0" quotePrefix="0" xfId="0">
      <alignment horizontal="right" vertical="top" wrapText="1"/>
    </xf>
    <xf numFmtId="167" fontId="20" fillId="0" borderId="32" applyAlignment="1" pivotButton="0" quotePrefix="0" xfId="0">
      <alignment horizontal="right" vertical="center"/>
    </xf>
    <xf numFmtId="167" fontId="59" fillId="0" borderId="32" applyAlignment="1" pivotButton="0" quotePrefix="0" xfId="0">
      <alignment horizontal="right" vertical="center"/>
    </xf>
    <xf numFmtId="3" fontId="57" fillId="0" borderId="42" applyAlignment="1" pivotButton="0" quotePrefix="0" xfId="0">
      <alignment horizontal="right" vertical="center" wrapText="1"/>
    </xf>
    <xf numFmtId="3" fontId="17" fillId="0" borderId="0" applyAlignment="1" pivotButton="0" quotePrefix="0" xfId="0">
      <alignment horizontal="left" vertical="top" wrapText="1"/>
    </xf>
    <xf numFmtId="3" fontId="17" fillId="0" borderId="53" applyAlignment="1" pivotButton="0" quotePrefix="0" xfId="0">
      <alignment horizontal="right" vertical="top" wrapText="1"/>
    </xf>
    <xf numFmtId="176" fontId="70" fillId="0" borderId="32" applyAlignment="1" pivotButton="0" quotePrefix="0" xfId="5">
      <alignment horizontal="right" vertical="center" wrapText="1"/>
    </xf>
    <xf numFmtId="3" fontId="71" fillId="0" borderId="32" applyAlignment="1" pivotButton="0" quotePrefix="0" xfId="0">
      <alignment horizontal="right" vertical="center" wrapText="1"/>
    </xf>
    <xf numFmtId="176" fontId="70" fillId="0" borderId="32" applyAlignment="1" pivotButton="0" quotePrefix="0" xfId="5">
      <alignment horizontal="center"/>
    </xf>
    <xf numFmtId="0" fontId="20" fillId="0" borderId="0" applyAlignment="1" pivotButton="0" quotePrefix="0" xfId="0">
      <alignment vertical="center"/>
    </xf>
    <xf numFmtId="169" fontId="20" fillId="0" borderId="32" applyAlignment="1" pivotButton="0" quotePrefix="0" xfId="0">
      <alignment horizontal="center" vertical="center"/>
    </xf>
    <xf numFmtId="165" fontId="6" fillId="0" borderId="36" applyAlignment="1" pivotButton="0" quotePrefix="0" xfId="0">
      <alignment horizontal="center" vertical="center"/>
    </xf>
    <xf numFmtId="164" fontId="59" fillId="0" borderId="32" applyAlignment="1" pivotButton="0" quotePrefix="0" xfId="0">
      <alignment horizontal="center" vertical="center"/>
    </xf>
    <xf numFmtId="176" fontId="55" fillId="0" borderId="53" applyAlignment="1" pivotButton="0" quotePrefix="0" xfId="5">
      <alignment horizontal="center"/>
    </xf>
    <xf numFmtId="176" fontId="68" fillId="0" borderId="42" applyAlignment="1" pivotButton="0" quotePrefix="0" xfId="5">
      <alignment horizontal="right" vertical="center" wrapText="1"/>
    </xf>
    <xf numFmtId="176" fontId="68" fillId="0" borderId="32" applyAlignment="1" pivotButton="0" quotePrefix="0" xfId="5">
      <alignment horizontal="right" vertical="center" wrapText="1"/>
    </xf>
    <xf numFmtId="3" fontId="50" fillId="0" borderId="40" applyAlignment="1" pivotButton="0" quotePrefix="0" xfId="0">
      <alignment horizontal="center" vertical="center" wrapText="1"/>
    </xf>
    <xf numFmtId="3" fontId="50" fillId="0" borderId="36" applyAlignment="1" pivotButton="0" quotePrefix="0" xfId="0">
      <alignment horizontal="center" vertical="center" wrapText="1"/>
    </xf>
    <xf numFmtId="3" fontId="57" fillId="0" borderId="36" applyAlignment="1" pivotButton="0" quotePrefix="0" xfId="0">
      <alignment horizontal="center" vertical="center" wrapText="1"/>
    </xf>
    <xf numFmtId="3" fontId="50" fillId="0" borderId="38" applyAlignment="1" pivotButton="0" quotePrefix="0" xfId="0">
      <alignment horizontal="center" vertical="center" wrapText="1"/>
    </xf>
    <xf numFmtId="167" fontId="76" fillId="0" borderId="17" applyAlignment="1" pivotButton="0" quotePrefix="0" xfId="0">
      <alignment horizontal="center" vertical="center"/>
    </xf>
    <xf numFmtId="167" fontId="16" fillId="0" borderId="17" applyAlignment="1" pivotButton="0" quotePrefix="0" xfId="0">
      <alignment horizontal="center" vertical="center"/>
    </xf>
    <xf numFmtId="167" fontId="77" fillId="0" borderId="32" applyAlignment="1" pivotButton="0" quotePrefix="0" xfId="0">
      <alignment horizontal="center" vertical="center"/>
    </xf>
    <xf numFmtId="0" fontId="78" fillId="9" borderId="0" applyAlignment="1" pivotButton="0" quotePrefix="0" xfId="0">
      <alignment horizontal="left" vertical="center" indent="1"/>
    </xf>
    <xf numFmtId="167" fontId="57" fillId="0" borderId="32" applyAlignment="1" pivotButton="0" quotePrefix="0" xfId="0">
      <alignment horizontal="right" vertical="center" wrapText="1"/>
    </xf>
    <xf numFmtId="172" fontId="57" fillId="0" borderId="53" applyAlignment="1" pivotButton="0" quotePrefix="0" xfId="0">
      <alignment horizontal="right" vertical="center" wrapText="1"/>
    </xf>
    <xf numFmtId="3" fontId="57" fillId="0" borderId="40" applyAlignment="1" pivotButton="0" quotePrefix="0" xfId="0">
      <alignment horizontal="right" vertical="center" wrapText="1"/>
    </xf>
    <xf numFmtId="0" fontId="41" fillId="3" borderId="92" applyAlignment="1" pivotButton="0" quotePrefix="0" xfId="0">
      <alignment horizontal="center" vertical="center" wrapText="1"/>
    </xf>
    <xf numFmtId="0" fontId="0" fillId="0" borderId="39" applyAlignment="1" pivotButton="0" quotePrefix="0" xfId="0">
      <alignment horizontal="center" vertical="center" wrapText="1"/>
    </xf>
    <xf numFmtId="0" fontId="17" fillId="0" borderId="38" applyAlignment="1" pivotButton="0" quotePrefix="0" xfId="0">
      <alignment horizontal="center" vertical="top" wrapText="1"/>
    </xf>
    <xf numFmtId="167" fontId="60" fillId="0" borderId="53" applyAlignment="1" pivotButton="0" quotePrefix="0" xfId="0">
      <alignment horizontal="right" vertical="center" wrapText="1"/>
    </xf>
    <xf numFmtId="167" fontId="77" fillId="0" borderId="32" applyAlignment="1" pivotButton="0" quotePrefix="0" xfId="0">
      <alignment horizontal="right" vertical="center"/>
    </xf>
    <xf numFmtId="167" fontId="77" fillId="0" borderId="53" applyAlignment="1" pivotButton="0" quotePrefix="0" xfId="0">
      <alignment horizontal="right" vertical="center"/>
    </xf>
    <xf numFmtId="0" fontId="17" fillId="0" borderId="32" applyAlignment="1" pivotButton="0" quotePrefix="0" xfId="0">
      <alignment horizontal="center" vertical="top" wrapText="1"/>
    </xf>
    <xf numFmtId="167" fontId="77" fillId="0" borderId="42" applyAlignment="1" pivotButton="0" quotePrefix="0" xfId="0">
      <alignment horizontal="right" vertical="center"/>
    </xf>
    <xf numFmtId="167" fontId="6" fillId="0" borderId="42" applyAlignment="1" pivotButton="0" quotePrefix="0" xfId="0">
      <alignment horizontal="right" vertical="center"/>
    </xf>
    <xf numFmtId="165" fontId="59" fillId="0" borderId="32" applyAlignment="1" pivotButton="0" quotePrefix="0" xfId="0">
      <alignment horizontal="center" vertical="center"/>
    </xf>
    <xf numFmtId="167" fontId="6" fillId="0" borderId="104" applyAlignment="1" pivotButton="0" quotePrefix="0" xfId="0">
      <alignment horizontal="right" vertical="center"/>
    </xf>
    <xf numFmtId="0" fontId="5" fillId="3" borderId="135" applyAlignment="1" pivotButton="0" quotePrefix="0" xfId="0">
      <alignment horizontal="center" vertical="center" wrapText="1"/>
    </xf>
    <xf numFmtId="165" fontId="6" fillId="0" borderId="2" applyAlignment="1" pivotButton="0" quotePrefix="0" xfId="0">
      <alignment horizontal="center" vertical="center"/>
    </xf>
    <xf numFmtId="164" fontId="4" fillId="0" borderId="0" applyAlignment="1" pivotButton="0" quotePrefix="0" xfId="0">
      <alignment horizontal="left" vertical="center" wrapText="1"/>
    </xf>
    <xf numFmtId="164" fontId="16" fillId="0" borderId="32" applyAlignment="1" pivotButton="0" quotePrefix="0" xfId="0">
      <alignment horizontal="center" vertical="center"/>
    </xf>
    <xf numFmtId="167" fontId="59" fillId="0" borderId="32" applyAlignment="1" pivotButton="0" quotePrefix="0" xfId="0">
      <alignment horizontal="center" vertical="center"/>
    </xf>
    <xf numFmtId="167" fontId="20" fillId="0" borderId="53" applyAlignment="1" pivotButton="0" quotePrefix="0" xfId="0">
      <alignment horizontal="center" vertical="center"/>
    </xf>
    <xf numFmtId="0" fontId="5" fillId="3" borderId="137" applyAlignment="1" pivotButton="0" quotePrefix="0" xfId="0">
      <alignment horizontal="right" vertical="center" wrapText="1"/>
    </xf>
    <xf numFmtId="0" fontId="5" fillId="3" borderId="138" applyAlignment="1" pivotButton="0" quotePrefix="0" xfId="0">
      <alignment horizontal="right" vertical="center" wrapText="1"/>
    </xf>
    <xf numFmtId="172" fontId="57" fillId="0" borderId="32" applyAlignment="1" pivotButton="0" quotePrefix="0" xfId="1">
      <alignment horizontal="right" vertical="center" wrapText="1"/>
    </xf>
    <xf numFmtId="172" fontId="17" fillId="0" borderId="32" applyAlignment="1" pivotButton="0" quotePrefix="0" xfId="1">
      <alignment horizontal="center" vertical="center" wrapText="1"/>
    </xf>
    <xf numFmtId="10" fontId="57" fillId="0" borderId="32" applyAlignment="1" pivotButton="0" quotePrefix="0" xfId="0">
      <alignment horizontal="right" vertical="center" wrapText="1"/>
    </xf>
    <xf numFmtId="10" fontId="57" fillId="0" borderId="36" applyAlignment="1" pivotButton="0" quotePrefix="0" xfId="0">
      <alignment horizontal="right" vertical="center" wrapText="1"/>
    </xf>
    <xf numFmtId="172" fontId="47" fillId="0" borderId="32" applyAlignment="1" pivotButton="0" quotePrefix="0" xfId="1">
      <alignment horizontal="right" vertical="center" wrapText="1"/>
    </xf>
    <xf numFmtId="172" fontId="52" fillId="0" borderId="32" applyAlignment="1" pivotButton="0" quotePrefix="0" xfId="1">
      <alignment horizontal="right" vertical="center" wrapText="1"/>
    </xf>
    <xf numFmtId="172" fontId="52" fillId="0" borderId="32" applyAlignment="1" pivotButton="0" quotePrefix="0" xfId="1">
      <alignment horizontal="right" vertical="center" wrapText="1"/>
    </xf>
    <xf numFmtId="3" fontId="58" fillId="0" borderId="53" applyAlignment="1" pivotButton="0" quotePrefix="0" xfId="0">
      <alignment horizontal="right" vertical="center" wrapText="1"/>
    </xf>
    <xf numFmtId="3" fontId="7" fillId="0" borderId="53" applyAlignment="1" pivotButton="0" quotePrefix="0" xfId="0">
      <alignment horizontal="right" vertical="center" wrapText="1"/>
    </xf>
    <xf numFmtId="167" fontId="79" fillId="0" borderId="53" applyAlignment="1" pivotButton="0" quotePrefix="0" xfId="0">
      <alignment horizontal="right" vertical="center" wrapText="1"/>
    </xf>
    <xf numFmtId="178" fontId="50" fillId="0" borderId="32" applyAlignment="1" pivotButton="0" quotePrefix="0" xfId="5">
      <alignment horizontal="right" vertical="center" wrapText="1"/>
    </xf>
    <xf numFmtId="0" fontId="5" fillId="3" borderId="33" applyAlignment="1" pivotButton="0" quotePrefix="0" xfId="0">
      <alignment vertical="center" wrapText="1"/>
    </xf>
    <xf numFmtId="167" fontId="50" fillId="0" borderId="53" applyAlignment="1" pivotButton="0" quotePrefix="0" xfId="0">
      <alignment horizontal="right" vertical="center" wrapText="1"/>
    </xf>
    <xf numFmtId="178" fontId="17" fillId="0" borderId="32" applyAlignment="1" pivotButton="0" quotePrefix="0" xfId="5">
      <alignment horizontal="left" vertical="center" wrapText="1"/>
    </xf>
    <xf numFmtId="178" fontId="17" fillId="0" borderId="53" applyAlignment="1" pivotButton="0" quotePrefix="0" xfId="5">
      <alignment horizontal="left" vertical="center" wrapText="1"/>
    </xf>
    <xf numFmtId="10" fontId="50" fillId="0" borderId="36" applyAlignment="1" pivotButton="0" quotePrefix="0" xfId="0">
      <alignment horizontal="right" vertical="center" wrapText="1"/>
    </xf>
    <xf numFmtId="10" fontId="50" fillId="0" borderId="38" applyAlignment="1" pivotButton="0" quotePrefix="0" xfId="0">
      <alignment horizontal="right" vertical="center" wrapText="1"/>
    </xf>
    <xf numFmtId="176" fontId="0" fillId="0" borderId="40" applyAlignment="1" pivotButton="0" quotePrefix="0" xfId="5">
      <alignment horizontal="right" vertical="center" wrapText="1"/>
    </xf>
    <xf numFmtId="176" fontId="0" fillId="0" borderId="36" applyAlignment="1" pivotButton="0" quotePrefix="0" xfId="5">
      <alignment horizontal="right" vertical="center" wrapText="1"/>
    </xf>
    <xf numFmtId="176" fontId="0" fillId="0" borderId="38" applyAlignment="1" pivotButton="0" quotePrefix="0" xfId="5">
      <alignment horizontal="right" vertical="center" wrapText="1"/>
    </xf>
    <xf numFmtId="167" fontId="68" fillId="0" borderId="42" applyAlignment="1" pivotButton="0" quotePrefix="0" xfId="0">
      <alignment horizontal="right" vertical="center" wrapText="1"/>
    </xf>
    <xf numFmtId="164" fontId="68" fillId="0" borderId="42" applyAlignment="1" pivotButton="0" quotePrefix="0" xfId="0">
      <alignment horizontal="right" vertical="center" wrapText="1"/>
    </xf>
    <xf numFmtId="167" fontId="68" fillId="0" borderId="32" applyAlignment="1" pivotButton="0" quotePrefix="0" xfId="0">
      <alignment horizontal="right" vertical="center" wrapText="1"/>
    </xf>
    <xf numFmtId="164" fontId="68" fillId="0" borderId="32" applyAlignment="1" pivotButton="0" quotePrefix="0" xfId="0">
      <alignment horizontal="right" vertical="center" wrapText="1"/>
    </xf>
    <xf numFmtId="0" fontId="17" fillId="0" borderId="32" applyAlignment="1" pivotButton="0" quotePrefix="0" xfId="0">
      <alignment horizontal="center" vertical="center" wrapText="1"/>
    </xf>
    <xf numFmtId="0" fontId="41" fillId="3" borderId="40" applyAlignment="1" pivotButton="0" quotePrefix="0" xfId="0">
      <alignment horizontal="center" vertical="center" wrapText="1"/>
    </xf>
    <xf numFmtId="0" fontId="17" fillId="0" borderId="86" applyAlignment="1" pivotButton="0" quotePrefix="0" xfId="0">
      <alignment horizontal="center" vertical="center" wrapText="1"/>
    </xf>
    <xf numFmtId="0" fontId="17" fillId="0" borderId="85" applyAlignment="1" pivotButton="0" quotePrefix="0" xfId="0">
      <alignment horizontal="center" vertical="center" wrapText="1"/>
    </xf>
    <xf numFmtId="3" fontId="7" fillId="0" borderId="87" applyAlignment="1" pivotButton="0" quotePrefix="0" xfId="0">
      <alignment horizontal="right" vertical="center" wrapText="1"/>
    </xf>
    <xf numFmtId="0" fontId="5" fillId="3" borderId="140" applyAlignment="1" pivotButton="0" quotePrefix="0" xfId="0">
      <alignment vertical="center" wrapText="1"/>
    </xf>
    <xf numFmtId="167" fontId="79" fillId="0" borderId="32" applyAlignment="1" pivotButton="0" quotePrefix="0" xfId="0">
      <alignment horizontal="right" vertical="center" wrapText="1"/>
    </xf>
    <xf numFmtId="0" fontId="5" fillId="3" borderId="141" applyAlignment="1" pivotButton="0" quotePrefix="0" xfId="0">
      <alignment horizontal="right" vertical="center" wrapText="1"/>
    </xf>
    <xf numFmtId="176" fontId="0" fillId="0" borderId="80" applyAlignment="1" pivotButton="0" quotePrefix="0" xfId="5">
      <alignment horizontal="right" vertical="center" wrapText="1"/>
    </xf>
    <xf numFmtId="176" fontId="0" fillId="0" borderId="41" applyAlignment="1" pivotButton="0" quotePrefix="0" xfId="5">
      <alignment horizontal="right" vertical="center" wrapText="1"/>
    </xf>
    <xf numFmtId="176" fontId="0" fillId="0" borderId="87" applyAlignment="1" pivotButton="0" quotePrefix="0" xfId="5">
      <alignment horizontal="right" vertical="center" wrapText="1"/>
    </xf>
    <xf numFmtId="165" fontId="7" fillId="0" borderId="32" applyAlignment="1" pivotButton="0" quotePrefix="0" xfId="0">
      <alignment horizontal="center" vertical="center"/>
    </xf>
    <xf numFmtId="165" fontId="6" fillId="0" borderId="87" applyAlignment="1" pivotButton="0" quotePrefix="0" xfId="0">
      <alignment horizontal="center" vertical="center"/>
    </xf>
    <xf numFmtId="9" fontId="55" fillId="0" borderId="42" applyAlignment="1" pivotButton="0" quotePrefix="0" xfId="0">
      <alignment horizontal="right" vertical="center" wrapText="1"/>
    </xf>
    <xf numFmtId="9" fontId="55" fillId="0" borderId="32" applyAlignment="1" pivotButton="0" quotePrefix="0" xfId="0">
      <alignment horizontal="right" vertical="center" wrapText="1"/>
    </xf>
    <xf numFmtId="9" fontId="55" fillId="0" borderId="53" applyAlignment="1" pivotButton="0" quotePrefix="0" xfId="0">
      <alignment horizontal="right" vertical="center" wrapText="1"/>
    </xf>
    <xf numFmtId="3" fontId="50" fillId="0" borderId="32" applyAlignment="1" pivotButton="0" quotePrefix="0" xfId="0">
      <alignment horizontal="center" vertical="center" wrapText="1"/>
    </xf>
    <xf numFmtId="176" fontId="68" fillId="0" borderId="36" applyAlignment="1" pivotButton="0" quotePrefix="0" xfId="5">
      <alignment horizontal="center" vertical="center" wrapText="1"/>
    </xf>
    <xf numFmtId="176" fontId="0" fillId="0" borderId="38" applyAlignment="1" pivotButton="0" quotePrefix="0" xfId="5">
      <alignment horizontal="center" vertical="center" wrapText="1"/>
    </xf>
    <xf numFmtId="0" fontId="41" fillId="3" borderId="106" applyAlignment="1" pivotButton="0" quotePrefix="0" xfId="0">
      <alignment horizontal="center" vertical="center" wrapText="1"/>
    </xf>
    <xf numFmtId="3" fontId="50" fillId="0" borderId="42" applyAlignment="1" pivotButton="0" quotePrefix="0" xfId="0">
      <alignment horizontal="center" vertical="center" wrapText="1"/>
    </xf>
    <xf numFmtId="0" fontId="0" fillId="0" borderId="41" applyAlignment="1" pivotButton="0" quotePrefix="0" xfId="0">
      <alignment horizontal="right" vertical="center"/>
    </xf>
    <xf numFmtId="165" fontId="53" fillId="0" borderId="32" applyAlignment="1" pivotButton="0" quotePrefix="0" xfId="0">
      <alignment horizontal="right" vertical="center"/>
    </xf>
    <xf numFmtId="0" fontId="41" fillId="3" borderId="142" applyAlignment="1" pivotButton="0" quotePrefix="0" xfId="0">
      <alignment horizontal="right" vertical="center" wrapText="1"/>
    </xf>
    <xf numFmtId="10" fontId="60" fillId="0" borderId="80" applyAlignment="1" pivotButton="0" quotePrefix="0" xfId="1">
      <alignment horizontal="right" vertical="center" wrapText="1"/>
    </xf>
    <xf numFmtId="172" fontId="60" fillId="0" borderId="41" applyAlignment="1" pivotButton="0" quotePrefix="0" xfId="1">
      <alignment horizontal="right" vertical="center" wrapText="1"/>
    </xf>
    <xf numFmtId="10" fontId="55" fillId="0" borderId="41" applyAlignment="1" pivotButton="0" quotePrefix="0" xfId="0">
      <alignment horizontal="right" vertical="center" wrapText="1"/>
    </xf>
    <xf numFmtId="2" fontId="68" fillId="0" borderId="41" applyAlignment="1" pivotButton="0" quotePrefix="0" xfId="0">
      <alignment horizontal="right" vertical="center" wrapText="1"/>
    </xf>
    <xf numFmtId="171" fontId="60" fillId="0" borderId="41" applyAlignment="1" pivotButton="0" quotePrefix="0" xfId="0">
      <alignment horizontal="right" vertical="center" wrapText="1"/>
    </xf>
    <xf numFmtId="10" fontId="60" fillId="0" borderId="130" applyAlignment="1" pivotButton="0" quotePrefix="0" xfId="1">
      <alignment horizontal="right" vertical="center" wrapText="1"/>
    </xf>
    <xf numFmtId="171" fontId="55" fillId="0" borderId="130" applyAlignment="1" pivotButton="0" quotePrefix="0" xfId="0">
      <alignment horizontal="right" vertical="center" wrapText="1"/>
    </xf>
    <xf numFmtId="172" fontId="52" fillId="0" borderId="41" applyAlignment="1" pivotButton="0" quotePrefix="0" xfId="0">
      <alignment horizontal="right" vertical="top" wrapText="1"/>
    </xf>
    <xf numFmtId="172" fontId="51" fillId="0" borderId="87" applyAlignment="1" pivotButton="0" quotePrefix="0" xfId="0">
      <alignment horizontal="right" vertical="top" wrapText="1"/>
    </xf>
    <xf numFmtId="0" fontId="50" fillId="0" borderId="80" applyAlignment="1" pivotButton="0" quotePrefix="0" xfId="0">
      <alignment horizontal="center" vertical="center" wrapText="1"/>
    </xf>
    <xf numFmtId="0" fontId="50" fillId="0" borderId="41" applyAlignment="1" pivotButton="0" quotePrefix="0" xfId="0">
      <alignment horizontal="center" vertical="center" wrapText="1"/>
    </xf>
    <xf numFmtId="0" fontId="50" fillId="0" borderId="87" applyAlignment="1" pivotButton="0" quotePrefix="0" xfId="0">
      <alignment horizontal="center" vertical="center" wrapText="1"/>
    </xf>
    <xf numFmtId="0" fontId="68" fillId="0" borderId="39" applyAlignment="1" pivotButton="0" quotePrefix="0" xfId="0">
      <alignment vertical="center" wrapText="1"/>
    </xf>
    <xf numFmtId="0" fontId="68" fillId="0" borderId="35" applyAlignment="1" pivotButton="0" quotePrefix="0" xfId="0">
      <alignment vertical="center" wrapText="1"/>
    </xf>
    <xf numFmtId="0" fontId="68" fillId="0" borderId="37" applyAlignment="1" pivotButton="0" quotePrefix="0" xfId="0">
      <alignment vertical="center" wrapText="1"/>
    </xf>
    <xf numFmtId="172" fontId="57" fillId="0" borderId="53" applyAlignment="1" pivotButton="0" quotePrefix="0" xfId="0">
      <alignment horizontal="center" vertical="center" wrapText="1"/>
    </xf>
    <xf numFmtId="0" fontId="41" fillId="3" borderId="141" applyAlignment="1" pivotButton="0" quotePrefix="0" xfId="0">
      <alignment horizontal="center" vertical="center" wrapText="1"/>
    </xf>
    <xf numFmtId="172" fontId="57" fillId="0" borderId="41" applyAlignment="1" pivotButton="0" quotePrefix="0" xfId="0">
      <alignment horizontal="center" vertical="center" wrapText="1"/>
    </xf>
    <xf numFmtId="172" fontId="57" fillId="0" borderId="87" applyAlignment="1" pivotButton="0" quotePrefix="0" xfId="0">
      <alignment horizontal="center" vertical="center" wrapText="1"/>
    </xf>
    <xf numFmtId="0" fontId="68" fillId="0" borderId="0" applyAlignment="1" pivotButton="0" quotePrefix="0" xfId="0">
      <alignment vertical="center"/>
    </xf>
    <xf numFmtId="10" fontId="17" fillId="0" borderId="0" applyAlignment="1" pivotButton="0" quotePrefix="0" xfId="1">
      <alignment horizontal="center" vertical="center" wrapText="1"/>
    </xf>
    <xf numFmtId="0" fontId="5" fillId="3" borderId="142" applyAlignment="1" pivotButton="0" quotePrefix="0" xfId="0">
      <alignment horizontal="right" vertical="center" wrapText="1"/>
    </xf>
    <xf numFmtId="165" fontId="59" fillId="0" borderId="80" applyAlignment="1" pivotButton="0" quotePrefix="0" xfId="0">
      <alignment horizontal="right" vertical="center"/>
    </xf>
    <xf numFmtId="166" fontId="59" fillId="0" borderId="41" applyAlignment="1" pivotButton="0" quotePrefix="0" xfId="0">
      <alignment horizontal="right" vertical="center"/>
    </xf>
    <xf numFmtId="169" fontId="6" fillId="0" borderId="41" applyAlignment="1" pivotButton="0" quotePrefix="0" xfId="0">
      <alignment horizontal="right" vertical="center"/>
    </xf>
    <xf numFmtId="165" fontId="0" fillId="0" borderId="41" applyAlignment="1" pivotButton="0" quotePrefix="0" xfId="0">
      <alignment horizontal="right" vertical="center"/>
    </xf>
    <xf numFmtId="168" fontId="7" fillId="0" borderId="87" applyAlignment="1" pivotButton="0" quotePrefix="0" xfId="0">
      <alignment horizontal="right" vertical="center"/>
    </xf>
    <xf numFmtId="167" fontId="59" fillId="0" borderId="1" applyAlignment="1" pivotButton="0" quotePrefix="0" xfId="0">
      <alignment horizontal="right" vertical="center"/>
    </xf>
    <xf numFmtId="164" fontId="59" fillId="0" borderId="1" applyAlignment="1" pivotButton="0" quotePrefix="0" xfId="0">
      <alignment horizontal="right" vertical="center"/>
    </xf>
    <xf numFmtId="0" fontId="5" fillId="3" borderId="135" applyAlignment="1" pivotButton="0" quotePrefix="0" xfId="0">
      <alignment horizontal="right" vertical="center" wrapText="1"/>
    </xf>
    <xf numFmtId="178" fontId="0" fillId="0" borderId="32" applyAlignment="1" pivotButton="0" quotePrefix="0" xfId="5">
      <alignment horizontal="right" vertical="center" wrapText="1"/>
    </xf>
    <xf numFmtId="178" fontId="26" fillId="0" borderId="32" applyAlignment="1" pivotButton="0" quotePrefix="0" xfId="5">
      <alignment horizontal="right" vertical="center" wrapText="1"/>
    </xf>
    <xf numFmtId="176" fontId="26" fillId="0" borderId="32" applyAlignment="1" pivotButton="0" quotePrefix="0" xfId="5">
      <alignment horizontal="right" vertical="center" wrapText="1"/>
    </xf>
    <xf numFmtId="179" fontId="17" fillId="0" borderId="0" applyAlignment="1" pivotButton="0" quotePrefix="0" xfId="5">
      <alignment horizontal="left" vertical="top" wrapText="1"/>
    </xf>
    <xf numFmtId="178" fontId="0" fillId="0" borderId="42" applyAlignment="1" pivotButton="0" quotePrefix="0" xfId="5">
      <alignment horizontal="right" vertical="center" wrapText="1"/>
    </xf>
    <xf numFmtId="178" fontId="26" fillId="0" borderId="53" applyAlignment="1" pivotButton="0" quotePrefix="0" xfId="5">
      <alignment horizontal="right" vertical="center" wrapText="1"/>
    </xf>
    <xf numFmtId="179" fontId="17" fillId="0" borderId="0" applyAlignment="1" pivotButton="0" quotePrefix="0" xfId="0">
      <alignment horizontal="center" vertical="center" wrapText="1"/>
    </xf>
    <xf numFmtId="176" fontId="0" fillId="0" borderId="42" applyAlignment="1" pivotButton="0" quotePrefix="0" xfId="5">
      <alignment horizontal="right" vertical="center" wrapText="1"/>
    </xf>
    <xf numFmtId="176" fontId="26" fillId="0" borderId="42" applyAlignment="1" pivotButton="0" quotePrefix="0" xfId="5">
      <alignment horizontal="right" vertical="center" wrapText="1"/>
    </xf>
    <xf numFmtId="172" fontId="26" fillId="0" borderId="32" applyAlignment="1" pivotButton="0" quotePrefix="0" xfId="1">
      <alignment horizontal="right" vertical="center" wrapText="1"/>
    </xf>
    <xf numFmtId="172" fontId="55" fillId="0" borderId="42" applyAlignment="1" pivotButton="0" quotePrefix="0" xfId="0">
      <alignment horizontal="right" vertical="center" wrapText="1"/>
    </xf>
    <xf numFmtId="172" fontId="55" fillId="0" borderId="32" applyAlignment="1" pivotButton="0" quotePrefix="0" xfId="0">
      <alignment horizontal="right" vertical="center" wrapText="1"/>
    </xf>
    <xf numFmtId="172" fontId="26" fillId="0" borderId="32" applyAlignment="1" pivotButton="0" quotePrefix="0" xfId="0">
      <alignment horizontal="right" vertical="center" wrapText="1"/>
    </xf>
    <xf numFmtId="172" fontId="26" fillId="0" borderId="53" applyAlignment="1" pivotButton="0" quotePrefix="0" xfId="0">
      <alignment horizontal="right" vertical="center" wrapText="1"/>
    </xf>
    <xf numFmtId="0" fontId="17" fillId="0" borderId="0" applyAlignment="1" pivotButton="0" quotePrefix="0" xfId="0">
      <alignment horizontal="right" vertical="center" wrapText="1"/>
    </xf>
    <xf numFmtId="172" fontId="60" fillId="0" borderId="32" applyAlignment="1" pivotButton="0" quotePrefix="0" xfId="0">
      <alignment horizontal="right" vertical="center" wrapText="1"/>
    </xf>
    <xf numFmtId="167" fontId="0" fillId="0" borderId="32" applyAlignment="1" pivotButton="0" quotePrefix="0" xfId="0">
      <alignment horizontal="right" vertical="center" wrapText="1"/>
    </xf>
    <xf numFmtId="167" fontId="17" fillId="0" borderId="0" applyAlignment="1" pivotButton="0" quotePrefix="0" xfId="0">
      <alignment horizontal="center" vertical="center" wrapText="1"/>
    </xf>
    <xf numFmtId="164" fontId="17" fillId="0" borderId="0" applyAlignment="1" pivotButton="0" quotePrefix="0" xfId="0">
      <alignment horizontal="center" vertical="center" wrapText="1"/>
    </xf>
    <xf numFmtId="10" fontId="0" fillId="0" borderId="32" applyAlignment="1" pivotButton="0" quotePrefix="0" xfId="1">
      <alignment horizontal="right" vertical="center" wrapText="1"/>
    </xf>
    <xf numFmtId="176" fontId="17" fillId="0" borderId="0" applyAlignment="1" pivotButton="0" quotePrefix="0" xfId="0">
      <alignment horizontal="center" vertical="center" wrapText="1"/>
    </xf>
    <xf numFmtId="172" fontId="60" fillId="0" borderId="32" applyAlignment="1" pivotButton="0" quotePrefix="0" xfId="1">
      <alignment horizontal="right" vertical="center" wrapText="1"/>
    </xf>
    <xf numFmtId="165" fontId="53" fillId="0" borderId="1" applyAlignment="1" pivotButton="0" quotePrefix="0" xfId="0">
      <alignment horizontal="right" vertical="center"/>
    </xf>
    <xf numFmtId="165" fontId="53" fillId="0" borderId="17" applyAlignment="1" pivotButton="0" quotePrefix="0" xfId="0">
      <alignment horizontal="right" vertical="center"/>
    </xf>
    <xf numFmtId="167" fontId="59" fillId="0" borderId="2" applyAlignment="1" pivotButton="0" quotePrefix="0" xfId="0">
      <alignment horizontal="right" vertical="center"/>
    </xf>
    <xf numFmtId="165" fontId="20" fillId="0" borderId="2" applyAlignment="1" pivotButton="0" quotePrefix="0" xfId="0">
      <alignment horizontal="right" vertical="center"/>
    </xf>
    <xf numFmtId="167" fontId="6" fillId="0" borderId="2" applyAlignment="1" pivotButton="0" quotePrefix="0" xfId="0">
      <alignment horizontal="right" vertical="center"/>
    </xf>
    <xf numFmtId="167" fontId="20" fillId="0" borderId="2" applyAlignment="1" pivotButton="0" quotePrefix="0" xfId="0">
      <alignment horizontal="right" vertical="center"/>
    </xf>
    <xf numFmtId="0" fontId="0" fillId="0" borderId="2" applyAlignment="1" pivotButton="0" quotePrefix="0" xfId="0">
      <alignment vertical="center"/>
    </xf>
    <xf numFmtId="0" fontId="0" fillId="0" borderId="136" applyAlignment="1" pivotButton="0" quotePrefix="0" xfId="0">
      <alignment vertical="center"/>
    </xf>
    <xf numFmtId="172" fontId="0" fillId="0" borderId="32" pivotButton="0" quotePrefix="0" xfId="1"/>
    <xf numFmtId="172" fontId="0" fillId="0" borderId="32" applyAlignment="1" pivotButton="0" quotePrefix="0" xfId="1">
      <alignment horizontal="right"/>
    </xf>
    <xf numFmtId="165" fontId="60" fillId="0" borderId="32" applyAlignment="1" pivotButton="0" quotePrefix="0" xfId="0">
      <alignment horizontal="right" vertical="center" wrapText="1"/>
    </xf>
    <xf numFmtId="172" fontId="60" fillId="0" borderId="32" pivotButton="0" quotePrefix="0" xfId="0"/>
    <xf numFmtId="172" fontId="55" fillId="0" borderId="32" applyAlignment="1" pivotButton="0" quotePrefix="0" xfId="1">
      <alignment horizontal="right" vertical="center" wrapText="1"/>
    </xf>
    <xf numFmtId="172" fontId="68" fillId="0" borderId="32" applyAlignment="1" pivotButton="0" quotePrefix="0" xfId="1">
      <alignment horizontal="right" vertical="center" wrapText="1"/>
    </xf>
    <xf numFmtId="172" fontId="17" fillId="0" borderId="0" applyAlignment="1" pivotButton="0" quotePrefix="0" xfId="0">
      <alignment horizontal="left" vertical="top" wrapText="1"/>
    </xf>
    <xf numFmtId="172" fontId="75" fillId="0" borderId="32" applyAlignment="1" pivotButton="0" quotePrefix="0" xfId="1">
      <alignment horizontal="right" vertical="center" wrapText="1"/>
    </xf>
    <xf numFmtId="10" fontId="17" fillId="0" borderId="0" applyAlignment="1" pivotButton="0" quotePrefix="0" xfId="1">
      <alignment horizontal="left" vertical="top" wrapText="1"/>
    </xf>
    <xf numFmtId="180" fontId="17" fillId="0" borderId="0" applyAlignment="1" pivotButton="0" quotePrefix="0" xfId="1">
      <alignment horizontal="left" vertical="top" wrapText="1"/>
    </xf>
    <xf numFmtId="180" fontId="17" fillId="0" borderId="0" applyAlignment="1" pivotButton="0" quotePrefix="0" xfId="1">
      <alignment horizontal="center" vertical="top" wrapText="1"/>
    </xf>
    <xf numFmtId="3" fontId="51" fillId="0" borderId="36" applyAlignment="1" pivotButton="0" quotePrefix="0" xfId="0">
      <alignment horizontal="right" vertical="center" wrapText="1"/>
    </xf>
    <xf numFmtId="167" fontId="51" fillId="0" borderId="36" applyAlignment="1" pivotButton="0" quotePrefix="0" xfId="0">
      <alignment horizontal="right" vertical="center" wrapText="1"/>
    </xf>
    <xf numFmtId="164" fontId="60" fillId="0" borderId="32" applyAlignment="1" pivotButton="0" quotePrefix="0" xfId="0">
      <alignment horizontal="right" vertical="center" wrapText="1"/>
    </xf>
    <xf numFmtId="0" fontId="0" fillId="0" borderId="2" applyAlignment="1" pivotButton="0" quotePrefix="0" xfId="0">
      <alignment horizontal="center" vertical="center"/>
    </xf>
    <xf numFmtId="0" fontId="0" fillId="0" borderId="136" applyAlignment="1" pivotButton="0" quotePrefix="0" xfId="0">
      <alignment horizontal="center" vertical="center"/>
    </xf>
    <xf numFmtId="172" fontId="0" fillId="0" borderId="2" applyAlignment="1" pivotButton="0" quotePrefix="0" xfId="1">
      <alignment horizontal="right" vertical="center"/>
    </xf>
    <xf numFmtId="0" fontId="0" fillId="0" borderId="2" applyAlignment="1" pivotButton="0" quotePrefix="0" xfId="0">
      <alignment horizontal="right" vertical="center"/>
    </xf>
    <xf numFmtId="0" fontId="0" fillId="0" borderId="136" applyAlignment="1" pivotButton="0" quotePrefix="0" xfId="0">
      <alignment horizontal="right" vertical="center"/>
    </xf>
    <xf numFmtId="167" fontId="60" fillId="0" borderId="32" applyAlignment="1" pivotButton="0" quotePrefix="0" xfId="0">
      <alignment horizontal="right"/>
    </xf>
    <xf numFmtId="0" fontId="4" fillId="0" borderId="1" applyAlignment="1" pivotButton="0" quotePrefix="0" xfId="0">
      <alignment horizontal="right" vertical="center"/>
    </xf>
    <xf numFmtId="0" fontId="4" fillId="0" borderId="17" applyAlignment="1" pivotButton="0" quotePrefix="0" xfId="0">
      <alignment horizontal="right" vertical="center"/>
    </xf>
    <xf numFmtId="9" fontId="0" fillId="0" borderId="32" applyAlignment="1" pivotButton="0" quotePrefix="0" xfId="1">
      <alignment horizontal="right" vertical="center" wrapText="1"/>
    </xf>
    <xf numFmtId="0" fontId="41" fillId="3" borderId="32" applyAlignment="1" pivotButton="0" quotePrefix="0" xfId="0">
      <alignment horizontal="right" vertical="center" wrapText="1"/>
    </xf>
    <xf numFmtId="0" fontId="17" fillId="0" borderId="32" applyAlignment="1" pivotButton="0" quotePrefix="0" xfId="0">
      <alignment horizontal="right" vertical="center" wrapText="1"/>
    </xf>
    <xf numFmtId="165" fontId="59" fillId="0" borderId="1" applyAlignment="1" pivotButton="0" quotePrefix="0" xfId="0">
      <alignment horizontal="right" vertical="center"/>
    </xf>
    <xf numFmtId="167" fontId="50" fillId="0" borderId="32" applyAlignment="1" pivotButton="0" quotePrefix="0" xfId="0">
      <alignment vertical="center" wrapText="1"/>
    </xf>
    <xf numFmtId="167" fontId="51" fillId="0" borderId="32" applyAlignment="1" pivotButton="0" quotePrefix="0" xfId="0">
      <alignment vertical="center" wrapText="1"/>
    </xf>
    <xf numFmtId="172" fontId="50" fillId="0" borderId="32" applyAlignment="1" pivotButton="0" quotePrefix="0" xfId="0">
      <alignment vertical="center" wrapText="1"/>
    </xf>
    <xf numFmtId="172" fontId="51" fillId="0" borderId="32" applyAlignment="1" pivotButton="0" quotePrefix="0" xfId="0">
      <alignment vertical="center" wrapText="1"/>
    </xf>
    <xf numFmtId="167" fontId="50" fillId="0" borderId="32" pivotButton="0" quotePrefix="0" xfId="0"/>
    <xf numFmtId="167" fontId="0" fillId="0" borderId="32" applyAlignment="1" pivotButton="0" quotePrefix="0" xfId="0">
      <alignment horizontal="right"/>
    </xf>
    <xf numFmtId="167" fontId="26" fillId="0" borderId="32" applyAlignment="1" pivotButton="0" quotePrefix="0" xfId="0">
      <alignment horizontal="right"/>
    </xf>
    <xf numFmtId="167" fontId="58" fillId="0" borderId="32" pivotButton="0" quotePrefix="0" xfId="0"/>
    <xf numFmtId="167" fontId="26" fillId="0" borderId="32" applyAlignment="1" pivotButton="0" quotePrefix="0" xfId="0">
      <alignment horizontal="right" vertical="center" wrapText="1"/>
    </xf>
    <xf numFmtId="0" fontId="60" fillId="0" borderId="32" applyAlignment="1" pivotButton="0" quotePrefix="0" xfId="0">
      <alignment horizontal="right" vertical="center" wrapText="1"/>
    </xf>
    <xf numFmtId="176" fontId="26" fillId="0" borderId="32" applyAlignment="1" pivotButton="0" quotePrefix="0" xfId="5">
      <alignment horizontal="right"/>
    </xf>
    <xf numFmtId="0" fontId="55" fillId="11" borderId="32" applyAlignment="1" pivotButton="0" quotePrefix="0" xfId="0">
      <alignment horizontal="right" vertical="center" wrapText="1"/>
    </xf>
    <xf numFmtId="0" fontId="0" fillId="11" borderId="32" applyAlignment="1" pivotButton="0" quotePrefix="0" xfId="0">
      <alignment horizontal="right" vertical="center" wrapText="1"/>
    </xf>
    <xf numFmtId="0" fontId="26" fillId="11" borderId="32" applyAlignment="1" pivotButton="0" quotePrefix="0" xfId="0">
      <alignment horizontal="right"/>
    </xf>
    <xf numFmtId="167" fontId="26" fillId="0" borderId="32" applyAlignment="1" pivotButton="0" quotePrefix="0" xfId="5">
      <alignment horizontal="right"/>
    </xf>
    <xf numFmtId="167" fontId="80" fillId="0" borderId="32" applyAlignment="1" pivotButton="0" quotePrefix="0" xfId="0">
      <alignment horizontal="right" vertical="center" wrapText="1"/>
    </xf>
    <xf numFmtId="0" fontId="0" fillId="0" borderId="9" applyAlignment="1" pivotButton="0" quotePrefix="0" xfId="0">
      <alignment horizontal="center" vertical="center"/>
    </xf>
    <xf numFmtId="0" fontId="0" fillId="0" borderId="9" applyAlignment="1" pivotButton="0" quotePrefix="0" xfId="0">
      <alignment horizontal="right" vertical="center"/>
    </xf>
    <xf numFmtId="0" fontId="4" fillId="0" borderId="6" applyAlignment="1" pivotButton="0" quotePrefix="0" xfId="0">
      <alignment horizontal="center" vertical="center"/>
    </xf>
    <xf numFmtId="0" fontId="0" fillId="0" borderId="6" applyAlignment="1" pivotButton="0" quotePrefix="0" xfId="0">
      <alignment horizontal="center" vertical="center"/>
    </xf>
    <xf numFmtId="10" fontId="0" fillId="0" borderId="32" applyAlignment="1" pivotButton="0" quotePrefix="0" xfId="1">
      <alignment horizontal="center" vertical="center"/>
    </xf>
    <xf numFmtId="0" fontId="0" fillId="0" borderId="144" applyAlignment="1" pivotButton="0" quotePrefix="0" xfId="0">
      <alignment horizontal="center" vertical="center"/>
    </xf>
    <xf numFmtId="178" fontId="0" fillId="11" borderId="32" applyAlignment="1" pivotButton="0" quotePrefix="0" xfId="5">
      <alignment horizontal="right" vertical="center" wrapText="1"/>
    </xf>
    <xf numFmtId="168" fontId="68" fillId="0" borderId="32" applyAlignment="1" pivotButton="0" quotePrefix="0" xfId="5">
      <alignment horizontal="right" vertical="center" wrapText="1"/>
    </xf>
    <xf numFmtId="167" fontId="8" fillId="0" borderId="17" applyAlignment="1" pivotButton="0" quotePrefix="0" xfId="0">
      <alignment horizontal="right" vertical="center"/>
    </xf>
    <xf numFmtId="178" fontId="60" fillId="0" borderId="32" applyAlignment="1" pivotButton="0" quotePrefix="0" xfId="5">
      <alignment horizontal="right" vertical="center" wrapText="1"/>
    </xf>
    <xf numFmtId="0" fontId="0" fillId="11" borderId="32" applyAlignment="1" pivotButton="0" quotePrefix="0" xfId="0">
      <alignment horizontal="right"/>
    </xf>
    <xf numFmtId="167" fontId="60" fillId="0" borderId="32" applyAlignment="1" pivotButton="0" quotePrefix="0" xfId="5">
      <alignment horizontal="right" vertical="center" wrapText="1"/>
    </xf>
    <xf numFmtId="178" fontId="0" fillId="0" borderId="32" applyAlignment="1" pivotButton="0" quotePrefix="0" xfId="0">
      <alignment horizontal="right" vertical="center" wrapText="1"/>
    </xf>
    <xf numFmtId="176" fontId="26" fillId="0" borderId="32" applyAlignment="1" pivotButton="0" quotePrefix="0" xfId="0">
      <alignment horizontal="right" vertical="center" wrapText="1"/>
    </xf>
    <xf numFmtId="167" fontId="0" fillId="0" borderId="32" applyAlignment="1" pivotButton="0" quotePrefix="0" xfId="0">
      <alignment horizontal="right" vertical="center"/>
    </xf>
    <xf numFmtId="166" fontId="60" fillId="0" borderId="32" applyAlignment="1" pivotButton="0" quotePrefix="0" xfId="0">
      <alignment horizontal="right" vertical="center"/>
    </xf>
    <xf numFmtId="166" fontId="20" fillId="0" borderId="2" applyAlignment="1" pivotButton="0" quotePrefix="0" xfId="0">
      <alignment horizontal="right" vertical="center"/>
    </xf>
    <xf numFmtId="166" fontId="6" fillId="0" borderId="2" applyAlignment="1" pivotButton="0" quotePrefix="0" xfId="0">
      <alignment horizontal="right" vertical="center"/>
    </xf>
    <xf numFmtId="167" fontId="20" fillId="0" borderId="136" applyAlignment="1" pivotButton="0" quotePrefix="0" xfId="0">
      <alignment horizontal="right" vertical="center"/>
    </xf>
    <xf numFmtId="49" fontId="50" fillId="0" borderId="32" applyAlignment="1" pivotButton="0" quotePrefix="0" xfId="0">
      <alignment horizontal="right" vertical="center" wrapText="1"/>
    </xf>
    <xf numFmtId="170" fontId="50" fillId="0" borderId="32" applyAlignment="1" pivotButton="0" quotePrefix="0" xfId="0">
      <alignment horizontal="right" vertical="center" wrapText="1"/>
    </xf>
    <xf numFmtId="49" fontId="50" fillId="0" borderId="32" applyAlignment="1" pivotButton="0" quotePrefix="0" xfId="0">
      <alignment horizontal="right"/>
    </xf>
    <xf numFmtId="9" fontId="26" fillId="0" borderId="32" applyAlignment="1" pivotButton="0" quotePrefix="0" xfId="0">
      <alignment horizontal="center" vertical="center" wrapText="1"/>
    </xf>
    <xf numFmtId="49" fontId="20" fillId="0" borderId="1" applyAlignment="1" pivotButton="0" quotePrefix="0" xfId="0">
      <alignment horizontal="right" vertical="center"/>
    </xf>
    <xf numFmtId="165" fontId="59" fillId="0" borderId="2" applyAlignment="1" pivotButton="0" quotePrefix="0" xfId="0">
      <alignment horizontal="right" vertical="center"/>
    </xf>
    <xf numFmtId="165" fontId="53" fillId="0" borderId="2" applyAlignment="1" pivotButton="0" quotePrefix="0" xfId="0">
      <alignment horizontal="right" vertical="center"/>
    </xf>
    <xf numFmtId="165" fontId="6" fillId="0" borderId="2" applyAlignment="1" pivotButton="0" quotePrefix="0" xfId="0">
      <alignment horizontal="right" vertical="center"/>
    </xf>
    <xf numFmtId="49" fontId="20" fillId="0" borderId="2" applyAlignment="1" pivotButton="0" quotePrefix="0" xfId="0">
      <alignment horizontal="right" vertical="center"/>
    </xf>
    <xf numFmtId="168" fontId="53" fillId="0" borderId="17" applyAlignment="1" pivotButton="0" quotePrefix="0" xfId="0">
      <alignment horizontal="right" vertical="center"/>
    </xf>
    <xf numFmtId="9" fontId="55" fillId="0" borderId="32" applyAlignment="1" pivotButton="0" quotePrefix="0" xfId="0">
      <alignment horizontal="center" vertical="center" wrapText="1"/>
    </xf>
    <xf numFmtId="170" fontId="26" fillId="0" borderId="32" applyAlignment="1" pivotButton="0" quotePrefix="0" xfId="0">
      <alignment horizontal="right" vertical="center" wrapText="1"/>
    </xf>
    <xf numFmtId="178" fontId="72" fillId="0" borderId="32" applyAlignment="1" pivotButton="0" quotePrefix="0" xfId="5">
      <alignment horizontal="right" vertical="center"/>
    </xf>
    <xf numFmtId="168" fontId="20" fillId="0" borderId="32" applyAlignment="1" pivotButton="0" quotePrefix="0" xfId="0">
      <alignment horizontal="right" vertical="center"/>
    </xf>
    <xf numFmtId="168" fontId="20" fillId="0" borderId="41" applyAlignment="1" pivotButton="0" quotePrefix="0" xfId="0">
      <alignment horizontal="right" vertical="center"/>
    </xf>
    <xf numFmtId="168" fontId="71" fillId="0" borderId="61" applyAlignment="1" pivotButton="0" quotePrefix="0" xfId="0">
      <alignment horizontal="right" vertical="center"/>
    </xf>
    <xf numFmtId="0" fontId="50" fillId="0" borderId="32" applyAlignment="1" pivotButton="0" quotePrefix="0" xfId="0">
      <alignment horizontal="right" vertical="center" wrapText="1"/>
    </xf>
    <xf numFmtId="171" fontId="51" fillId="0" borderId="32" applyAlignment="1" pivotButton="0" quotePrefix="0" xfId="0">
      <alignment vertical="center" wrapText="1"/>
    </xf>
    <xf numFmtId="3" fontId="51" fillId="0" borderId="32" applyAlignment="1" pivotButton="0" quotePrefix="0" xfId="0">
      <alignment vertical="center" wrapText="1"/>
    </xf>
    <xf numFmtId="3" fontId="51" fillId="0" borderId="32" pivotButton="0" quotePrefix="0" xfId="0"/>
    <xf numFmtId="181" fontId="60" fillId="0" borderId="32" applyAlignment="1" pivotButton="0" quotePrefix="0" xfId="0">
      <alignment horizontal="right" vertical="center" wrapText="1"/>
    </xf>
    <xf numFmtId="0" fontId="6" fillId="0" borderId="42" applyAlignment="1" pivotButton="0" quotePrefix="0" xfId="0">
      <alignment horizontal="left" vertical="center" wrapText="1"/>
    </xf>
    <xf numFmtId="0" fontId="0" fillId="0" borderId="42" applyAlignment="1" pivotButton="0" quotePrefix="0" xfId="0">
      <alignment vertical="center"/>
    </xf>
    <xf numFmtId="0" fontId="0" fillId="0" borderId="143" applyAlignment="1" pivotButton="0" quotePrefix="0" xfId="0">
      <alignment vertical="center"/>
    </xf>
    <xf numFmtId="4" fontId="70" fillId="0" borderId="32" applyAlignment="1" pivotButton="0" quotePrefix="0" xfId="0">
      <alignment horizontal="right" vertical="center" wrapText="1"/>
    </xf>
    <xf numFmtId="168" fontId="0" fillId="0" borderId="32" applyAlignment="1" pivotButton="0" quotePrefix="0" xfId="0">
      <alignment horizontal="right" vertical="center" wrapText="1"/>
    </xf>
    <xf numFmtId="164" fontId="59" fillId="0" borderId="42" applyAlignment="1" pivotButton="0" quotePrefix="0" xfId="0">
      <alignment horizontal="right" vertical="center"/>
    </xf>
    <xf numFmtId="164" fontId="0" fillId="0" borderId="0" applyAlignment="1" pivotButton="0" quotePrefix="0" xfId="0">
      <alignment horizontal="center" vertical="center"/>
    </xf>
    <xf numFmtId="164" fontId="60" fillId="0" borderId="32" applyAlignment="1" pivotButton="0" quotePrefix="0" xfId="0">
      <alignment horizontal="right" vertical="center"/>
    </xf>
    <xf numFmtId="172" fontId="52" fillId="0" borderId="32" applyAlignment="1" pivotButton="0" quotePrefix="0" xfId="0">
      <alignment horizontal="right" vertical="center" wrapText="1"/>
    </xf>
    <xf numFmtId="172" fontId="52" fillId="0" borderId="32" applyAlignment="1" pivotButton="0" quotePrefix="0" xfId="0">
      <alignment vertical="center" wrapText="1"/>
    </xf>
    <xf numFmtId="172" fontId="52" fillId="0" borderId="32" pivotButton="0" quotePrefix="0" xfId="0"/>
    <xf numFmtId="0" fontId="0" fillId="11" borderId="32" applyAlignment="1" pivotButton="0" quotePrefix="0" xfId="0">
      <alignment vertical="center" wrapText="1"/>
    </xf>
    <xf numFmtId="168" fontId="0" fillId="11" borderId="32" applyAlignment="1" pivotButton="0" quotePrefix="0" xfId="0">
      <alignment horizontal="right" vertical="center" wrapText="1"/>
    </xf>
    <xf numFmtId="170" fontId="0" fillId="11" borderId="32" applyAlignment="1" pivotButton="0" quotePrefix="0" xfId="0">
      <alignment horizontal="right" vertical="center" wrapText="1"/>
    </xf>
    <xf numFmtId="171" fontId="51" fillId="0" borderId="80" applyAlignment="1" pivotButton="0" quotePrefix="0" xfId="0">
      <alignment horizontal="center" vertical="center" wrapText="1"/>
    </xf>
    <xf numFmtId="172" fontId="51" fillId="0" borderId="32" applyAlignment="1" pivotButton="0" quotePrefix="0" xfId="0">
      <alignment horizontal="center" vertical="center" wrapText="1"/>
    </xf>
    <xf numFmtId="172" fontId="51" fillId="0" borderId="41" applyAlignment="1" pivotButton="0" quotePrefix="0" xfId="0">
      <alignment horizontal="center" vertical="center" wrapText="1"/>
    </xf>
    <xf numFmtId="171" fontId="51" fillId="0" borderId="41" applyAlignment="1" pivotButton="0" quotePrefix="0" xfId="0">
      <alignment horizontal="center" vertical="center" wrapText="1"/>
    </xf>
    <xf numFmtId="0" fontId="60" fillId="11" borderId="32" applyAlignment="1" pivotButton="0" quotePrefix="0" xfId="0">
      <alignment horizontal="right" vertical="center" wrapText="1"/>
    </xf>
    <xf numFmtId="3" fontId="81" fillId="8" borderId="32" applyAlignment="1" pivotButton="0" quotePrefix="0" xfId="0">
      <alignment horizontal="right" vertical="center" wrapText="1"/>
    </xf>
    <xf numFmtId="3" fontId="50" fillId="8" borderId="32" applyAlignment="1" pivotButton="0" quotePrefix="0" xfId="0">
      <alignment horizontal="right" vertical="center" wrapText="1"/>
    </xf>
    <xf numFmtId="164" fontId="53" fillId="0" borderId="1" applyAlignment="1" pivotButton="0" quotePrefix="0" xfId="0">
      <alignment horizontal="right" vertical="center"/>
    </xf>
    <xf numFmtId="164" fontId="53" fillId="2" borderId="1" applyAlignment="1" pivotButton="0" quotePrefix="0" xfId="0">
      <alignment horizontal="right" vertical="center"/>
    </xf>
    <xf numFmtId="168" fontId="53" fillId="2" borderId="1" applyAlignment="1" pivotButton="0" quotePrefix="0" xfId="0">
      <alignment horizontal="right" vertical="center"/>
    </xf>
    <xf numFmtId="164" fontId="53" fillId="2" borderId="2" applyAlignment="1" pivotButton="0" quotePrefix="0" xfId="0">
      <alignment horizontal="center" vertical="center"/>
    </xf>
    <xf numFmtId="168" fontId="53" fillId="2" borderId="2" applyAlignment="1" pivotButton="0" quotePrefix="0" xfId="0">
      <alignment horizontal="center" vertical="center"/>
    </xf>
    <xf numFmtId="164" fontId="6" fillId="0" borderId="2" applyAlignment="1" pivotButton="0" quotePrefix="0" xfId="0">
      <alignment horizontal="center" vertical="center"/>
    </xf>
    <xf numFmtId="0" fontId="4" fillId="0" borderId="9" applyAlignment="1" pivotButton="0" quotePrefix="0" xfId="0">
      <alignment horizontal="center" vertical="center"/>
    </xf>
    <xf numFmtId="164" fontId="53" fillId="0" borderId="9" applyAlignment="1" pivotButton="0" quotePrefix="0" xfId="0">
      <alignment horizontal="right" vertical="center"/>
    </xf>
    <xf numFmtId="0" fontId="0" fillId="0" borderId="10" applyAlignment="1" pivotButton="0" quotePrefix="0" xfId="0">
      <alignment horizontal="center" vertical="center"/>
    </xf>
    <xf numFmtId="0" fontId="4" fillId="2" borderId="6" applyAlignment="1" pivotButton="0" quotePrefix="0" xfId="0">
      <alignment horizontal="center" vertical="center"/>
    </xf>
    <xf numFmtId="164" fontId="53" fillId="2" borderId="6" applyAlignment="1" pivotButton="0" quotePrefix="0" xfId="0">
      <alignment horizontal="right" vertical="center"/>
    </xf>
    <xf numFmtId="164" fontId="53" fillId="2" borderId="7" applyAlignment="1" pivotButton="0" quotePrefix="0" xfId="0">
      <alignment horizontal="center" vertical="center"/>
    </xf>
    <xf numFmtId="164" fontId="59" fillId="0" borderId="6" applyAlignment="1" pivotButton="0" quotePrefix="0" xfId="0">
      <alignment horizontal="right" vertical="center"/>
    </xf>
    <xf numFmtId="164" fontId="59" fillId="0" borderId="7" applyAlignment="1" pivotButton="0" quotePrefix="0" xfId="0">
      <alignment horizontal="center" vertical="center"/>
    </xf>
    <xf numFmtId="0" fontId="4" fillId="2" borderId="9" applyAlignment="1" pivotButton="0" quotePrefix="0" xfId="0">
      <alignment horizontal="center" vertical="center"/>
    </xf>
    <xf numFmtId="168" fontId="53" fillId="2" borderId="9" applyAlignment="1" pivotButton="0" quotePrefix="0" xfId="0">
      <alignment horizontal="right" vertical="center"/>
    </xf>
    <xf numFmtId="168" fontId="53" fillId="2" borderId="10" applyAlignment="1" pivotButton="0" quotePrefix="0" xfId="0">
      <alignment horizontal="center" vertical="center"/>
    </xf>
    <xf numFmtId="0" fontId="6" fillId="2" borderId="128" applyAlignment="1" pivotButton="0" quotePrefix="0" xfId="0">
      <alignment horizontal="left" vertical="center" wrapText="1"/>
    </xf>
    <xf numFmtId="0" fontId="0" fillId="0" borderId="40" applyAlignment="1" pivotButton="0" quotePrefix="0" xfId="0">
      <alignment vertical="center"/>
    </xf>
    <xf numFmtId="0" fontId="6" fillId="2" borderId="123" applyAlignment="1" pivotButton="0" quotePrefix="0" xfId="0">
      <alignment horizontal="left" vertical="center" wrapText="1"/>
    </xf>
    <xf numFmtId="0" fontId="0" fillId="0" borderId="36" applyAlignment="1" pivotButton="0" quotePrefix="0" xfId="0">
      <alignment vertical="center"/>
    </xf>
    <xf numFmtId="0" fontId="6" fillId="2" borderId="145" applyAlignment="1" pivotButton="0" quotePrefix="0" xfId="0">
      <alignment horizontal="left" vertical="center" wrapText="1"/>
    </xf>
    <xf numFmtId="0" fontId="0" fillId="0" borderId="118" applyAlignment="1" pivotButton="0" quotePrefix="0" xfId="0">
      <alignment vertical="center"/>
    </xf>
    <xf numFmtId="165" fontId="53" fillId="0" borderId="53" applyAlignment="1" pivotButton="0" quotePrefix="0" xfId="0">
      <alignment horizontal="right" vertical="center"/>
    </xf>
    <xf numFmtId="165" fontId="53" fillId="0" borderId="53" applyAlignment="1" pivotButton="0" quotePrefix="0" xfId="0">
      <alignment horizontal="center" vertical="center"/>
    </xf>
    <xf numFmtId="0" fontId="0" fillId="0" borderId="38" applyAlignment="1" pivotButton="0" quotePrefix="0" xfId="0">
      <alignment vertical="center"/>
    </xf>
    <xf numFmtId="0" fontId="6" fillId="0" borderId="145" applyAlignment="1" pivotButton="0" quotePrefix="0" xfId="0">
      <alignment horizontal="left" vertical="center" wrapText="1"/>
    </xf>
    <xf numFmtId="164" fontId="53" fillId="0" borderId="53" applyAlignment="1" pivotButton="0" quotePrefix="0" xfId="0">
      <alignment horizontal="right" vertical="center"/>
    </xf>
    <xf numFmtId="0" fontId="0" fillId="0" borderId="53" applyAlignment="1" pivotButton="0" quotePrefix="0" xfId="0">
      <alignment horizontal="right" vertical="center"/>
    </xf>
    <xf numFmtId="0" fontId="6" fillId="0" borderId="128" applyAlignment="1" pivotButton="0" quotePrefix="0" xfId="0">
      <alignment horizontal="left" vertical="center" wrapText="1"/>
    </xf>
    <xf numFmtId="0" fontId="6" fillId="0" borderId="146" applyAlignment="1" pivotButton="0" quotePrefix="0" xfId="0">
      <alignment horizontal="left" vertical="center" wrapText="1"/>
    </xf>
    <xf numFmtId="0" fontId="4" fillId="0" borderId="147" applyAlignment="1" pivotButton="0" quotePrefix="0" xfId="0">
      <alignment horizontal="center" vertical="center"/>
    </xf>
    <xf numFmtId="167" fontId="6" fillId="0" borderId="147" applyAlignment="1" pivotButton="0" quotePrefix="0" xfId="0">
      <alignment horizontal="right" vertical="center"/>
    </xf>
    <xf numFmtId="167" fontId="6" fillId="0" borderId="148" applyAlignment="1" pivotButton="0" quotePrefix="0" xfId="0">
      <alignment horizontal="center" vertical="center"/>
    </xf>
    <xf numFmtId="0" fontId="0" fillId="0" borderId="55" applyAlignment="1" pivotButton="0" quotePrefix="0" xfId="0">
      <alignment vertical="center"/>
    </xf>
    <xf numFmtId="0" fontId="5" fillId="3" borderId="150" applyAlignment="1" pivotButton="0" quotePrefix="0" xfId="0">
      <alignment horizontal="center" vertical="center" wrapText="1"/>
    </xf>
    <xf numFmtId="0" fontId="5" fillId="3" borderId="151" applyAlignment="1" pivotButton="0" quotePrefix="0" xfId="0">
      <alignment horizontal="center" vertical="center" wrapText="1"/>
    </xf>
    <xf numFmtId="0" fontId="5" fillId="3" borderId="152" applyAlignment="1" pivotButton="0" quotePrefix="0" xfId="0">
      <alignment horizontal="left" vertical="center" wrapText="1"/>
    </xf>
    <xf numFmtId="0" fontId="5" fillId="3" borderId="153" applyAlignment="1" pivotButton="0" quotePrefix="0" xfId="0">
      <alignment horizontal="center" vertical="center" wrapText="1"/>
    </xf>
    <xf numFmtId="0" fontId="5" fillId="3" borderId="153" applyAlignment="1" pivotButton="0" quotePrefix="0" xfId="0">
      <alignment horizontal="right" vertical="center" wrapText="1"/>
    </xf>
    <xf numFmtId="0" fontId="5" fillId="3" borderId="154" applyAlignment="1" pivotButton="0" quotePrefix="0" xfId="0">
      <alignment horizontal="center" vertical="center" wrapText="1"/>
    </xf>
    <xf numFmtId="0" fontId="5" fillId="3" borderId="98" applyAlignment="1" pivotButton="0" quotePrefix="0" xfId="0">
      <alignment horizontal="center" vertical="center" wrapText="1"/>
    </xf>
    <xf numFmtId="0" fontId="20" fillId="0" borderId="155" applyAlignment="1" pivotButton="0" quotePrefix="0" xfId="0">
      <alignment horizontal="left" vertical="center" wrapText="1"/>
    </xf>
    <xf numFmtId="0" fontId="4" fillId="0" borderId="156" applyAlignment="1" pivotButton="0" quotePrefix="0" xfId="0">
      <alignment horizontal="center" vertical="center"/>
    </xf>
    <xf numFmtId="167" fontId="8" fillId="0" borderId="156" applyAlignment="1" pivotButton="0" quotePrefix="0" xfId="0">
      <alignment horizontal="right" vertical="center"/>
    </xf>
    <xf numFmtId="167" fontId="8" fillId="0" borderId="157" applyAlignment="1" pivotButton="0" quotePrefix="0" xfId="0">
      <alignment horizontal="center" vertical="center"/>
    </xf>
    <xf numFmtId="3" fontId="50" fillId="0" borderId="32" applyAlignment="1" pivotButton="0" quotePrefix="0" xfId="0">
      <alignment vertical="center" wrapText="1"/>
    </xf>
    <xf numFmtId="4" fontId="50" fillId="0" borderId="32" applyAlignment="1" pivotButton="0" quotePrefix="0" xfId="0">
      <alignment vertical="center" wrapText="1"/>
    </xf>
    <xf numFmtId="167" fontId="52" fillId="0" borderId="32" applyAlignment="1" pivotButton="0" quotePrefix="0" xfId="0">
      <alignment vertical="center" wrapText="1"/>
    </xf>
    <xf numFmtId="0" fontId="5" fillId="3" borderId="158" applyAlignment="1" pivotButton="0" quotePrefix="0" xfId="0">
      <alignment horizontal="center" vertical="center" wrapText="1"/>
    </xf>
    <xf numFmtId="0" fontId="41" fillId="3" borderId="42" applyAlignment="1" pivotButton="0" quotePrefix="0" xfId="0">
      <alignment horizontal="left" vertical="center" wrapText="1"/>
    </xf>
    <xf numFmtId="0" fontId="41" fillId="3" borderId="42" applyAlignment="1" pivotButton="0" quotePrefix="0" xfId="0">
      <alignment horizontal="right" vertical="center" wrapText="1"/>
    </xf>
    <xf numFmtId="0" fontId="73" fillId="0" borderId="0" applyAlignment="1" pivotButton="0" quotePrefix="0" xfId="0">
      <alignment vertical="center"/>
    </xf>
    <xf numFmtId="0" fontId="74" fillId="0" borderId="0" applyAlignment="1" pivotButton="0" quotePrefix="0" xfId="0">
      <alignment vertical="top"/>
    </xf>
    <xf numFmtId="0" fontId="73" fillId="0" borderId="0" applyAlignment="1" pivotButton="0" quotePrefix="0" xfId="0">
      <alignment vertical="top"/>
    </xf>
    <xf numFmtId="0" fontId="73" fillId="0" borderId="0" applyAlignment="1" pivotButton="0" quotePrefix="0" xfId="0">
      <alignment horizontal="center" vertical="center"/>
    </xf>
    <xf numFmtId="0" fontId="74" fillId="0" borderId="0" applyAlignment="1" pivotButton="0" quotePrefix="0" xfId="0">
      <alignment horizontal="center" vertical="center"/>
    </xf>
    <xf numFmtId="0" fontId="56" fillId="0" borderId="32" applyAlignment="1" pivotButton="0" quotePrefix="0" xfId="0">
      <alignment vertical="center" indent="1"/>
    </xf>
    <xf numFmtId="0" fontId="83" fillId="0" borderId="32" applyAlignment="1" pivotButton="0" quotePrefix="0" xfId="0">
      <alignment horizontal="center" vertical="center"/>
    </xf>
    <xf numFmtId="172" fontId="84" fillId="0" borderId="32" applyAlignment="1" pivotButton="0" quotePrefix="0" xfId="0">
      <alignment horizontal="right" vertical="center"/>
    </xf>
    <xf numFmtId="174" fontId="84" fillId="0" borderId="32" applyAlignment="1" pivotButton="0" quotePrefix="0" xfId="0">
      <alignment horizontal="right" vertical="center"/>
    </xf>
    <xf numFmtId="172" fontId="9" fillId="0" borderId="32" applyAlignment="1" pivotButton="0" quotePrefix="0" xfId="0">
      <alignment horizontal="right" vertical="center"/>
    </xf>
    <xf numFmtId="171" fontId="84" fillId="0" borderId="32" applyAlignment="1" pivotButton="0" quotePrefix="0" xfId="0">
      <alignment horizontal="right" vertical="center"/>
    </xf>
    <xf numFmtId="171" fontId="9" fillId="0" borderId="32" applyAlignment="1" pivotButton="0" quotePrefix="0" xfId="0">
      <alignment horizontal="right" vertical="center"/>
    </xf>
    <xf numFmtId="173" fontId="84" fillId="0" borderId="32" applyAlignment="1" pivotButton="0" quotePrefix="0" xfId="0">
      <alignment horizontal="right" vertical="center"/>
    </xf>
    <xf numFmtId="182" fontId="84" fillId="0" borderId="32" applyAlignment="1" pivotButton="0" quotePrefix="0" xfId="0">
      <alignment horizontal="right" vertical="center"/>
    </xf>
    <xf numFmtId="9" fontId="84" fillId="0" borderId="32" applyAlignment="1" pivotButton="0" quotePrefix="0" xfId="0">
      <alignment horizontal="right" vertical="center"/>
    </xf>
    <xf numFmtId="3" fontId="84" fillId="0" borderId="32" applyAlignment="1" pivotButton="0" quotePrefix="0" xfId="0">
      <alignment horizontal="right" vertical="center"/>
    </xf>
    <xf numFmtId="183" fontId="84" fillId="0" borderId="32" applyAlignment="1" pivotButton="0" quotePrefix="0" xfId="0">
      <alignment horizontal="right" vertical="center"/>
    </xf>
    <xf numFmtId="183" fontId="9" fillId="0" borderId="32" applyAlignment="1" pivotButton="0" quotePrefix="0" xfId="0">
      <alignment horizontal="right" vertical="center"/>
    </xf>
    <xf numFmtId="3" fontId="9" fillId="0" borderId="32" applyAlignment="1" pivotButton="0" quotePrefix="0" xfId="0">
      <alignment horizontal="right" vertical="center"/>
    </xf>
    <xf numFmtId="10" fontId="84" fillId="0" borderId="32" applyAlignment="1" pivotButton="0" quotePrefix="0" xfId="0">
      <alignment horizontal="right" vertical="center"/>
    </xf>
    <xf numFmtId="167" fontId="9" fillId="0" borderId="32" applyAlignment="1" pivotButton="0" quotePrefix="0" xfId="0">
      <alignment horizontal="right" vertical="center"/>
    </xf>
    <xf numFmtId="184" fontId="84" fillId="0" borderId="32" applyAlignment="1" pivotButton="0" quotePrefix="0" xfId="0">
      <alignment horizontal="right" vertical="center"/>
    </xf>
    <xf numFmtId="0" fontId="86" fillId="0" borderId="32" applyAlignment="1" pivotButton="0" quotePrefix="0" xfId="0">
      <alignment horizontal="right" vertical="center"/>
    </xf>
    <xf numFmtId="0" fontId="87" fillId="0" borderId="32" applyAlignment="1" pivotButton="0" quotePrefix="0" xfId="0">
      <alignment horizontal="right" vertical="center"/>
    </xf>
    <xf numFmtId="0" fontId="19" fillId="0" borderId="0" applyAlignment="1" pivotButton="0" quotePrefix="0" xfId="0">
      <alignment horizontal="center" vertical="center" wrapText="1"/>
    </xf>
    <xf numFmtId="0" fontId="56" fillId="0" borderId="32" applyAlignment="1" pivotButton="0" quotePrefix="0" xfId="0">
      <alignment horizontal="left" vertical="center" indent="1"/>
    </xf>
    <xf numFmtId="183" fontId="88" fillId="0" borderId="32" applyAlignment="1" pivotButton="0" quotePrefix="0" xfId="0">
      <alignment horizontal="right" vertical="center"/>
    </xf>
    <xf numFmtId="167" fontId="80" fillId="13" borderId="32" applyAlignment="1" pivotButton="0" quotePrefix="0" xfId="0">
      <alignment horizontal="right" vertical="center" wrapText="1"/>
    </xf>
    <xf numFmtId="0" fontId="73" fillId="0" borderId="111" applyAlignment="1" pivotButton="0" quotePrefix="0" xfId="0">
      <alignment horizontal="center" vertical="top"/>
    </xf>
    <xf numFmtId="0" fontId="73" fillId="0" borderId="120" applyAlignment="1" pivotButton="0" quotePrefix="0" xfId="0">
      <alignment horizontal="center" vertical="top"/>
    </xf>
    <xf numFmtId="0" fontId="74" fillId="10" borderId="121" applyAlignment="1" pivotButton="0" quotePrefix="0" xfId="0">
      <alignment horizontal="center" vertical="top"/>
    </xf>
    <xf numFmtId="0" fontId="74" fillId="10" borderId="112" applyAlignment="1" pivotButton="0" quotePrefix="0" xfId="0">
      <alignment horizontal="center" vertical="top"/>
    </xf>
    <xf numFmtId="0" fontId="21" fillId="0" borderId="32" applyAlignment="1" pivotButton="0" quotePrefix="0" xfId="0">
      <alignment vertical="center"/>
    </xf>
    <xf numFmtId="0" fontId="11" fillId="0" borderId="0" applyAlignment="1" pivotButton="0" quotePrefix="0" xfId="0">
      <alignment horizontal="left" vertical="center" wrapText="1"/>
    </xf>
    <xf numFmtId="0" fontId="42" fillId="3" borderId="0" applyAlignment="1" pivotButton="0" quotePrefix="0" xfId="0">
      <alignment horizontal="left" vertical="center"/>
    </xf>
    <xf numFmtId="0" fontId="17" fillId="0" borderId="0" applyAlignment="1" pivotButton="0" quotePrefix="0" xfId="0">
      <alignment horizontal="left" vertical="center" wrapText="1"/>
    </xf>
    <xf numFmtId="0" fontId="20" fillId="0" borderId="32" applyAlignment="1" pivotButton="0" quotePrefix="0" xfId="0">
      <alignment horizontal="left" vertical="center"/>
    </xf>
    <xf numFmtId="0" fontId="12" fillId="0" borderId="0" applyAlignment="1" pivotButton="0" quotePrefix="0" xfId="0">
      <alignment horizontal="left" vertical="center"/>
    </xf>
    <xf numFmtId="0" fontId="21" fillId="0" borderId="0" applyAlignment="1" pivotButton="0" quotePrefix="0" xfId="0">
      <alignment vertical="center"/>
    </xf>
    <xf numFmtId="0" fontId="32" fillId="0" borderId="0" applyAlignment="1" pivotButton="0" quotePrefix="0" xfId="0">
      <alignment vertical="center"/>
    </xf>
    <xf numFmtId="0" fontId="31" fillId="0" borderId="50" applyAlignment="1" pivotButton="0" quotePrefix="0" xfId="0">
      <alignment vertical="center" wrapText="1"/>
    </xf>
    <xf numFmtId="0" fontId="31" fillId="0" borderId="51" applyAlignment="1" pivotButton="0" quotePrefix="0" xfId="0">
      <alignment vertical="center" wrapText="1"/>
    </xf>
    <xf numFmtId="0" fontId="30" fillId="0" borderId="0" applyAlignment="1" pivotButton="0" quotePrefix="0" xfId="0">
      <alignment horizontal="left" vertical="center"/>
    </xf>
    <xf numFmtId="0" fontId="27" fillId="0" borderId="0" applyAlignment="1" pivotButton="0" quotePrefix="0" xfId="0">
      <alignment vertical="center" wrapText="1"/>
    </xf>
    <xf numFmtId="0" fontId="28"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6" fillId="0" borderId="0" applyAlignment="1" pivotButton="0" quotePrefix="0" xfId="0">
      <alignment horizontal="left" vertical="center"/>
    </xf>
    <xf numFmtId="0" fontId="16" fillId="4" borderId="43" applyAlignment="1" pivotButton="0" quotePrefix="0" xfId="0">
      <alignment horizontal="center" wrapText="1"/>
    </xf>
    <xf numFmtId="0" fontId="16" fillId="4" borderId="52" applyAlignment="1" pivotButton="0" quotePrefix="0" xfId="0">
      <alignment horizontal="center" wrapText="1"/>
    </xf>
    <xf numFmtId="0" fontId="16" fillId="4" borderId="86" applyAlignment="1" pivotButton="0" quotePrefix="0" xfId="0">
      <alignment horizontal="center" wrapText="1"/>
    </xf>
    <xf numFmtId="0" fontId="4" fillId="0" borderId="0" applyAlignment="1" pivotButton="0" quotePrefix="0" xfId="0">
      <alignment horizontal="left" vertical="top" wrapText="1"/>
    </xf>
    <xf numFmtId="0" fontId="42" fillId="3" borderId="0" applyAlignment="1" pivotButton="0" quotePrefix="0" xfId="0">
      <alignment horizontal="left" vertical="top"/>
    </xf>
    <xf numFmtId="0" fontId="16" fillId="4" borderId="49" applyAlignment="1" pivotButton="0" quotePrefix="0" xfId="0">
      <alignment horizontal="center" wrapText="1"/>
    </xf>
    <xf numFmtId="0" fontId="16" fillId="4" borderId="81" applyAlignment="1" pivotButton="0" quotePrefix="0" xfId="0">
      <alignment horizontal="center" wrapText="1"/>
    </xf>
    <xf numFmtId="0" fontId="16" fillId="4" borderId="85" applyAlignment="1" pivotButton="0" quotePrefix="0" xfId="0">
      <alignment horizontal="center" wrapText="1"/>
    </xf>
    <xf numFmtId="0" fontId="65" fillId="0" borderId="0" applyAlignment="1" pivotButton="0" quotePrefix="0" xfId="0">
      <alignment horizontal="left" vertical="center" wrapText="1" indent="1"/>
    </xf>
    <xf numFmtId="0" fontId="38" fillId="0" borderId="0" applyAlignment="1" pivotButton="0" quotePrefix="0" xfId="0">
      <alignment vertical="center"/>
    </xf>
    <xf numFmtId="0" fontId="38" fillId="0" borderId="0" applyAlignment="1" pivotButton="0" quotePrefix="0" xfId="0">
      <alignment horizontal="left" vertical="center" indent="7"/>
    </xf>
    <xf numFmtId="0" fontId="21" fillId="0" borderId="95" applyAlignment="1" pivotButton="0" quotePrefix="0" xfId="0">
      <alignment horizontal="left" vertical="center"/>
    </xf>
    <xf numFmtId="0" fontId="12" fillId="0" borderId="3" applyAlignment="1" pivotButton="0" quotePrefix="0" xfId="0">
      <alignment horizontal="left" vertical="top"/>
    </xf>
    <xf numFmtId="0" fontId="12" fillId="0" borderId="0" applyAlignment="1" pivotButton="0" quotePrefix="0" xfId="0">
      <alignment horizontal="left" vertical="top"/>
    </xf>
    <xf numFmtId="0" fontId="11" fillId="0" borderId="32" applyAlignment="1" pivotButton="0" quotePrefix="0" xfId="0">
      <alignment horizontal="left" vertical="top"/>
    </xf>
    <xf numFmtId="0" fontId="43" fillId="0" borderId="32" applyAlignment="1" pivotButton="0" quotePrefix="0" xfId="0">
      <alignment horizontal="left" vertical="top"/>
    </xf>
    <xf numFmtId="0" fontId="21" fillId="5" borderId="111" applyAlignment="1" pivotButton="0" quotePrefix="0" xfId="0">
      <alignment horizontal="left" vertical="top"/>
    </xf>
    <xf numFmtId="0" fontId="21" fillId="5" borderId="112" applyAlignment="1" pivotButton="0" quotePrefix="0" xfId="0">
      <alignment horizontal="left" vertical="top"/>
    </xf>
    <xf numFmtId="0" fontId="21" fillId="0" borderId="95" applyAlignment="1" pivotButton="0" quotePrefix="0" xfId="0">
      <alignment horizontal="left" vertical="top"/>
    </xf>
    <xf numFmtId="0" fontId="8" fillId="0" borderId="0" applyAlignment="1" pivotButton="0" quotePrefix="0" xfId="0">
      <alignment horizontal="left" vertical="center"/>
    </xf>
    <xf numFmtId="0" fontId="20" fillId="0" borderId="0" applyAlignment="1" pivotButton="0" quotePrefix="0" xfId="0">
      <alignment horizontal="left" vertical="center"/>
    </xf>
    <xf numFmtId="0" fontId="4" fillId="0" borderId="0" applyAlignment="1" pivotButton="0" quotePrefix="0" xfId="0">
      <alignment horizontal="left" vertical="center" wrapText="1"/>
    </xf>
    <xf numFmtId="0" fontId="4" fillId="0" borderId="108"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53" applyAlignment="1" pivotButton="0" quotePrefix="0" xfId="0">
      <alignment horizontal="center" vertical="center" wrapText="1"/>
    </xf>
    <xf numFmtId="0" fontId="4" fillId="0" borderId="34" applyAlignment="1" pivotButton="0" quotePrefix="0" xfId="0">
      <alignment horizontal="center" vertical="center" wrapText="1"/>
    </xf>
    <xf numFmtId="0" fontId="4" fillId="0" borderId="36" applyAlignment="1" pivotButton="0" quotePrefix="0" xfId="0">
      <alignment horizontal="center" vertical="center" wrapText="1"/>
    </xf>
    <xf numFmtId="0" fontId="4" fillId="0" borderId="38" applyAlignment="1" pivotButton="0" quotePrefix="0" xfId="0">
      <alignment horizontal="center" vertical="center" wrapText="1"/>
    </xf>
    <xf numFmtId="0" fontId="4" fillId="0" borderId="114" applyAlignment="1" pivotButton="0" quotePrefix="0" xfId="0">
      <alignment horizontal="center" vertical="center" wrapText="1"/>
    </xf>
    <xf numFmtId="0" fontId="4" fillId="0" borderId="118" applyAlignment="1" pivotButton="0" quotePrefix="0" xfId="0">
      <alignment horizontal="center" vertical="center" wrapText="1"/>
    </xf>
    <xf numFmtId="0" fontId="5" fillId="3" borderId="0" applyAlignment="1" pivotButton="0" quotePrefix="0" xfId="0">
      <alignment horizontal="center" vertical="center" wrapText="1"/>
    </xf>
    <xf numFmtId="0" fontId="7" fillId="0" borderId="108" applyAlignment="1" pivotButton="0" quotePrefix="0" xfId="0">
      <alignment horizontal="center" vertical="center" wrapText="1"/>
    </xf>
    <xf numFmtId="0" fontId="7" fillId="0" borderId="32" applyAlignment="1" pivotButton="0" quotePrefix="0" xfId="0">
      <alignment horizontal="center" vertical="center" wrapText="1"/>
    </xf>
    <xf numFmtId="0" fontId="7" fillId="0" borderId="53" applyAlignment="1" pivotButton="0" quotePrefix="0" xfId="0">
      <alignment horizontal="center" vertical="center" wrapText="1"/>
    </xf>
    <xf numFmtId="0" fontId="4" fillId="0" borderId="33" applyAlignment="1" pivotButton="0" quotePrefix="0" xfId="0">
      <alignment horizontal="center" vertical="center" wrapText="1"/>
    </xf>
    <xf numFmtId="0" fontId="4" fillId="0" borderId="35" applyAlignment="1" pivotButton="0" quotePrefix="0" xfId="0">
      <alignment horizontal="center" vertical="center" wrapText="1"/>
    </xf>
    <xf numFmtId="0" fontId="4" fillId="0" borderId="37" applyAlignment="1" pivotButton="0" quotePrefix="0" xfId="0">
      <alignment horizontal="center" vertical="center" wrapText="1"/>
    </xf>
    <xf numFmtId="0" fontId="4" fillId="0" borderId="113" applyAlignment="1" pivotButton="0" quotePrefix="0" xfId="0">
      <alignment horizontal="center" vertical="center" wrapText="1"/>
    </xf>
    <xf numFmtId="0" fontId="21" fillId="0" borderId="0" applyAlignment="1" pivotButton="0" quotePrefix="0" xfId="0">
      <alignment horizontal="left" vertical="center"/>
    </xf>
    <xf numFmtId="0" fontId="45" fillId="0" borderId="58" applyAlignment="1" pivotButton="0" quotePrefix="0" xfId="0">
      <alignment horizontal="left" vertical="center"/>
    </xf>
    <xf numFmtId="0" fontId="45" fillId="0" borderId="59" applyAlignment="1" pivotButton="0" quotePrefix="0" xfId="0">
      <alignment horizontal="left" vertical="center"/>
    </xf>
    <xf numFmtId="0" fontId="4" fillId="0" borderId="32" applyAlignment="1" pivotButton="0" quotePrefix="0" xfId="0">
      <alignment horizontal="left" vertical="center" wrapText="1"/>
    </xf>
    <xf numFmtId="0" fontId="5" fillId="3" borderId="32" applyAlignment="1" pivotButton="0" quotePrefix="0" xfId="0">
      <alignment horizontal="left" vertical="center" wrapText="1"/>
    </xf>
    <xf numFmtId="0" fontId="7" fillId="0" borderId="114" applyAlignment="1" pivotButton="0" quotePrefix="0" xfId="0">
      <alignment horizontal="center" vertical="center" wrapText="1"/>
    </xf>
    <xf numFmtId="0" fontId="6" fillId="0" borderId="32" applyAlignment="1" pivotButton="0" quotePrefix="0" xfId="0">
      <alignment horizontal="left" vertical="center" wrapText="1"/>
    </xf>
    <xf numFmtId="0" fontId="7" fillId="0" borderId="32" applyAlignment="1" pivotButton="0" quotePrefix="0" xfId="0">
      <alignment horizontal="left" vertical="center" wrapText="1"/>
    </xf>
    <xf numFmtId="0" fontId="0" fillId="0" borderId="32" applyAlignment="1" pivotButton="0" quotePrefix="0" xfId="0">
      <alignment horizontal="left" vertical="center" wrapText="1"/>
    </xf>
    <xf numFmtId="0" fontId="41" fillId="3" borderId="32" applyAlignment="1" pivotButton="0" quotePrefix="0" xfId="0">
      <alignment horizontal="left" vertical="center" wrapText="1"/>
    </xf>
    <xf numFmtId="0" fontId="2" fillId="0" borderId="0" applyAlignment="1" pivotButton="0" quotePrefix="0" xfId="0">
      <alignment horizontal="left"/>
    </xf>
    <xf numFmtId="0" fontId="74" fillId="10" borderId="121" applyAlignment="1" pivotButton="0" quotePrefix="0" xfId="0">
      <alignment horizontal="center" vertical="center"/>
    </xf>
    <xf numFmtId="0" fontId="74" fillId="10" borderId="112" applyAlignment="1" pivotButton="0" quotePrefix="0" xfId="0">
      <alignment horizontal="center" vertical="center"/>
    </xf>
    <xf numFmtId="0" fontId="73" fillId="0" borderId="111" applyAlignment="1" pivotButton="0" quotePrefix="0" xfId="0">
      <alignment horizontal="center" vertical="center"/>
    </xf>
    <xf numFmtId="0" fontId="73" fillId="0" borderId="120" applyAlignment="1" pivotButton="0" quotePrefix="0" xfId="0">
      <alignment horizontal="center" vertical="center"/>
    </xf>
    <xf numFmtId="0" fontId="0" fillId="0" borderId="32" applyAlignment="1" pivotButton="0" quotePrefix="0" xfId="0">
      <alignment vertical="center" wrapText="1"/>
    </xf>
    <xf numFmtId="0" fontId="0" fillId="0" borderId="36" applyAlignment="1" pivotButton="0" quotePrefix="0" xfId="0">
      <alignment vertical="center" wrapText="1"/>
    </xf>
    <xf numFmtId="0" fontId="0" fillId="0" borderId="53" applyAlignment="1" pivotButton="0" quotePrefix="0" xfId="0">
      <alignment vertical="center" wrapText="1"/>
    </xf>
    <xf numFmtId="0" fontId="0" fillId="0" borderId="38" applyAlignment="1" pivotButton="0" quotePrefix="0" xfId="0">
      <alignment vertical="center" wrapText="1"/>
    </xf>
    <xf numFmtId="0" fontId="21" fillId="0" borderId="95" applyAlignment="1" pivotButton="0" quotePrefix="0" xfId="0">
      <alignment vertical="center"/>
    </xf>
    <xf numFmtId="0" fontId="41" fillId="3" borderId="79" applyAlignment="1" pivotButton="0" quotePrefix="0" xfId="0">
      <alignment horizontal="left" vertical="center" wrapText="1"/>
    </xf>
    <xf numFmtId="0" fontId="41" fillId="3" borderId="51" applyAlignment="1" pivotButton="0" quotePrefix="0" xfId="0">
      <alignment horizontal="left" vertical="center" wrapText="1"/>
    </xf>
    <xf numFmtId="0" fontId="0" fillId="0" borderId="42" applyAlignment="1" pivotButton="0" quotePrefix="0" xfId="0">
      <alignment vertical="center" wrapText="1"/>
    </xf>
    <xf numFmtId="0" fontId="0" fillId="0" borderId="40" applyAlignment="1" pivotButton="0" quotePrefix="0" xfId="0">
      <alignment vertical="center" wrapText="1"/>
    </xf>
    <xf numFmtId="0" fontId="56" fillId="0" borderId="39" applyAlignment="1" pivotButton="0" quotePrefix="0" xfId="0">
      <alignment vertical="top" wrapText="1"/>
    </xf>
    <xf numFmtId="0" fontId="56" fillId="0" borderId="42" applyAlignment="1" pivotButton="0" quotePrefix="0" xfId="0">
      <alignment vertical="top" wrapText="1"/>
    </xf>
    <xf numFmtId="0" fontId="56" fillId="0" borderId="40" applyAlignment="1" pivotButton="0" quotePrefix="0" xfId="0">
      <alignment vertical="top" wrapText="1"/>
    </xf>
    <xf numFmtId="0" fontId="56" fillId="0" borderId="35" applyAlignment="1" pivotButton="0" quotePrefix="0" xfId="0">
      <alignment vertical="top" wrapText="1"/>
    </xf>
    <xf numFmtId="0" fontId="56" fillId="0" borderId="32" applyAlignment="1" pivotButton="0" quotePrefix="0" xfId="0">
      <alignment vertical="top" wrapText="1"/>
    </xf>
    <xf numFmtId="0" fontId="56" fillId="0" borderId="36" applyAlignment="1" pivotButton="0" quotePrefix="0" xfId="0">
      <alignment vertical="top" wrapText="1"/>
    </xf>
    <xf numFmtId="0" fontId="56" fillId="0" borderId="37" applyAlignment="1" pivotButton="0" quotePrefix="0" xfId="0">
      <alignment vertical="top" wrapText="1"/>
    </xf>
    <xf numFmtId="0" fontId="56" fillId="0" borderId="53" applyAlignment="1" pivotButton="0" quotePrefix="0" xfId="0">
      <alignment vertical="top" wrapText="1"/>
    </xf>
    <xf numFmtId="0" fontId="56" fillId="0" borderId="38" applyAlignment="1" pivotButton="0" quotePrefix="0" xfId="0">
      <alignment vertical="top" wrapText="1"/>
    </xf>
    <xf numFmtId="0" fontId="17" fillId="0" borderId="0" applyAlignment="1" pivotButton="0" quotePrefix="0" xfId="0">
      <alignment horizontal="left" vertical="top" wrapText="1"/>
    </xf>
    <xf numFmtId="0" fontId="73" fillId="0" borderId="0" applyAlignment="1" pivotButton="0" quotePrefix="0" xfId="0">
      <alignment horizontal="center" vertical="top"/>
    </xf>
    <xf numFmtId="0" fontId="74" fillId="0" borderId="0" applyAlignment="1" pivotButton="0" quotePrefix="0" xfId="0">
      <alignment horizontal="center" vertical="top"/>
    </xf>
    <xf numFmtId="0" fontId="20" fillId="0" borderId="35" applyAlignment="1" pivotButton="0" quotePrefix="0" xfId="0">
      <alignment horizontal="left" vertical="center"/>
    </xf>
    <xf numFmtId="0" fontId="20" fillId="0" borderId="41" applyAlignment="1" pivotButton="0" quotePrefix="0" xfId="0">
      <alignment horizontal="left" vertical="center"/>
    </xf>
    <xf numFmtId="0" fontId="41" fillId="3" borderId="82" applyAlignment="1" pivotButton="0" quotePrefix="0" xfId="0">
      <alignment horizontal="left" vertical="center" wrapText="1"/>
    </xf>
    <xf numFmtId="0" fontId="41" fillId="3" borderId="83" applyAlignment="1" pivotButton="0" quotePrefix="0" xfId="0">
      <alignment horizontal="left" vertical="center" wrapText="1"/>
    </xf>
    <xf numFmtId="0" fontId="41" fillId="3" borderId="84" applyAlignment="1" pivotButton="0" quotePrefix="0" xfId="0">
      <alignment horizontal="left" vertical="center" wrapText="1"/>
    </xf>
    <xf numFmtId="171" fontId="60" fillId="0" borderId="80" applyAlignment="1" pivotButton="0" quotePrefix="0" xfId="0">
      <alignment horizontal="left" vertical="center" wrapText="1"/>
    </xf>
    <xf numFmtId="0" fontId="60" fillId="0" borderId="81" applyAlignment="1" pivotButton="0" quotePrefix="0" xfId="0">
      <alignment horizontal="left" vertical="center" wrapText="1"/>
    </xf>
    <xf numFmtId="0" fontId="60" fillId="0" borderId="85" applyAlignment="1" pivotButton="0" quotePrefix="0" xfId="0">
      <alignment horizontal="left" vertical="center" wrapText="1"/>
    </xf>
    <xf numFmtId="0" fontId="55" fillId="0" borderId="41" applyAlignment="1" pivotButton="0" quotePrefix="0" xfId="0">
      <alignment horizontal="left" vertical="center" wrapText="1"/>
    </xf>
    <xf numFmtId="0" fontId="55" fillId="0" borderId="52" applyAlignment="1" pivotButton="0" quotePrefix="0" xfId="0">
      <alignment horizontal="left" vertical="center" wrapText="1"/>
    </xf>
    <xf numFmtId="0" fontId="55" fillId="0" borderId="86" applyAlignment="1" pivotButton="0" quotePrefix="0" xfId="0">
      <alignment horizontal="left" vertical="center" wrapText="1"/>
    </xf>
    <xf numFmtId="0" fontId="55" fillId="7" borderId="41" applyAlignment="1" pivotButton="0" quotePrefix="0" xfId="0">
      <alignment horizontal="left" vertical="center" wrapText="1"/>
    </xf>
    <xf numFmtId="0" fontId="55" fillId="7" borderId="52" applyAlignment="1" pivotButton="0" quotePrefix="0" xfId="0">
      <alignment horizontal="left" vertical="center" wrapText="1"/>
    </xf>
    <xf numFmtId="0" fontId="55" fillId="7" borderId="86" applyAlignment="1" pivotButton="0" quotePrefix="0" xfId="0">
      <alignment horizontal="left" vertical="center" wrapText="1"/>
    </xf>
    <xf numFmtId="0" fontId="55" fillId="0" borderId="87" applyAlignment="1" pivotButton="0" quotePrefix="0" xfId="0">
      <alignment horizontal="left" vertical="center" wrapText="1"/>
    </xf>
    <xf numFmtId="0" fontId="55" fillId="0" borderId="88" applyAlignment="1" pivotButton="0" quotePrefix="0" xfId="0">
      <alignment horizontal="left" vertical="center" wrapText="1"/>
    </xf>
    <xf numFmtId="0" fontId="55" fillId="0" borderId="89" applyAlignment="1" pivotButton="0" quotePrefix="0" xfId="0">
      <alignment horizontal="left" vertical="center" wrapText="1"/>
    </xf>
    <xf numFmtId="0" fontId="41" fillId="3" borderId="32" applyAlignment="1" pivotButton="0" quotePrefix="0" xfId="0">
      <alignment horizontal="center" vertical="center" wrapText="1"/>
    </xf>
    <xf numFmtId="49" fontId="57" fillId="0" borderId="32" applyAlignment="1" pivotButton="0" quotePrefix="0" xfId="0">
      <alignment horizontal="center" vertical="center" wrapText="1"/>
    </xf>
    <xf numFmtId="0" fontId="21" fillId="0" borderId="115" applyAlignment="1" pivotButton="0" quotePrefix="0" xfId="0">
      <alignment horizontal="left" vertical="center"/>
    </xf>
    <xf numFmtId="0" fontId="11" fillId="0" borderId="0" applyAlignment="1" pivotButton="0" quotePrefix="0" xfId="0">
      <alignment horizontal="left" vertical="top" wrapText="1"/>
    </xf>
    <xf numFmtId="0" fontId="8" fillId="0" borderId="35" applyAlignment="1" pivotButton="0" quotePrefix="0" xfId="0">
      <alignment horizontal="left" vertical="center"/>
    </xf>
    <xf numFmtId="0" fontId="8" fillId="0" borderId="32" applyAlignment="1" pivotButton="0" quotePrefix="0" xfId="0">
      <alignment horizontal="left" vertical="center"/>
    </xf>
    <xf numFmtId="0" fontId="21" fillId="0" borderId="81" applyAlignment="1" pivotButton="0" quotePrefix="0" xfId="0">
      <alignment vertical="center"/>
    </xf>
    <xf numFmtId="0" fontId="0" fillId="0" borderId="41" applyAlignment="1" pivotButton="0" quotePrefix="0" xfId="0">
      <alignment vertical="center" wrapText="1"/>
    </xf>
    <xf numFmtId="0" fontId="0" fillId="0" borderId="86" applyAlignment="1" pivotButton="0" quotePrefix="0" xfId="0">
      <alignment vertical="center" wrapText="1"/>
    </xf>
    <xf numFmtId="0" fontId="5" fillId="3" borderId="97" applyAlignment="1" pivotButton="0" quotePrefix="0" xfId="0">
      <alignment horizontal="left" vertical="center" wrapText="1"/>
    </xf>
    <xf numFmtId="0" fontId="5" fillId="3" borderId="98" applyAlignment="1" pivotButton="0" quotePrefix="0" xfId="0">
      <alignment horizontal="left" vertical="center" wrapText="1"/>
    </xf>
    <xf numFmtId="0" fontId="19" fillId="0" borderId="50" applyAlignment="1" pivotButton="0" quotePrefix="0" xfId="0">
      <alignment vertical="center"/>
    </xf>
    <xf numFmtId="0" fontId="19" fillId="0" borderId="79" applyAlignment="1" pivotButton="0" quotePrefix="0" xfId="0">
      <alignment vertical="center"/>
    </xf>
    <xf numFmtId="0" fontId="19" fillId="0" borderId="51" applyAlignment="1" pivotButton="0" quotePrefix="0" xfId="0">
      <alignment vertical="center"/>
    </xf>
    <xf numFmtId="0" fontId="7" fillId="0" borderId="0" applyAlignment="1" pivotButton="0" quotePrefix="0" xfId="0">
      <alignment horizontal="left" vertical="top"/>
    </xf>
    <xf numFmtId="0" fontId="8" fillId="0" borderId="0" applyAlignment="1" pivotButton="0" quotePrefix="0" xfId="0">
      <alignment horizontal="left" vertical="top"/>
    </xf>
    <xf numFmtId="0" fontId="4" fillId="0" borderId="0" applyAlignment="1" pivotButton="0" quotePrefix="0" xfId="0">
      <alignment horizontal="left" vertical="top"/>
    </xf>
    <xf numFmtId="0" fontId="16" fillId="0" borderId="0" applyAlignment="1" pivotButton="0" quotePrefix="0" xfId="0">
      <alignment horizontal="left" vertical="top"/>
    </xf>
    <xf numFmtId="0" fontId="17" fillId="0" borderId="0" applyAlignment="1" pivotButton="0" quotePrefix="0" xfId="0">
      <alignment horizontal="left" vertical="top"/>
    </xf>
    <xf numFmtId="0" fontId="5" fillId="3" borderId="79" applyAlignment="1" pivotButton="0" quotePrefix="0" xfId="0">
      <alignment horizontal="left" vertical="center" wrapText="1"/>
    </xf>
    <xf numFmtId="0" fontId="5" fillId="3" borderId="51" applyAlignment="1" pivotButton="0" quotePrefix="0" xfId="0">
      <alignment horizontal="left" vertical="center" wrapText="1"/>
    </xf>
    <xf numFmtId="0" fontId="73" fillId="0" borderId="139" applyAlignment="1" pivotButton="0" quotePrefix="0" xfId="0">
      <alignment horizontal="center" vertical="top"/>
    </xf>
    <xf numFmtId="0" fontId="74" fillId="10" borderId="0" applyAlignment="1" pivotButton="0" quotePrefix="0" xfId="0">
      <alignment horizontal="center" vertical="top"/>
    </xf>
    <xf numFmtId="49" fontId="53" fillId="0" borderId="32" applyAlignment="1" pivotButton="0" quotePrefix="0" xfId="0">
      <alignment horizontal="center" vertical="center"/>
    </xf>
    <xf numFmtId="0" fontId="5" fillId="0" borderId="0" applyAlignment="1" pivotButton="0" quotePrefix="0" xfId="0">
      <alignment horizontal="left" vertical="center" wrapText="1"/>
    </xf>
    <xf numFmtId="0" fontId="0" fillId="0" borderId="0" applyAlignment="1" pivotButton="0" quotePrefix="0" xfId="0">
      <alignment vertical="center"/>
    </xf>
    <xf numFmtId="0" fontId="20" fillId="0" borderId="32" applyAlignment="1" pivotButton="0" quotePrefix="0" xfId="0">
      <alignment vertical="center"/>
    </xf>
    <xf numFmtId="0" fontId="0" fillId="0" borderId="41"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12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38"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132" applyAlignment="1" pivotButton="0" quotePrefix="0" xfId="0">
      <alignment horizontal="left" vertical="center" wrapText="1"/>
    </xf>
    <xf numFmtId="0" fontId="0" fillId="0" borderId="133" applyAlignment="1" pivotButton="0" quotePrefix="0" xfId="0">
      <alignment horizontal="left" vertical="center" wrapText="1"/>
    </xf>
    <xf numFmtId="0" fontId="0" fillId="0" borderId="134" applyAlignment="1" pivotButton="0" quotePrefix="0" xfId="0">
      <alignment horizontal="left" vertical="center" wrapText="1"/>
    </xf>
    <xf numFmtId="0" fontId="41" fillId="3" borderId="97" applyAlignment="1" pivotButton="0" quotePrefix="0" xfId="0">
      <alignment horizontal="center" vertical="center" wrapText="1"/>
    </xf>
    <xf numFmtId="0" fontId="41" fillId="3" borderId="98" applyAlignment="1" pivotButton="0" quotePrefix="0" xfId="0">
      <alignment horizontal="center" vertical="center" wrapText="1"/>
    </xf>
    <xf numFmtId="0" fontId="0" fillId="0" borderId="36" applyAlignment="1" pivotButton="0" quotePrefix="0" xfId="0">
      <alignment horizontal="left" vertical="center" wrapText="1"/>
    </xf>
    <xf numFmtId="0" fontId="0" fillId="0" borderId="42" applyAlignment="1" pivotButton="0" quotePrefix="0" xfId="0">
      <alignment horizontal="left" vertical="center" wrapText="1"/>
    </xf>
    <xf numFmtId="0" fontId="0" fillId="0" borderId="40" applyAlignment="1" pivotButton="0" quotePrefix="0" xfId="0">
      <alignment horizontal="left" vertical="center" wrapText="1"/>
    </xf>
    <xf numFmtId="0" fontId="41" fillId="3" borderId="97" applyAlignment="1" pivotButton="0" quotePrefix="0" xfId="0">
      <alignment horizontal="left" vertical="center" wrapText="1"/>
    </xf>
    <xf numFmtId="0" fontId="41" fillId="3" borderId="98" applyAlignment="1" pivotButton="0" quotePrefix="0" xfId="0">
      <alignment horizontal="left" vertical="center" wrapText="1"/>
    </xf>
    <xf numFmtId="0" fontId="21" fillId="0" borderId="119" applyAlignment="1" pivotButton="0" quotePrefix="0" xfId="0">
      <alignment vertical="center"/>
    </xf>
    <xf numFmtId="0" fontId="20" fillId="0" borderId="0" applyAlignment="1" pivotButton="0" quotePrefix="0" xfId="0">
      <alignment horizontal="left" vertical="top"/>
    </xf>
    <xf numFmtId="0" fontId="12" fillId="0" borderId="95" applyAlignment="1" pivotButton="0" quotePrefix="0" xfId="0">
      <alignment horizontal="left" vertical="top" wrapText="1"/>
    </xf>
    <xf numFmtId="0" fontId="21" fillId="0" borderId="115" applyAlignment="1" pivotButton="0" quotePrefix="0" xfId="0">
      <alignment vertical="center"/>
    </xf>
    <xf numFmtId="0" fontId="20" fillId="0" borderId="81" applyAlignment="1" pivotButton="0" quotePrefix="0" xfId="0">
      <alignment horizontal="left" vertical="center"/>
    </xf>
    <xf numFmtId="0" fontId="5" fillId="3" borderId="143" applyAlignment="1" pivotButton="0" quotePrefix="0" xfId="0">
      <alignment horizontal="left" vertical="center" wrapText="1"/>
    </xf>
    <xf numFmtId="0" fontId="5" fillId="3" borderId="0" applyAlignment="1" pivotButton="0" quotePrefix="0" xfId="0">
      <alignment horizontal="left" vertical="center" wrapText="1"/>
    </xf>
    <xf numFmtId="0" fontId="0" fillId="0" borderId="32" applyAlignment="1" pivotButton="0" quotePrefix="0" xfId="0">
      <alignment horizontal="right" vertical="center" wrapText="1"/>
    </xf>
    <xf numFmtId="0" fontId="20" fillId="0" borderId="3" applyAlignment="1" pivotButton="0" quotePrefix="0" xfId="0">
      <alignment horizontal="left" vertical="center"/>
    </xf>
    <xf numFmtId="0" fontId="20" fillId="0" borderId="131" applyAlignment="1" pivotButton="0" quotePrefix="0" xfId="0">
      <alignment horizontal="left" vertical="center"/>
    </xf>
    <xf numFmtId="0" fontId="20" fillId="0" borderId="23" applyAlignment="1" pivotButton="0" quotePrefix="0" xfId="0">
      <alignment horizontal="left" vertical="center"/>
    </xf>
    <xf numFmtId="0" fontId="20" fillId="0" borderId="24" applyAlignment="1" pivotButton="0" quotePrefix="0" xfId="0">
      <alignment horizontal="left" vertical="center"/>
    </xf>
    <xf numFmtId="0" fontId="82" fillId="12" borderId="0" applyAlignment="1" pivotButton="0" quotePrefix="0" xfId="0">
      <alignment horizontal="center" vertical="center"/>
    </xf>
    <xf numFmtId="0" fontId="20" fillId="0" borderId="52" applyAlignment="1" pivotButton="0" quotePrefix="0" xfId="0">
      <alignment horizontal="left" vertical="center"/>
    </xf>
    <xf numFmtId="0" fontId="20" fillId="0" borderId="122" applyAlignment="1" pivotButton="0" quotePrefix="0" xfId="0">
      <alignment horizontal="left" vertical="center"/>
    </xf>
    <xf numFmtId="0" fontId="20" fillId="0" borderId="117" applyAlignment="1" pivotButton="0" quotePrefix="0" xfId="0">
      <alignment horizontal="left" vertical="center"/>
    </xf>
    <xf numFmtId="0" fontId="20" fillId="0" borderId="149" applyAlignment="1" pivotButton="0" quotePrefix="0" xfId="0">
      <alignment horizontal="left" vertical="center"/>
    </xf>
    <xf numFmtId="0" fontId="20" fillId="0" borderId="33" applyAlignment="1" pivotButton="0" quotePrefix="0" xfId="0">
      <alignment horizontal="left" vertical="center"/>
    </xf>
    <xf numFmtId="0" fontId="20" fillId="0" borderId="108" applyAlignment="1" pivotButton="0" quotePrefix="0" xfId="0">
      <alignment horizontal="left" vertical="center"/>
    </xf>
    <xf numFmtId="0" fontId="20" fillId="0" borderId="34" applyAlignment="1" pivotButton="0" quotePrefix="0" xfId="0">
      <alignment horizontal="left" vertical="center"/>
    </xf>
    <xf numFmtId="0" fontId="85" fillId="12" borderId="32" pivotButton="0" quotePrefix="0" xfId="0"/>
    <xf numFmtId="0" fontId="42" fillId="3" borderId="0" applyAlignment="1" pivotButton="0" quotePrefix="0" xfId="0">
      <alignment vertical="center"/>
    </xf>
    <xf numFmtId="0" fontId="4" fillId="0" borderId="1" applyAlignment="1" pivotButton="0" quotePrefix="0" xfId="0">
      <alignment vertical="center" wrapText="1"/>
    </xf>
    <xf numFmtId="0" fontId="5" fillId="3" borderId="1" applyAlignment="1" pivotButton="0" quotePrefix="0" xfId="0">
      <alignment vertical="center" wrapText="1"/>
    </xf>
    <xf numFmtId="0" fontId="7" fillId="0" borderId="1" applyAlignment="1" pivotButton="0" quotePrefix="0" xfId="0">
      <alignment horizontal="left" vertical="center" wrapText="1"/>
    </xf>
    <xf numFmtId="0" fontId="5" fillId="3"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7" applyAlignment="1" pivotButton="0" quotePrefix="0" xfId="0">
      <alignment horizontal="left" vertical="center" wrapText="1"/>
    </xf>
    <xf numFmtId="0" fontId="4" fillId="0" borderId="18" applyAlignment="1" pivotButton="0" quotePrefix="0" xfId="0">
      <alignment horizontal="left" vertical="center" wrapText="1"/>
    </xf>
    <xf numFmtId="0" fontId="7" fillId="0" borderId="19" applyAlignment="1" pivotButton="0" quotePrefix="0" xfId="0">
      <alignment horizontal="left" vertical="center"/>
    </xf>
    <xf numFmtId="0" fontId="7" fillId="0" borderId="20" applyAlignment="1" pivotButton="0" quotePrefix="0" xfId="0">
      <alignment horizontal="left" vertical="center"/>
    </xf>
    <xf numFmtId="0" fontId="6" fillId="0" borderId="11" applyAlignment="1" pivotButton="0" quotePrefix="0" xfId="0">
      <alignment vertical="center" wrapText="1"/>
    </xf>
    <xf numFmtId="0" fontId="6" fillId="0" borderId="12" applyAlignment="1" pivotButton="0" quotePrefix="0" xfId="0">
      <alignment vertical="center" wrapText="1"/>
    </xf>
    <xf numFmtId="0" fontId="6" fillId="0" borderId="14" applyAlignment="1" pivotButton="0" quotePrefix="0" xfId="0">
      <alignment vertical="center" wrapText="1"/>
    </xf>
    <xf numFmtId="0" fontId="6" fillId="0" borderId="1" applyAlignment="1" pivotButton="0" quotePrefix="0" xfId="0">
      <alignment vertical="center" wrapText="1"/>
    </xf>
    <xf numFmtId="0" fontId="4" fillId="0" borderId="15" applyAlignment="1" pivotButton="0" quotePrefix="0" xfId="0">
      <alignment horizontal="left" vertical="center" wrapText="1"/>
    </xf>
    <xf numFmtId="0" fontId="5" fillId="3" borderId="12" applyAlignment="1" pivotButton="0" quotePrefix="0" xfId="0">
      <alignment horizontal="left" vertical="center" wrapText="1"/>
    </xf>
    <xf numFmtId="0" fontId="5" fillId="3" borderId="13" applyAlignment="1" pivotButton="0" quotePrefix="0" xfId="0">
      <alignment horizontal="left" vertical="center" wrapText="1"/>
    </xf>
    <xf numFmtId="0" fontId="6" fillId="0" borderId="16" applyAlignment="1" pivotButton="0" quotePrefix="0" xfId="0">
      <alignment vertical="center" wrapText="1"/>
    </xf>
    <xf numFmtId="0" fontId="6" fillId="0" borderId="17" applyAlignment="1" pivotButton="0" quotePrefix="0" xfId="0">
      <alignment vertical="center" wrapText="1"/>
    </xf>
    <xf numFmtId="0" fontId="12" fillId="0" borderId="0" applyAlignment="1" pivotButton="0" quotePrefix="0" xfId="0">
      <alignment horizontal="left" vertical="center" wrapText="1"/>
    </xf>
    <xf numFmtId="0" fontId="47" fillId="0" borderId="81" applyAlignment="1" pivotButton="0" quotePrefix="0" xfId="0">
      <alignment vertical="center"/>
    </xf>
    <xf numFmtId="0" fontId="7" fillId="0" borderId="16" applyAlignment="1" pivotButton="0" quotePrefix="0" xfId="0">
      <alignment horizontal="left" vertical="center" wrapText="1"/>
    </xf>
    <xf numFmtId="0" fontId="7" fillId="0" borderId="17" applyAlignment="1" pivotButton="0" quotePrefix="0" xfId="0">
      <alignment horizontal="left" vertical="center" wrapText="1"/>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7" fillId="0" borderId="14" applyAlignment="1" pivotButton="0" quotePrefix="0" xfId="0">
      <alignment horizontal="left" vertical="center" wrapText="1"/>
    </xf>
    <xf numFmtId="0" fontId="7" fillId="0" borderId="29" applyAlignment="1" pivotButton="0" quotePrefix="0" xfId="0">
      <alignment horizontal="left" vertical="center"/>
    </xf>
    <xf numFmtId="0" fontId="7" fillId="0" borderId="30" applyAlignment="1" pivotButton="0" quotePrefix="0" xfId="0">
      <alignment horizontal="left" vertical="center"/>
    </xf>
    <xf numFmtId="0" fontId="20" fillId="0" borderId="25" applyAlignment="1" pivotButton="0" quotePrefix="0" xfId="0">
      <alignment horizontal="left" vertical="center"/>
    </xf>
    <xf numFmtId="0" fontId="4" fillId="0" borderId="21" applyAlignment="1" pivotButton="0" quotePrefix="0" xfId="0">
      <alignment horizontal="left" vertical="center" wrapText="1"/>
    </xf>
    <xf numFmtId="0" fontId="4" fillId="0" borderId="22" applyAlignment="1" pivotButton="0" quotePrefix="0" xfId="0">
      <alignment horizontal="left" vertical="center" wrapText="1"/>
    </xf>
    <xf numFmtId="0" fontId="22" fillId="3" borderId="0" applyAlignment="1" pivotButton="0" quotePrefix="0" xfId="0">
      <alignment horizontal="left" vertical="center"/>
    </xf>
    <xf numFmtId="9" fontId="88" fillId="0" borderId="32" applyAlignment="1" pivotButton="0" quotePrefix="0" xfId="0">
      <alignment horizontal="right" vertical="center"/>
    </xf>
    <xf numFmtId="0" fontId="0" fillId="0" borderId="161" pivotButton="0" quotePrefix="0" xfId="0"/>
    <xf numFmtId="170" fontId="33" fillId="0" borderId="40" applyAlignment="1" pivotButton="0" quotePrefix="0" xfId="0">
      <alignment horizontal="left" vertical="center" wrapText="1"/>
    </xf>
    <xf numFmtId="0" fontId="16" fillId="4" borderId="48" applyAlignment="1" pivotButton="0" quotePrefix="0" xfId="0">
      <alignment horizontal="center" wrapText="1"/>
    </xf>
    <xf numFmtId="0" fontId="0" fillId="0" borderId="81" pivotButton="0" quotePrefix="0" xfId="0"/>
    <xf numFmtId="0" fontId="0" fillId="0" borderId="85" pivotButton="0" quotePrefix="0" xfId="0"/>
    <xf numFmtId="0" fontId="16" fillId="4" borderId="46" applyAlignment="1" pivotButton="0" quotePrefix="0" xfId="0">
      <alignment horizontal="center" wrapText="1"/>
    </xf>
    <xf numFmtId="0" fontId="0" fillId="0" borderId="52" pivotButton="0" quotePrefix="0" xfId="0"/>
    <xf numFmtId="0" fontId="0" fillId="0" borderId="86" pivotButton="0" quotePrefix="0" xfId="0"/>
    <xf numFmtId="170" fontId="35" fillId="0" borderId="36" applyAlignment="1" pivotButton="0" quotePrefix="0" xfId="0">
      <alignment horizontal="left" vertical="center" wrapText="1"/>
    </xf>
    <xf numFmtId="165" fontId="6" fillId="0" borderId="42" applyAlignment="1" pivotButton="0" quotePrefix="0" xfId="0">
      <alignment horizontal="center" vertical="center" wrapText="1"/>
    </xf>
    <xf numFmtId="167" fontId="6" fillId="0" borderId="42" applyAlignment="1" pivotButton="0" quotePrefix="0" xfId="0">
      <alignment horizontal="center" vertical="center" wrapText="1"/>
    </xf>
    <xf numFmtId="165" fontId="6" fillId="0" borderId="32" applyAlignment="1" pivotButton="0" quotePrefix="0" xfId="0">
      <alignment horizontal="center" vertical="center" wrapText="1"/>
    </xf>
    <xf numFmtId="167" fontId="6" fillId="0" borderId="32" applyAlignment="1" pivotButton="0" quotePrefix="0" xfId="0">
      <alignment horizontal="center" vertical="center" wrapText="1"/>
    </xf>
    <xf numFmtId="165" fontId="7" fillId="0" borderId="53" applyAlignment="1" pivotButton="0" quotePrefix="0" xfId="0">
      <alignment horizontal="center" vertical="center" wrapText="1"/>
    </xf>
    <xf numFmtId="164" fontId="20" fillId="0" borderId="53" applyAlignment="1" pivotButton="0" quotePrefix="0" xfId="0">
      <alignment horizontal="center" vertical="center" wrapText="1"/>
    </xf>
    <xf numFmtId="170" fontId="40" fillId="0" borderId="36" applyAlignment="1" pivotButton="0" quotePrefix="0" xfId="0">
      <alignment horizontal="left" vertical="top"/>
    </xf>
    <xf numFmtId="170" fontId="39" fillId="0" borderId="36" applyAlignment="1" pivotButton="0" quotePrefix="0" xfId="0">
      <alignment horizontal="center" vertical="top"/>
    </xf>
    <xf numFmtId="0" fontId="21" fillId="5" borderId="73" applyAlignment="1" pivotButton="0" quotePrefix="0" xfId="0">
      <alignment horizontal="left" vertical="top"/>
    </xf>
    <xf numFmtId="0" fontId="0" fillId="0" borderId="112" pivotButton="0" quotePrefix="0" xfId="0"/>
    <xf numFmtId="167" fontId="7" fillId="0" borderId="38" applyAlignment="1" pivotButton="0" quotePrefix="0" xfId="0">
      <alignment horizontal="center" vertical="top" wrapText="1"/>
    </xf>
    <xf numFmtId="168" fontId="54" fillId="0" borderId="1" applyAlignment="1" pivotButton="0" quotePrefix="0" xfId="0">
      <alignment horizontal="right" vertical="top"/>
    </xf>
    <xf numFmtId="165" fontId="6" fillId="0" borderId="1" applyAlignment="1" pivotButton="0" quotePrefix="0" xfId="0">
      <alignment horizontal="center" vertical="top"/>
    </xf>
    <xf numFmtId="165" fontId="54" fillId="0" borderId="1" applyAlignment="1" pivotButton="0" quotePrefix="0" xfId="0">
      <alignment horizontal="right" vertical="top"/>
    </xf>
    <xf numFmtId="167" fontId="54" fillId="0" borderId="1" applyAlignment="1" pivotButton="0" quotePrefix="0" xfId="0">
      <alignment horizontal="right" vertical="top"/>
    </xf>
    <xf numFmtId="0" fontId="0" fillId="0" borderId="122" pivotButton="0" quotePrefix="0" xfId="0"/>
    <xf numFmtId="0" fontId="0" fillId="0" borderId="169" pivotButton="0" quotePrefix="0" xfId="0"/>
    <xf numFmtId="172" fontId="71" fillId="0" borderId="63" applyAlignment="1" pivotButton="0" quotePrefix="0" xfId="0">
      <alignment horizontal="right" vertical="center"/>
    </xf>
    <xf numFmtId="165" fontId="50" fillId="0" borderId="63" applyAlignment="1" pivotButton="0" quotePrefix="0" xfId="0">
      <alignment horizontal="right" vertical="center"/>
    </xf>
    <xf numFmtId="174" fontId="71" fillId="0" borderId="61" applyAlignment="1" pivotButton="0" quotePrefix="0" xfId="0">
      <alignment horizontal="right" vertical="center"/>
    </xf>
    <xf numFmtId="166" fontId="50" fillId="0" borderId="61" applyAlignment="1" pivotButton="0" quotePrefix="0" xfId="0">
      <alignment horizontal="right" vertical="center"/>
    </xf>
    <xf numFmtId="171" fontId="71" fillId="0" borderId="61" applyAlignment="1" pivotButton="0" quotePrefix="0" xfId="0">
      <alignment horizontal="right" vertical="center"/>
    </xf>
    <xf numFmtId="164" fontId="50" fillId="0" borderId="61" applyAlignment="1" pivotButton="0" quotePrefix="0" xfId="0">
      <alignment horizontal="right" vertical="center"/>
    </xf>
    <xf numFmtId="172" fontId="71" fillId="0" borderId="61" applyAlignment="1" pivotButton="0" quotePrefix="0" xfId="0">
      <alignment horizontal="right" vertical="center"/>
    </xf>
    <xf numFmtId="172" fontId="50" fillId="0" borderId="61" applyAlignment="1" pivotButton="0" quotePrefix="0" xfId="1">
      <alignment horizontal="right" vertical="center"/>
    </xf>
    <xf numFmtId="166" fontId="0" fillId="0" borderId="61" applyAlignment="1" pivotButton="0" quotePrefix="0" xfId="0">
      <alignment horizontal="right" vertical="center"/>
    </xf>
    <xf numFmtId="177" fontId="71" fillId="0" borderId="61" applyAlignment="1" pivotButton="0" quotePrefix="0" xfId="0">
      <alignment horizontal="right" vertical="center"/>
    </xf>
    <xf numFmtId="168" fontId="71" fillId="0" borderId="61" applyAlignment="1" pivotButton="0" quotePrefix="0" xfId="0">
      <alignment horizontal="right" vertical="center"/>
    </xf>
    <xf numFmtId="176" fontId="52" fillId="0" borderId="61" applyAlignment="1" pivotButton="0" quotePrefix="0" xfId="5">
      <alignment horizontal="right" vertical="center"/>
    </xf>
    <xf numFmtId="176" fontId="50" fillId="0" borderId="61" applyAlignment="1" pivotButton="0" quotePrefix="0" xfId="5">
      <alignment horizontal="right" vertical="center"/>
    </xf>
    <xf numFmtId="172" fontId="52" fillId="0" borderId="61" applyAlignment="1" pivotButton="0" quotePrefix="0" xfId="1">
      <alignment horizontal="right" vertical="center"/>
    </xf>
    <xf numFmtId="172" fontId="51" fillId="0" borderId="61" applyAlignment="1" pivotButton="0" quotePrefix="0" xfId="0">
      <alignment horizontal="right" vertical="center"/>
    </xf>
    <xf numFmtId="174" fontId="52" fillId="0" borderId="61" applyAlignment="1" pivotButton="0" quotePrefix="0" xfId="0">
      <alignment horizontal="right" vertical="center"/>
    </xf>
    <xf numFmtId="165" fontId="53" fillId="0" borderId="108" applyAlignment="1" pivotButton="0" quotePrefix="0" xfId="0">
      <alignment horizontal="center" vertical="center" wrapText="1"/>
    </xf>
    <xf numFmtId="0" fontId="0" fillId="0" borderId="165" pivotButton="0" quotePrefix="0" xfId="0"/>
    <xf numFmtId="0" fontId="0" fillId="0" borderId="166" pivotButton="0" quotePrefix="0" xfId="0"/>
    <xf numFmtId="165" fontId="53" fillId="0" borderId="32" applyAlignment="1" pivotButton="0" quotePrefix="0" xfId="0">
      <alignment horizontal="center" vertical="center" wrapText="1"/>
    </xf>
    <xf numFmtId="0" fontId="0" fillId="0" borderId="151" pivotButton="0" quotePrefix="0" xfId="0"/>
    <xf numFmtId="0" fontId="0" fillId="0" borderId="39" pivotButton="0" quotePrefix="0" xfId="0"/>
    <xf numFmtId="0" fontId="0" fillId="0" borderId="42" pivotButton="0" quotePrefix="0" xfId="0"/>
    <xf numFmtId="165" fontId="53" fillId="0" borderId="53" applyAlignment="1" pivotButton="0" quotePrefix="0" xfId="0">
      <alignment horizontal="center" vertical="center" wrapText="1"/>
    </xf>
    <xf numFmtId="0" fontId="0" fillId="0" borderId="40" pivotButton="0" quotePrefix="0" xfId="0"/>
    <xf numFmtId="166" fontId="53" fillId="0" borderId="108" applyAlignment="1" pivotButton="0" quotePrefix="0" xfId="0">
      <alignment horizontal="center" vertical="center" wrapText="1"/>
    </xf>
    <xf numFmtId="166" fontId="53" fillId="0" borderId="32" applyAlignment="1" pivotButton="0" quotePrefix="0" xfId="0">
      <alignment horizontal="center" vertical="center" wrapText="1"/>
    </xf>
    <xf numFmtId="166" fontId="53" fillId="0" borderId="53" applyAlignment="1" pivotButton="0" quotePrefix="0" xfId="0">
      <alignment horizontal="center" vertical="center" wrapText="1"/>
    </xf>
    <xf numFmtId="164" fontId="53" fillId="0" borderId="108" applyAlignment="1" pivotButton="0" quotePrefix="0" xfId="0">
      <alignment horizontal="center" vertical="center" wrapText="1"/>
    </xf>
    <xf numFmtId="164" fontId="53" fillId="0" borderId="32" applyAlignment="1" pivotButton="0" quotePrefix="0" xfId="0">
      <alignment horizontal="center" vertical="center" wrapText="1"/>
    </xf>
    <xf numFmtId="164" fontId="53" fillId="0" borderId="53" applyAlignment="1" pivotButton="0" quotePrefix="0" xfId="0">
      <alignment horizontal="center" vertical="center" wrapText="1"/>
    </xf>
    <xf numFmtId="167" fontId="53" fillId="0" borderId="108" applyAlignment="1" pivotButton="0" quotePrefix="0" xfId="0">
      <alignment horizontal="center" vertical="center" wrapText="1"/>
    </xf>
    <xf numFmtId="167" fontId="53" fillId="0" borderId="32" applyAlignment="1" pivotButton="0" quotePrefix="0" xfId="0">
      <alignment horizontal="center" vertical="center" wrapText="1"/>
    </xf>
    <xf numFmtId="167" fontId="53" fillId="0" borderId="114" applyAlignment="1" pivotButton="0" quotePrefix="0" xfId="0">
      <alignment horizontal="center" vertical="center" wrapText="1"/>
    </xf>
    <xf numFmtId="165" fontId="6" fillId="0" borderId="32" applyAlignment="1" pivotButton="0" quotePrefix="0" xfId="0">
      <alignment horizontal="center" vertical="center"/>
    </xf>
    <xf numFmtId="165" fontId="6" fillId="2" borderId="32" applyAlignment="1" pivotButton="0" quotePrefix="0" xfId="0">
      <alignment horizontal="center" vertical="center"/>
    </xf>
    <xf numFmtId="166" fontId="6" fillId="2" borderId="32" applyAlignment="1" pivotButton="0" quotePrefix="0" xfId="0">
      <alignment horizontal="center" vertical="center"/>
    </xf>
    <xf numFmtId="165" fontId="8" fillId="0" borderId="32" applyAlignment="1" pivotButton="0" quotePrefix="0" xfId="0">
      <alignment horizontal="center" vertical="center"/>
    </xf>
    <xf numFmtId="0" fontId="73" fillId="0" borderId="100" applyAlignment="1" pivotButton="0" quotePrefix="0" xfId="0">
      <alignment horizontal="center" vertical="center"/>
    </xf>
    <xf numFmtId="0" fontId="0" fillId="0" borderId="120" pivotButton="0" quotePrefix="0" xfId="0"/>
    <xf numFmtId="0" fontId="74" fillId="10" borderId="102" applyAlignment="1" pivotButton="0" quotePrefix="0" xfId="0">
      <alignment horizontal="center" vertical="center"/>
    </xf>
    <xf numFmtId="171" fontId="70" fillId="0" borderId="32" applyAlignment="1" pivotButton="0" quotePrefix="0" xfId="0">
      <alignment horizontal="center" vertical="center" wrapText="1"/>
    </xf>
    <xf numFmtId="169" fontId="70" fillId="0" borderId="42" applyAlignment="1" pivotButton="0" quotePrefix="0" xfId="0">
      <alignment horizontal="center" vertical="center" wrapText="1"/>
    </xf>
    <xf numFmtId="169" fontId="70" fillId="0" borderId="53" applyAlignment="1" pivotButton="0" quotePrefix="0" xfId="0">
      <alignment horizontal="center" vertical="center" wrapText="1"/>
    </xf>
    <xf numFmtId="169" fontId="0" fillId="0" borderId="42" applyAlignment="1" pivotButton="0" quotePrefix="0" xfId="0">
      <alignment horizontal="center" vertical="center" wrapText="1"/>
    </xf>
    <xf numFmtId="0" fontId="73" fillId="0" borderId="100" applyAlignment="1" pivotButton="0" quotePrefix="0" xfId="0">
      <alignment horizontal="center" vertical="top"/>
    </xf>
    <xf numFmtId="172" fontId="60" fillId="0" borderId="32" applyAlignment="1" pivotButton="0" quotePrefix="0" xfId="1">
      <alignment horizontal="right" vertical="center" wrapText="1"/>
    </xf>
    <xf numFmtId="172" fontId="60" fillId="0" borderId="41" applyAlignment="1" pivotButton="0" quotePrefix="0" xfId="1">
      <alignment horizontal="right" vertical="center" wrapText="1"/>
    </xf>
    <xf numFmtId="171" fontId="60" fillId="0" borderId="32" applyAlignment="1" pivotButton="0" quotePrefix="0" xfId="0">
      <alignment horizontal="right" vertical="center" wrapText="1"/>
    </xf>
    <xf numFmtId="171" fontId="60" fillId="0" borderId="41" applyAlignment="1" pivotButton="0" quotePrefix="0" xfId="0">
      <alignment horizontal="right" vertical="center" wrapText="1"/>
    </xf>
    <xf numFmtId="171" fontId="60" fillId="0" borderId="114" applyAlignment="1" pivotButton="0" quotePrefix="0" xfId="0">
      <alignment horizontal="right" vertical="center" wrapText="1"/>
    </xf>
    <xf numFmtId="171" fontId="55" fillId="0" borderId="114" applyAlignment="1" pivotButton="0" quotePrefix="0" xfId="0">
      <alignment horizontal="right" vertical="center" wrapText="1"/>
    </xf>
    <xf numFmtId="171" fontId="55" fillId="0" borderId="130" applyAlignment="1" pivotButton="0" quotePrefix="0" xfId="0">
      <alignment horizontal="right" vertical="center" wrapText="1"/>
    </xf>
    <xf numFmtId="172" fontId="52" fillId="0" borderId="32" applyAlignment="1" pivotButton="0" quotePrefix="0" xfId="0">
      <alignment horizontal="right" vertical="top" wrapText="1"/>
    </xf>
    <xf numFmtId="172" fontId="52" fillId="0" borderId="41" applyAlignment="1" pivotButton="0" quotePrefix="0" xfId="0">
      <alignment horizontal="right" vertical="top" wrapText="1"/>
    </xf>
    <xf numFmtId="172" fontId="51" fillId="0" borderId="53" applyAlignment="1" pivotButton="0" quotePrefix="0" xfId="0">
      <alignment horizontal="right" vertical="top" wrapText="1"/>
    </xf>
    <xf numFmtId="172" fontId="51" fillId="0" borderId="87" applyAlignment="1" pivotButton="0" quotePrefix="0" xfId="0">
      <alignment horizontal="right" vertical="top" wrapText="1"/>
    </xf>
    <xf numFmtId="172" fontId="52" fillId="0" borderId="0" applyAlignment="1" pivotButton="0" quotePrefix="0" xfId="0">
      <alignment horizontal="right" vertical="top" wrapText="1"/>
    </xf>
    <xf numFmtId="171" fontId="51" fillId="0" borderId="42" applyAlignment="1" pivotButton="0" quotePrefix="0" xfId="0">
      <alignment horizontal="center" vertical="center" wrapText="1"/>
    </xf>
    <xf numFmtId="171" fontId="51" fillId="0" borderId="32" applyAlignment="1" pivotButton="0" quotePrefix="0" xfId="0">
      <alignment horizontal="center" vertical="center" wrapText="1"/>
    </xf>
    <xf numFmtId="171" fontId="52" fillId="8" borderId="53" applyAlignment="1" pivotButton="0" quotePrefix="0" xfId="0">
      <alignment horizontal="center" vertical="center" wrapText="1"/>
    </xf>
    <xf numFmtId="0" fontId="0" fillId="0" borderId="171" pivotButton="0" quotePrefix="0" xfId="0"/>
    <xf numFmtId="0" fontId="0" fillId="0" borderId="88" pivotButton="0" quotePrefix="0" xfId="0"/>
    <xf numFmtId="0" fontId="0" fillId="0" borderId="170" pivotButton="0" quotePrefix="0" xfId="0"/>
    <xf numFmtId="171" fontId="51" fillId="0" borderId="80" applyAlignment="1" pivotButton="0" quotePrefix="0" xfId="0">
      <alignment horizontal="center" vertical="center" wrapText="1"/>
    </xf>
    <xf numFmtId="172" fontId="51" fillId="0" borderId="32" applyAlignment="1" pivotButton="0" quotePrefix="0" xfId="0">
      <alignment horizontal="center" vertical="center" wrapText="1"/>
    </xf>
    <xf numFmtId="172" fontId="51" fillId="0" borderId="41" applyAlignment="1" pivotButton="0" quotePrefix="0" xfId="0">
      <alignment horizontal="center" vertical="center" wrapText="1"/>
    </xf>
    <xf numFmtId="171" fontId="51" fillId="0" borderId="41" applyAlignment="1" pivotButton="0" quotePrefix="0" xfId="0">
      <alignment horizontal="center" vertical="center" wrapText="1"/>
    </xf>
    <xf numFmtId="172" fontId="57" fillId="0" borderId="32" applyAlignment="1" pivotButton="0" quotePrefix="0" xfId="0">
      <alignment horizontal="center" vertical="center" wrapText="1"/>
    </xf>
    <xf numFmtId="172" fontId="57" fillId="0" borderId="41" applyAlignment="1" pivotButton="0" quotePrefix="0" xfId="0">
      <alignment horizontal="center" vertical="center" wrapText="1"/>
    </xf>
    <xf numFmtId="172" fontId="57" fillId="0" borderId="53" applyAlignment="1" pivotButton="0" quotePrefix="0" xfId="0">
      <alignment horizontal="center" vertical="center" wrapText="1"/>
    </xf>
    <xf numFmtId="172" fontId="57" fillId="0" borderId="87" applyAlignment="1" pivotButton="0" quotePrefix="0" xfId="0">
      <alignment horizontal="center" vertical="center" wrapText="1"/>
    </xf>
    <xf numFmtId="171" fontId="71" fillId="0" borderId="32" applyAlignment="1" pivotButton="0" quotePrefix="0" xfId="0">
      <alignment horizontal="center" vertical="center" wrapText="1"/>
    </xf>
    <xf numFmtId="172" fontId="52" fillId="0" borderId="32" applyAlignment="1" pivotButton="0" quotePrefix="0" xfId="0">
      <alignment horizontal="center" vertical="center" wrapText="1"/>
    </xf>
    <xf numFmtId="171" fontId="51" fillId="0" borderId="42" applyAlignment="1" pivotButton="0" quotePrefix="0" xfId="0">
      <alignment horizontal="right" vertical="center" wrapText="1"/>
    </xf>
    <xf numFmtId="171" fontId="50" fillId="0" borderId="40" applyAlignment="1" pivotButton="0" quotePrefix="0" xfId="0">
      <alignment horizontal="right" vertical="center" wrapText="1"/>
    </xf>
    <xf numFmtId="171" fontId="51" fillId="0" borderId="32" applyAlignment="1" pivotButton="0" quotePrefix="0" xfId="0">
      <alignment horizontal="right" vertical="center" wrapText="1"/>
    </xf>
    <xf numFmtId="171" fontId="50" fillId="0" borderId="36" applyAlignment="1" pivotButton="0" quotePrefix="0" xfId="0">
      <alignment horizontal="right" vertical="center" wrapText="1"/>
    </xf>
    <xf numFmtId="171" fontId="51" fillId="0" borderId="53" applyAlignment="1" pivotButton="0" quotePrefix="0" xfId="0">
      <alignment horizontal="right" vertical="center" wrapText="1"/>
    </xf>
    <xf numFmtId="171" fontId="50" fillId="0" borderId="38" applyAlignment="1" pivotButton="0" quotePrefix="0" xfId="0">
      <alignment horizontal="right" vertical="center" wrapText="1"/>
    </xf>
    <xf numFmtId="0" fontId="0" fillId="0" borderId="83" pivotButton="0" quotePrefix="0" xfId="0"/>
    <xf numFmtId="0" fontId="0" fillId="0" borderId="84" pivotButton="0" quotePrefix="0" xfId="0"/>
    <xf numFmtId="171" fontId="60" fillId="0" borderId="40" applyAlignment="1" pivotButton="0" quotePrefix="0" xfId="0">
      <alignment horizontal="left" vertical="center" wrapText="1"/>
    </xf>
    <xf numFmtId="0" fontId="55" fillId="0" borderId="36" applyAlignment="1" pivotButton="0" quotePrefix="0" xfId="0">
      <alignment horizontal="left" vertical="center" wrapText="1"/>
    </xf>
    <xf numFmtId="0" fontId="55" fillId="7" borderId="36" applyAlignment="1" pivotButton="0" quotePrefix="0" xfId="0">
      <alignment horizontal="left" vertical="center" wrapText="1"/>
    </xf>
    <xf numFmtId="0" fontId="55" fillId="0" borderId="38" applyAlignment="1" pivotButton="0" quotePrefix="0" xfId="0">
      <alignment horizontal="left" vertical="center" wrapText="1"/>
    </xf>
    <xf numFmtId="0" fontId="0" fillId="0" borderId="89" pivotButton="0" quotePrefix="0" xfId="0"/>
    <xf numFmtId="170" fontId="41" fillId="3" borderId="79" applyAlignment="1" pivotButton="0" quotePrefix="0" xfId="0">
      <alignment horizontal="right" vertical="center" wrapText="1"/>
    </xf>
    <xf numFmtId="175" fontId="57" fillId="0" borderId="42" applyAlignment="1" pivotButton="0" quotePrefix="0" xfId="0">
      <alignment horizontal="right" vertical="center" wrapText="1"/>
    </xf>
    <xf numFmtId="170" fontId="52" fillId="0" borderId="42" applyAlignment="1" pivotButton="0" quotePrefix="0" xfId="0">
      <alignment horizontal="right" vertical="center" wrapText="1"/>
    </xf>
    <xf numFmtId="170" fontId="0" fillId="0" borderId="40" applyAlignment="1" pivotButton="0" quotePrefix="0" xfId="0">
      <alignment horizontal="right" vertical="center" wrapText="1"/>
    </xf>
    <xf numFmtId="175" fontId="57" fillId="0" borderId="32" applyAlignment="1" pivotButton="0" quotePrefix="0" xfId="0">
      <alignment horizontal="right" vertical="center" wrapText="1"/>
    </xf>
    <xf numFmtId="170" fontId="52" fillId="0" borderId="32" applyAlignment="1" pivotButton="0" quotePrefix="0" xfId="0">
      <alignment horizontal="right" vertical="center" wrapText="1"/>
    </xf>
    <xf numFmtId="175" fontId="57" fillId="0" borderId="53" applyAlignment="1" pivotButton="0" quotePrefix="0" xfId="0">
      <alignment horizontal="right" vertical="center" wrapText="1"/>
    </xf>
    <xf numFmtId="170" fontId="52" fillId="0" borderId="53" applyAlignment="1" pivotButton="0" quotePrefix="0" xfId="0">
      <alignment horizontal="right" vertical="center" wrapText="1"/>
    </xf>
    <xf numFmtId="170" fontId="0" fillId="0" borderId="55" applyAlignment="1" pivotButton="0" quotePrefix="0" xfId="0">
      <alignment horizontal="right" vertical="center" wrapText="1"/>
    </xf>
    <xf numFmtId="171" fontId="51" fillId="7" borderId="42" applyAlignment="1" pivotButton="0" quotePrefix="0" xfId="0">
      <alignment horizontal="right" vertical="center" wrapText="1"/>
    </xf>
    <xf numFmtId="171" fontId="51" fillId="7" borderId="40" applyAlignment="1" pivotButton="0" quotePrefix="0" xfId="0">
      <alignment horizontal="right" vertical="center" wrapText="1"/>
    </xf>
    <xf numFmtId="171" fontId="51" fillId="7" borderId="32" applyAlignment="1" pivotButton="0" quotePrefix="0" xfId="0">
      <alignment horizontal="right" vertical="center" wrapText="1"/>
    </xf>
    <xf numFmtId="171" fontId="51" fillId="7" borderId="53" applyAlignment="1" pivotButton="0" quotePrefix="0" xfId="0">
      <alignment horizontal="right" vertical="center" wrapText="1"/>
    </xf>
    <xf numFmtId="171" fontId="51" fillId="7" borderId="104" applyAlignment="1" pivotButton="0" quotePrefix="0" xfId="0">
      <alignment horizontal="right" vertical="center" wrapText="1"/>
    </xf>
    <xf numFmtId="171" fontId="51" fillId="7" borderId="55" applyAlignment="1" pivotButton="0" quotePrefix="0" xfId="0">
      <alignment horizontal="right" vertical="center" wrapText="1"/>
    </xf>
    <xf numFmtId="165" fontId="59" fillId="0" borderId="42" applyAlignment="1" pivotButton="0" quotePrefix="0" xfId="0">
      <alignment horizontal="right" vertical="center"/>
    </xf>
    <xf numFmtId="165" fontId="59" fillId="0" borderId="80" applyAlignment="1" pivotButton="0" quotePrefix="0" xfId="0">
      <alignment horizontal="right" vertical="center"/>
    </xf>
    <xf numFmtId="166" fontId="59" fillId="0" borderId="32" applyAlignment="1" pivotButton="0" quotePrefix="0" xfId="0">
      <alignment horizontal="right" vertical="center"/>
    </xf>
    <xf numFmtId="166" fontId="59" fillId="0" borderId="41" applyAlignment="1" pivotButton="0" quotePrefix="0" xfId="0">
      <alignment horizontal="right" vertical="center"/>
    </xf>
    <xf numFmtId="165" fontId="6" fillId="0" borderId="32" applyAlignment="1" pivotButton="0" quotePrefix="0" xfId="0">
      <alignment horizontal="right" vertical="center"/>
    </xf>
    <xf numFmtId="165" fontId="6" fillId="0" borderId="41" applyAlignment="1" pivotButton="0" quotePrefix="0" xfId="0">
      <alignment horizontal="right" vertical="center"/>
    </xf>
    <xf numFmtId="168" fontId="20" fillId="0" borderId="32" applyAlignment="1" pivotButton="0" quotePrefix="0" xfId="0">
      <alignment horizontal="right" vertical="center"/>
    </xf>
    <xf numFmtId="168" fontId="20" fillId="0" borderId="41" applyAlignment="1" pivotButton="0" quotePrefix="0" xfId="0">
      <alignment horizontal="right" vertical="center"/>
    </xf>
    <xf numFmtId="164" fontId="6" fillId="0" borderId="32" applyAlignment="1" pivotButton="0" quotePrefix="0" xfId="0">
      <alignment horizontal="right" vertical="center"/>
    </xf>
    <xf numFmtId="169" fontId="53" fillId="0" borderId="32" applyAlignment="1" pivotButton="0" quotePrefix="0" xfId="0">
      <alignment horizontal="right" vertical="center"/>
    </xf>
    <xf numFmtId="169" fontId="6" fillId="0" borderId="32" applyAlignment="1" pivotButton="0" quotePrefix="0" xfId="0">
      <alignment horizontal="right" vertical="center"/>
    </xf>
    <xf numFmtId="169" fontId="6" fillId="0" borderId="41" applyAlignment="1" pivotButton="0" quotePrefix="0" xfId="0">
      <alignment horizontal="right" vertical="center"/>
    </xf>
    <xf numFmtId="165" fontId="0" fillId="0" borderId="32" applyAlignment="1" pivotButton="0" quotePrefix="0" xfId="0">
      <alignment horizontal="right" vertical="center"/>
    </xf>
    <xf numFmtId="165" fontId="0" fillId="0" borderId="41" applyAlignment="1" pivotButton="0" quotePrefix="0" xfId="0">
      <alignment horizontal="right" vertical="center"/>
    </xf>
    <xf numFmtId="168" fontId="7" fillId="0" borderId="53" applyAlignment="1" pivotButton="0" quotePrefix="0" xfId="0">
      <alignment horizontal="right" vertical="center"/>
    </xf>
    <xf numFmtId="168" fontId="7" fillId="0" borderId="87" applyAlignment="1" pivotButton="0" quotePrefix="0" xfId="0">
      <alignment horizontal="right" vertical="center"/>
    </xf>
    <xf numFmtId="171" fontId="57" fillId="0" borderId="42" applyAlignment="1" pivotButton="0" quotePrefix="0" xfId="0">
      <alignment horizontal="right" vertical="center" wrapText="1"/>
    </xf>
    <xf numFmtId="171" fontId="57" fillId="0" borderId="40" applyAlignment="1" pivotButton="0" quotePrefix="0" xfId="0">
      <alignment horizontal="right" vertical="center" wrapText="1"/>
    </xf>
    <xf numFmtId="171" fontId="57" fillId="0" borderId="32" applyAlignment="1" pivotButton="0" quotePrefix="0" xfId="0">
      <alignment horizontal="right" vertical="center" wrapText="1"/>
    </xf>
    <xf numFmtId="171" fontId="57" fillId="0" borderId="36" applyAlignment="1" pivotButton="0" quotePrefix="0" xfId="0">
      <alignment horizontal="right" vertical="center" wrapText="1"/>
    </xf>
    <xf numFmtId="171" fontId="51" fillId="0" borderId="36" applyAlignment="1" pivotButton="0" quotePrefix="0" xfId="0">
      <alignment horizontal="right" vertical="center" wrapText="1"/>
    </xf>
    <xf numFmtId="172" fontId="51" fillId="0" borderId="32" applyAlignment="1" pivotButton="0" quotePrefix="0" xfId="0">
      <alignment horizontal="right" vertical="center" wrapText="1"/>
    </xf>
    <xf numFmtId="172" fontId="51" fillId="0" borderId="36" applyAlignment="1" pivotButton="0" quotePrefix="0" xfId="0">
      <alignment horizontal="right" vertical="center" wrapText="1"/>
    </xf>
    <xf numFmtId="171" fontId="50" fillId="0" borderId="32" applyAlignment="1" pivotButton="0" quotePrefix="0" xfId="0">
      <alignment horizontal="right" vertical="center" wrapText="1"/>
    </xf>
    <xf numFmtId="173" fontId="50" fillId="0" borderId="53" applyAlignment="1" pivotButton="0" quotePrefix="0" xfId="0">
      <alignment horizontal="right" vertical="center" wrapText="1"/>
    </xf>
    <xf numFmtId="173" fontId="50" fillId="0" borderId="38" applyAlignment="1" pivotButton="0" quotePrefix="0" xfId="0">
      <alignment horizontal="right" vertical="center" wrapText="1"/>
    </xf>
    <xf numFmtId="171" fontId="71" fillId="0" borderId="42" applyAlignment="1" pivotButton="0" quotePrefix="0" xfId="0">
      <alignment horizontal="right" vertical="center" wrapText="1"/>
    </xf>
    <xf numFmtId="171" fontId="70" fillId="0" borderId="32" applyAlignment="1" pivotButton="0" quotePrefix="0" xfId="0">
      <alignment horizontal="right" vertical="center" wrapText="1"/>
    </xf>
    <xf numFmtId="171" fontId="71" fillId="0" borderId="32" applyAlignment="1" pivotButton="0" quotePrefix="0" xfId="0">
      <alignment horizontal="right" vertical="center" wrapText="1"/>
    </xf>
    <xf numFmtId="172" fontId="50" fillId="0" borderId="36" applyAlignment="1" pivotButton="0" quotePrefix="0" xfId="0">
      <alignment horizontal="right" vertical="center" wrapText="1"/>
    </xf>
    <xf numFmtId="171" fontId="71" fillId="0" borderId="53" applyAlignment="1" pivotButton="0" quotePrefix="0" xfId="0">
      <alignment horizontal="right" vertical="center" wrapText="1"/>
    </xf>
    <xf numFmtId="172" fontId="50" fillId="0" borderId="38" applyAlignment="1" pivotButton="0" quotePrefix="0" xfId="0">
      <alignment horizontal="right" vertical="center" wrapText="1"/>
    </xf>
    <xf numFmtId="174" fontId="57" fillId="0" borderId="32" applyAlignment="1" pivotButton="0" quotePrefix="0" xfId="0">
      <alignment horizontal="right" vertical="center" wrapText="1"/>
    </xf>
    <xf numFmtId="173" fontId="57" fillId="0" borderId="106" applyAlignment="1" pivotButton="0" quotePrefix="0" xfId="0">
      <alignment horizontal="right" vertical="center" wrapText="1"/>
    </xf>
    <xf numFmtId="171" fontId="58" fillId="0" borderId="104" applyAlignment="1" pivotButton="0" quotePrefix="0" xfId="0">
      <alignment horizontal="right" vertical="center" wrapText="1"/>
    </xf>
    <xf numFmtId="171" fontId="0" fillId="0" borderId="32" applyAlignment="1" pivotButton="0" quotePrefix="0" xfId="0">
      <alignment horizontal="right" vertical="center" wrapText="1"/>
    </xf>
    <xf numFmtId="171" fontId="0" fillId="0" borderId="36" applyAlignment="1" pivotButton="0" quotePrefix="0" xfId="0">
      <alignment horizontal="right" vertical="center" wrapText="1"/>
    </xf>
    <xf numFmtId="171" fontId="51" fillId="0" borderId="0" applyAlignment="1" pivotButton="0" quotePrefix="0" xfId="0">
      <alignment horizontal="center" vertical="center" wrapText="1"/>
    </xf>
    <xf numFmtId="173" fontId="50" fillId="0" borderId="32" applyAlignment="1" pivotButton="0" quotePrefix="0" xfId="0">
      <alignment horizontal="right" vertical="center" wrapText="1"/>
    </xf>
    <xf numFmtId="173" fontId="50" fillId="0" borderId="36" applyAlignment="1" pivotButton="0" quotePrefix="0" xfId="0">
      <alignment horizontal="right" vertical="center" wrapText="1"/>
    </xf>
    <xf numFmtId="171" fontId="52" fillId="0" borderId="42" applyAlignment="1" pivotButton="0" quotePrefix="0" xfId="0">
      <alignment horizontal="right" vertical="center" wrapText="1"/>
    </xf>
    <xf numFmtId="172" fontId="50" fillId="0" borderId="40" applyAlignment="1" pivotButton="0" quotePrefix="0" xfId="0">
      <alignment horizontal="right" vertical="center" wrapText="1"/>
    </xf>
    <xf numFmtId="171" fontId="50" fillId="0" borderId="53" applyAlignment="1" pivotButton="0" quotePrefix="0" xfId="0">
      <alignment horizontal="right" vertical="center" wrapText="1"/>
    </xf>
    <xf numFmtId="172" fontId="51" fillId="0" borderId="53" applyAlignment="1" pivotButton="0" quotePrefix="0" xfId="0">
      <alignment horizontal="right" vertical="center" wrapText="1"/>
    </xf>
    <xf numFmtId="0" fontId="0" fillId="0" borderId="115" pivotButton="0" quotePrefix="0" xfId="0"/>
    <xf numFmtId="164" fontId="59" fillId="0" borderId="32" applyAlignment="1" pivotButton="0" quotePrefix="0" xfId="0">
      <alignment horizontal="right" vertical="center"/>
    </xf>
    <xf numFmtId="168" fontId="59" fillId="0" borderId="32" applyAlignment="1" pivotButton="0" quotePrefix="0" xfId="0">
      <alignment horizontal="right" vertical="center"/>
    </xf>
    <xf numFmtId="168" fontId="6" fillId="0" borderId="32" applyAlignment="1" pivotButton="0" quotePrefix="0" xfId="0">
      <alignment horizontal="right" vertical="center"/>
    </xf>
    <xf numFmtId="165" fontId="59" fillId="0" borderId="32" applyAlignment="1" pivotButton="0" quotePrefix="0" xfId="0">
      <alignment horizontal="right" vertical="center"/>
    </xf>
    <xf numFmtId="164" fontId="20" fillId="0" borderId="32" applyAlignment="1" pivotButton="0" quotePrefix="0" xfId="0">
      <alignment horizontal="right" vertical="center"/>
    </xf>
    <xf numFmtId="164" fontId="6" fillId="0" borderId="53" applyAlignment="1" pivotButton="0" quotePrefix="0" xfId="0">
      <alignment horizontal="right" vertical="center"/>
    </xf>
    <xf numFmtId="172" fontId="50" fillId="0" borderId="32" applyAlignment="1" pivotButton="0" quotePrefix="0" xfId="0">
      <alignment horizontal="right" vertical="center" wrapText="1"/>
    </xf>
    <xf numFmtId="171" fontId="50" fillId="0" borderId="42" applyAlignment="1" pivotButton="0" quotePrefix="0" xfId="0">
      <alignment horizontal="right" vertical="center" wrapText="1"/>
    </xf>
    <xf numFmtId="171" fontId="26" fillId="0" borderId="53" applyAlignment="1" pivotButton="0" quotePrefix="0" xfId="0">
      <alignment horizontal="right" vertical="center" wrapText="1"/>
    </xf>
    <xf numFmtId="170" fontId="26" fillId="0" borderId="53" applyAlignment="1" pivotButton="0" quotePrefix="0" xfId="0">
      <alignment horizontal="right" vertical="center" wrapText="1"/>
    </xf>
    <xf numFmtId="170" fontId="26" fillId="0" borderId="38" applyAlignment="1" pivotButton="0" quotePrefix="0" xfId="0">
      <alignment horizontal="right" vertical="center" wrapText="1"/>
    </xf>
    <xf numFmtId="0" fontId="0" fillId="0" borderId="174" pivotButton="0" quotePrefix="0" xfId="0"/>
    <xf numFmtId="170" fontId="55" fillId="0" borderId="42" applyAlignment="1" pivotButton="0" quotePrefix="0" xfId="0">
      <alignment horizontal="center" vertical="center" wrapText="1"/>
    </xf>
    <xf numFmtId="170" fontId="55" fillId="0" borderId="32" applyAlignment="1" pivotButton="0" quotePrefix="0" xfId="0">
      <alignment horizontal="center" vertical="center" wrapText="1"/>
    </xf>
    <xf numFmtId="170" fontId="55" fillId="0" borderId="114" applyAlignment="1" pivotButton="0" quotePrefix="0" xfId="0">
      <alignment horizontal="center" vertical="center" wrapText="1"/>
    </xf>
    <xf numFmtId="170" fontId="55" fillId="0" borderId="53" applyAlignment="1" pivotButton="0" quotePrefix="0" xfId="0">
      <alignment horizontal="center" vertical="center" wrapText="1"/>
    </xf>
    <xf numFmtId="171" fontId="52" fillId="0" borderId="32" applyAlignment="1" pivotButton="0" quotePrefix="0" xfId="0">
      <alignment horizontal="right" vertical="center" wrapText="1"/>
    </xf>
    <xf numFmtId="171" fontId="58" fillId="0" borderId="32" applyAlignment="1" pivotButton="0" quotePrefix="0" xfId="0">
      <alignment horizontal="right" vertical="center" wrapText="1"/>
    </xf>
    <xf numFmtId="174" fontId="50" fillId="0" borderId="32" applyAlignment="1" pivotButton="0" quotePrefix="0" xfId="0">
      <alignment horizontal="right" vertical="center" wrapText="1"/>
    </xf>
    <xf numFmtId="170" fontId="55" fillId="0" borderId="42" applyAlignment="1" pivotButton="0" quotePrefix="0" xfId="0">
      <alignment horizontal="right" vertical="center" wrapText="1"/>
    </xf>
    <xf numFmtId="170" fontId="55" fillId="0" borderId="40" applyAlignment="1" pivotButton="0" quotePrefix="0" xfId="0">
      <alignment horizontal="right" vertical="center" wrapText="1"/>
    </xf>
    <xf numFmtId="170" fontId="55" fillId="0" borderId="32" applyAlignment="1" pivotButton="0" quotePrefix="0" xfId="0">
      <alignment horizontal="right" vertical="center" wrapText="1"/>
    </xf>
    <xf numFmtId="170" fontId="55" fillId="0" borderId="36" applyAlignment="1" pivotButton="0" quotePrefix="0" xfId="0">
      <alignment horizontal="right" vertical="center" wrapText="1"/>
    </xf>
    <xf numFmtId="168" fontId="6" fillId="0" borderId="42" applyAlignment="1" pivotButton="0" quotePrefix="0" xfId="0">
      <alignment horizontal="right" vertical="center"/>
    </xf>
    <xf numFmtId="168" fontId="6" fillId="0" borderId="40" applyAlignment="1" pivotButton="0" quotePrefix="0" xfId="0">
      <alignment horizontal="right" vertical="center"/>
    </xf>
    <xf numFmtId="164" fontId="59" fillId="0" borderId="36" applyAlignment="1" pivotButton="0" quotePrefix="0" xfId="0">
      <alignment horizontal="right" vertical="center"/>
    </xf>
    <xf numFmtId="165" fontId="59" fillId="0" borderId="36" applyAlignment="1" pivotButton="0" quotePrefix="0" xfId="0">
      <alignment horizontal="right" vertical="center"/>
    </xf>
    <xf numFmtId="164" fontId="6" fillId="0" borderId="36" applyAlignment="1" pivotButton="0" quotePrefix="0" xfId="0">
      <alignment horizontal="right" vertical="center"/>
    </xf>
    <xf numFmtId="168" fontId="72" fillId="0" borderId="53" applyAlignment="1" pivotButton="0" quotePrefix="0" xfId="0">
      <alignment horizontal="right" vertical="center"/>
    </xf>
    <xf numFmtId="168" fontId="20" fillId="0" borderId="53" applyAlignment="1" pivotButton="0" quotePrefix="0" xfId="0">
      <alignment horizontal="right" vertical="center"/>
    </xf>
    <xf numFmtId="168" fontId="20" fillId="0" borderId="38" applyAlignment="1" pivotButton="0" quotePrefix="0" xfId="0">
      <alignment horizontal="right" vertical="center"/>
    </xf>
    <xf numFmtId="165" fontId="23" fillId="0" borderId="0" applyAlignment="1" pivotButton="0" quotePrefix="0" xfId="0">
      <alignment horizontal="right" vertical="center"/>
    </xf>
    <xf numFmtId="168" fontId="6" fillId="0" borderId="40" applyAlignment="1" pivotButton="0" quotePrefix="0" xfId="0">
      <alignment horizontal="center" vertical="center"/>
    </xf>
    <xf numFmtId="168" fontId="6" fillId="0" borderId="36" applyAlignment="1" pivotButton="0" quotePrefix="0" xfId="0">
      <alignment horizontal="center" vertical="center"/>
    </xf>
    <xf numFmtId="165" fontId="20" fillId="0" borderId="38" applyAlignment="1" pivotButton="0" quotePrefix="0" xfId="0">
      <alignment horizontal="center" vertical="center"/>
    </xf>
    <xf numFmtId="167" fontId="59" fillId="0" borderId="32" applyAlignment="1" pivotButton="0" quotePrefix="0" xfId="0">
      <alignment horizontal="right" vertical="top"/>
    </xf>
    <xf numFmtId="164" fontId="6" fillId="0" borderId="1" applyAlignment="1" pivotButton="0" quotePrefix="0" xfId="0">
      <alignment horizontal="center" vertical="center" wrapText="1"/>
    </xf>
    <xf numFmtId="167" fontId="6" fillId="0" borderId="1" applyAlignment="1" pivotButton="0" quotePrefix="0" xfId="0">
      <alignment horizontal="right" vertical="top" wrapText="1"/>
    </xf>
    <xf numFmtId="164" fontId="7" fillId="0" borderId="0" applyAlignment="1" pivotButton="0" quotePrefix="0" xfId="0">
      <alignment horizontal="right" vertical="top"/>
    </xf>
    <xf numFmtId="164" fontId="8" fillId="0" borderId="0" applyAlignment="1" pivotButton="0" quotePrefix="0" xfId="0">
      <alignment horizontal="right" vertical="top"/>
    </xf>
    <xf numFmtId="0" fontId="0" fillId="0" borderId="139" pivotButton="0" quotePrefix="0" xfId="0"/>
    <xf numFmtId="172" fontId="57" fillId="0" borderId="32" applyAlignment="1" pivotButton="0" quotePrefix="0" xfId="0">
      <alignment horizontal="right" vertical="center" wrapText="1"/>
    </xf>
    <xf numFmtId="172" fontId="57" fillId="0" borderId="36" applyAlignment="1" pivotButton="0" quotePrefix="0" xfId="0">
      <alignment horizontal="right" vertical="center" wrapText="1"/>
    </xf>
    <xf numFmtId="172" fontId="50" fillId="0" borderId="42" applyAlignment="1" pivotButton="0" quotePrefix="0" xfId="0">
      <alignment horizontal="right" vertical="center" wrapText="1"/>
    </xf>
    <xf numFmtId="171" fontId="58" fillId="0" borderId="53" applyAlignment="1" pivotButton="0" quotePrefix="0" xfId="0">
      <alignment horizontal="right" vertical="center" wrapText="1"/>
    </xf>
    <xf numFmtId="172" fontId="58" fillId="0" borderId="53" applyAlignment="1" pivotButton="0" quotePrefix="0" xfId="0">
      <alignment horizontal="right" vertical="center" wrapText="1"/>
    </xf>
    <xf numFmtId="172" fontId="58" fillId="0" borderId="38" applyAlignment="1" pivotButton="0" quotePrefix="0" xfId="0">
      <alignment horizontal="right" vertical="center" wrapText="1"/>
    </xf>
    <xf numFmtId="172" fontId="57" fillId="0" borderId="32" applyAlignment="1" pivotButton="0" quotePrefix="0" xfId="1">
      <alignment horizontal="right" vertical="center" wrapText="1"/>
    </xf>
    <xf numFmtId="172" fontId="52" fillId="0" borderId="32" applyAlignment="1" pivotButton="0" quotePrefix="0" xfId="1">
      <alignment horizontal="right" vertical="center" wrapText="1"/>
    </xf>
    <xf numFmtId="172" fontId="17" fillId="0" borderId="32" applyAlignment="1" pivotButton="0" quotePrefix="0" xfId="1">
      <alignment horizontal="center" vertical="center" wrapText="1"/>
    </xf>
    <xf numFmtId="172" fontId="47" fillId="0" borderId="32" applyAlignment="1" pivotButton="0" quotePrefix="0" xfId="1">
      <alignment horizontal="right" vertical="center" wrapText="1"/>
    </xf>
    <xf numFmtId="172" fontId="51" fillId="0" borderId="42" applyAlignment="1" pivotButton="0" quotePrefix="0" xfId="0">
      <alignment horizontal="right" vertical="center" wrapText="1"/>
    </xf>
    <xf numFmtId="172" fontId="51" fillId="0" borderId="40" applyAlignment="1" pivotButton="0" quotePrefix="0" xfId="0">
      <alignment horizontal="right" vertical="center" wrapText="1"/>
    </xf>
    <xf numFmtId="172" fontId="51" fillId="0" borderId="38" applyAlignment="1" pivotButton="0" quotePrefix="0" xfId="0">
      <alignment horizontal="right" vertical="center" wrapText="1"/>
    </xf>
    <xf numFmtId="164" fontId="6" fillId="0" borderId="1" applyAlignment="1" pivotButton="0" quotePrefix="0" xfId="0">
      <alignment horizontal="right" vertical="center"/>
    </xf>
    <xf numFmtId="164" fontId="6" fillId="0" borderId="124" applyAlignment="1" pivotButton="0" quotePrefix="0" xfId="0">
      <alignment horizontal="right" vertical="center"/>
    </xf>
    <xf numFmtId="168" fontId="6" fillId="0" borderId="1" applyAlignment="1" pivotButton="0" quotePrefix="0" xfId="0">
      <alignment horizontal="right" vertical="center"/>
    </xf>
    <xf numFmtId="168" fontId="6" fillId="0" borderId="124" applyAlignment="1" pivotButton="0" quotePrefix="0" xfId="0">
      <alignment horizontal="right" vertical="center"/>
    </xf>
    <xf numFmtId="165" fontId="16" fillId="0" borderId="1" applyAlignment="1" pivotButton="0" quotePrefix="0" xfId="0">
      <alignment horizontal="right" vertical="center"/>
    </xf>
    <xf numFmtId="165" fontId="16" fillId="0" borderId="124" applyAlignment="1" pivotButton="0" quotePrefix="0" xfId="0">
      <alignment horizontal="right" vertical="center"/>
    </xf>
    <xf numFmtId="165" fontId="6" fillId="0" borderId="1" applyAlignment="1" pivotButton="0" quotePrefix="0" xfId="0">
      <alignment horizontal="right" vertical="center"/>
    </xf>
    <xf numFmtId="165" fontId="6" fillId="0" borderId="124" applyAlignment="1" pivotButton="0" quotePrefix="0" xfId="0">
      <alignment horizontal="right" vertical="center"/>
    </xf>
    <xf numFmtId="168" fontId="6" fillId="0" borderId="126" applyAlignment="1" pivotButton="0" quotePrefix="0" xfId="0">
      <alignment horizontal="right" vertical="center"/>
    </xf>
    <xf numFmtId="168" fontId="6" fillId="0" borderId="127" applyAlignment="1" pivotButton="0" quotePrefix="0" xfId="0">
      <alignment horizontal="right" vertical="center"/>
    </xf>
    <xf numFmtId="176" fontId="68" fillId="0" borderId="36" applyAlignment="1" pivotButton="0" quotePrefix="0" xfId="5">
      <alignment horizontal="center" vertical="center" wrapText="1"/>
    </xf>
    <xf numFmtId="172" fontId="50" fillId="0" borderId="53" applyAlignment="1" pivotButton="0" quotePrefix="0" xfId="0">
      <alignment horizontal="right" vertical="center" wrapText="1"/>
    </xf>
    <xf numFmtId="176" fontId="0" fillId="0" borderId="38" applyAlignment="1" pivotButton="0" quotePrefix="0" xfId="5">
      <alignment horizontal="center" vertical="center" wrapText="1"/>
    </xf>
    <xf numFmtId="176" fontId="70" fillId="0" borderId="32" applyAlignment="1" pivotButton="0" quotePrefix="0" xfId="5">
      <alignment horizontal="right" vertical="center" wrapText="1"/>
    </xf>
    <xf numFmtId="176" fontId="0" fillId="0" borderId="32" applyAlignment="1" pivotButton="0" quotePrefix="0" xfId="0">
      <alignment horizontal="right" vertical="center" wrapText="1"/>
    </xf>
    <xf numFmtId="176" fontId="51" fillId="0" borderId="42" applyAlignment="1" pivotButton="0" quotePrefix="0" xfId="5">
      <alignment horizontal="right" vertical="center" wrapText="1"/>
    </xf>
    <xf numFmtId="176" fontId="51" fillId="0" borderId="32" applyAlignment="1" pivotButton="0" quotePrefix="0" xfId="5">
      <alignment horizontal="right" vertical="center" wrapText="1"/>
    </xf>
    <xf numFmtId="176" fontId="50" fillId="0" borderId="32" applyAlignment="1" pivotButton="0" quotePrefix="0" xfId="5">
      <alignment horizontal="right" vertical="center" wrapText="1"/>
    </xf>
    <xf numFmtId="176" fontId="0" fillId="0" borderId="32" applyAlignment="1" pivotButton="0" quotePrefix="0" xfId="5">
      <alignment horizontal="right"/>
    </xf>
    <xf numFmtId="176" fontId="17" fillId="0" borderId="32" applyAlignment="1" pivotButton="0" quotePrefix="0" xfId="5">
      <alignment horizontal="right" vertical="top" wrapText="1"/>
    </xf>
    <xf numFmtId="176" fontId="0" fillId="0" borderId="32" applyAlignment="1" pivotButton="0" quotePrefix="0" xfId="5">
      <alignment horizontal="right" vertical="center" wrapText="1"/>
    </xf>
    <xf numFmtId="176" fontId="57" fillId="0" borderId="32" applyAlignment="1" pivotButton="0" quotePrefix="0" xfId="5">
      <alignment horizontal="right" vertical="center" wrapText="1"/>
    </xf>
    <xf numFmtId="167" fontId="59" fillId="0" borderId="32" applyAlignment="1" pivotButton="0" quotePrefix="0" xfId="0">
      <alignment horizontal="right" vertical="center"/>
    </xf>
    <xf numFmtId="166" fontId="6" fillId="0" borderId="32" applyAlignment="1" pivotButton="0" quotePrefix="0" xfId="0">
      <alignment horizontal="right" vertical="center"/>
    </xf>
    <xf numFmtId="167" fontId="20" fillId="0" borderId="32" applyAlignment="1" pivotButton="0" quotePrefix="0" xfId="0">
      <alignment horizontal="right" vertical="center"/>
    </xf>
    <xf numFmtId="165" fontId="53" fillId="0" borderId="32" applyAlignment="1" pivotButton="0" quotePrefix="0" xfId="0">
      <alignment horizontal="right" vertical="center"/>
    </xf>
    <xf numFmtId="176" fontId="70" fillId="0" borderId="42" applyAlignment="1" pivotButton="0" quotePrefix="0" xfId="5">
      <alignment horizontal="center"/>
    </xf>
    <xf numFmtId="176" fontId="68" fillId="0" borderId="42" applyAlignment="1" pivotButton="0" quotePrefix="0" xfId="5">
      <alignment horizontal="right" vertical="center" wrapText="1"/>
    </xf>
    <xf numFmtId="176" fontId="70" fillId="0" borderId="32" applyAlignment="1" pivotButton="0" quotePrefix="0" xfId="5">
      <alignment horizontal="center"/>
    </xf>
    <xf numFmtId="176" fontId="68" fillId="0" borderId="32" applyAlignment="1" pivotButton="0" quotePrefix="0" xfId="5">
      <alignment horizontal="right" vertical="center" wrapText="1"/>
    </xf>
    <xf numFmtId="176" fontId="68" fillId="0" borderId="32" applyAlignment="1" pivotButton="0" quotePrefix="0" xfId="5">
      <alignment horizontal="center"/>
    </xf>
    <xf numFmtId="176" fontId="55" fillId="0" borderId="53" applyAlignment="1" pivotButton="0" quotePrefix="0" xfId="5">
      <alignment horizontal="center"/>
    </xf>
    <xf numFmtId="176" fontId="50" fillId="0" borderId="53" applyAlignment="1" pivotButton="0" quotePrefix="0" xfId="5">
      <alignment horizontal="center"/>
    </xf>
    <xf numFmtId="176" fontId="0" fillId="0" borderId="40" applyAlignment="1" pivotButton="0" quotePrefix="0" xfId="0">
      <alignment horizontal="right" vertical="center" wrapText="1"/>
    </xf>
    <xf numFmtId="176" fontId="0" fillId="0" borderId="53" applyAlignment="1" pivotButton="0" quotePrefix="0" xfId="5">
      <alignment horizontal="right" vertical="center" wrapText="1"/>
    </xf>
    <xf numFmtId="176" fontId="26" fillId="0" borderId="38" applyAlignment="1" pivotButton="0" quotePrefix="0" xfId="0">
      <alignment horizontal="right" vertical="center" wrapText="1"/>
    </xf>
    <xf numFmtId="0" fontId="0" fillId="0" borderId="175" pivotButton="0" quotePrefix="0" xfId="0"/>
    <xf numFmtId="0" fontId="0" fillId="0" borderId="176" applyAlignment="1" pivotButton="0" quotePrefix="0" xfId="0">
      <alignment horizontal="left" vertical="center" wrapText="1"/>
    </xf>
    <xf numFmtId="0" fontId="0" fillId="0" borderId="133" pivotButton="0" quotePrefix="0" xfId="0"/>
    <xf numFmtId="0" fontId="0" fillId="0" borderId="134" pivotButton="0" quotePrefix="0" xfId="0"/>
    <xf numFmtId="164" fontId="59" fillId="0" borderId="32" applyAlignment="1" pivotButton="0" quotePrefix="0" xfId="0">
      <alignment horizontal="center" vertical="center"/>
    </xf>
    <xf numFmtId="167" fontId="6" fillId="0" borderId="32" applyAlignment="1" pivotButton="0" quotePrefix="0" xfId="0">
      <alignment horizontal="center" vertical="center"/>
    </xf>
    <xf numFmtId="165" fontId="59" fillId="0" borderId="32" applyAlignment="1" pivotButton="0" quotePrefix="0" xfId="0">
      <alignment horizontal="center" vertical="center"/>
    </xf>
    <xf numFmtId="169" fontId="6" fillId="0" borderId="32" applyAlignment="1" pivotButton="0" quotePrefix="0" xfId="0">
      <alignment horizontal="center" vertical="center"/>
    </xf>
    <xf numFmtId="169" fontId="20" fillId="0" borderId="32" applyAlignment="1" pivotButton="0" quotePrefix="0" xfId="0">
      <alignment horizontal="center" vertical="center"/>
    </xf>
    <xf numFmtId="176" fontId="60" fillId="0" borderId="42" applyAlignment="1" pivotButton="0" quotePrefix="0" xfId="5">
      <alignment horizontal="right" vertical="center" wrapText="1"/>
    </xf>
    <xf numFmtId="176" fontId="60" fillId="0" borderId="32" applyAlignment="1" pivotButton="0" quotePrefix="0" xfId="5">
      <alignment horizontal="right" vertical="center" wrapText="1"/>
    </xf>
    <xf numFmtId="176" fontId="0" fillId="0" borderId="53" applyAlignment="1" pivotButton="0" quotePrefix="0" xfId="5">
      <alignment horizontal="right"/>
    </xf>
    <xf numFmtId="167" fontId="60" fillId="0" borderId="42" applyAlignment="1" pivotButton="0" quotePrefix="0" xfId="0">
      <alignment horizontal="right" vertical="center" wrapText="1"/>
    </xf>
    <xf numFmtId="176" fontId="0" fillId="0" borderId="42" applyAlignment="1" pivotButton="0" quotePrefix="0" xfId="5">
      <alignment horizontal="right" vertical="center" wrapText="1"/>
    </xf>
    <xf numFmtId="170" fontId="0" fillId="0" borderId="42" applyAlignment="1" pivotButton="0" quotePrefix="0" xfId="0">
      <alignment horizontal="right" vertical="center" wrapText="1"/>
    </xf>
    <xf numFmtId="167" fontId="60" fillId="0" borderId="32" applyAlignment="1" pivotButton="0" quotePrefix="0" xfId="0">
      <alignment horizontal="right" vertical="center" wrapText="1"/>
    </xf>
    <xf numFmtId="170" fontId="0" fillId="0" borderId="32" applyAlignment="1" pivotButton="0" quotePrefix="0" xfId="0">
      <alignment horizontal="right" vertical="center" wrapText="1"/>
    </xf>
    <xf numFmtId="172" fontId="55" fillId="0" borderId="42" applyAlignment="1" pivotButton="0" quotePrefix="0" xfId="0">
      <alignment horizontal="right" vertical="center" wrapText="1"/>
    </xf>
    <xf numFmtId="180" fontId="17" fillId="0" borderId="0" applyAlignment="1" pivotButton="0" quotePrefix="0" xfId="1">
      <alignment horizontal="left" vertical="top" wrapText="1"/>
    </xf>
    <xf numFmtId="179" fontId="17" fillId="0" borderId="0" applyAlignment="1" pivotButton="0" quotePrefix="0" xfId="5">
      <alignment horizontal="left" vertical="top" wrapText="1"/>
    </xf>
    <xf numFmtId="172" fontId="55" fillId="0" borderId="32" applyAlignment="1" pivotButton="0" quotePrefix="0" xfId="0">
      <alignment horizontal="right" vertical="center" wrapText="1"/>
    </xf>
    <xf numFmtId="180" fontId="17" fillId="0" borderId="0" applyAlignment="1" pivotButton="0" quotePrefix="0" xfId="1">
      <alignment horizontal="center" vertical="top" wrapText="1"/>
    </xf>
    <xf numFmtId="172" fontId="26" fillId="0" borderId="32" applyAlignment="1" pivotButton="0" quotePrefix="0" xfId="0">
      <alignment horizontal="right" vertical="center" wrapText="1"/>
    </xf>
    <xf numFmtId="172" fontId="26" fillId="0" borderId="53" applyAlignment="1" pivotButton="0" quotePrefix="0" xfId="0">
      <alignment horizontal="right" vertical="center" wrapText="1"/>
    </xf>
    <xf numFmtId="172" fontId="0" fillId="0" borderId="42" applyAlignment="1" pivotButton="0" quotePrefix="0" xfId="1">
      <alignment horizontal="right" vertical="center" wrapText="1"/>
    </xf>
    <xf numFmtId="172" fontId="0" fillId="0" borderId="32" applyAlignment="1" pivotButton="0" quotePrefix="0" xfId="1">
      <alignment horizontal="right" vertical="center" wrapText="1"/>
    </xf>
    <xf numFmtId="176" fontId="60" fillId="0" borderId="53" applyAlignment="1" pivotButton="0" quotePrefix="0" xfId="5">
      <alignment horizontal="right" vertical="center" wrapText="1"/>
    </xf>
    <xf numFmtId="172" fontId="0" fillId="0" borderId="53" applyAlignment="1" pivotButton="0" quotePrefix="0" xfId="1">
      <alignment horizontal="right" vertical="center" wrapText="1"/>
    </xf>
    <xf numFmtId="0" fontId="0" fillId="0" borderId="119" pivotButton="0" quotePrefix="0" xfId="0"/>
    <xf numFmtId="165" fontId="6" fillId="0" borderId="1" applyAlignment="1" pivotButton="0" quotePrefix="0" xfId="0">
      <alignment horizontal="center" vertical="center"/>
    </xf>
    <xf numFmtId="164" fontId="6" fillId="0" borderId="1" applyAlignment="1" pivotButton="0" quotePrefix="0" xfId="0">
      <alignment horizontal="center" vertical="center"/>
    </xf>
    <xf numFmtId="167" fontId="76" fillId="0" borderId="17" applyAlignment="1" pivotButton="0" quotePrefix="0" xfId="0">
      <alignment horizontal="center" vertical="center"/>
    </xf>
    <xf numFmtId="167" fontId="16" fillId="0" borderId="17" applyAlignment="1" pivotButton="0" quotePrefix="0" xfId="0">
      <alignment horizontal="center" vertical="center"/>
    </xf>
    <xf numFmtId="167" fontId="77" fillId="0" borderId="42" applyAlignment="1" pivotButton="0" quotePrefix="0" xfId="0">
      <alignment horizontal="right" vertical="center"/>
    </xf>
    <xf numFmtId="167" fontId="6" fillId="0" borderId="42" applyAlignment="1" pivotButton="0" quotePrefix="0" xfId="0">
      <alignment horizontal="right" vertical="center"/>
    </xf>
    <xf numFmtId="167" fontId="77" fillId="0" borderId="32" applyAlignment="1" pivotButton="0" quotePrefix="0" xfId="0">
      <alignment horizontal="right" vertical="center"/>
    </xf>
    <xf numFmtId="167" fontId="6" fillId="0" borderId="32" applyAlignment="1" pivotButton="0" quotePrefix="0" xfId="0">
      <alignment horizontal="right" vertical="center"/>
    </xf>
    <xf numFmtId="167" fontId="77" fillId="0" borderId="53" applyAlignment="1" pivotButton="0" quotePrefix="0" xfId="0">
      <alignment horizontal="right" vertical="center"/>
    </xf>
    <xf numFmtId="167" fontId="6" fillId="0" borderId="104" applyAlignment="1" pivotButton="0" quotePrefix="0" xfId="0">
      <alignment horizontal="right" vertical="center"/>
    </xf>
    <xf numFmtId="167" fontId="0" fillId="0" borderId="0" pivotButton="0" quotePrefix="0" xfId="0"/>
    <xf numFmtId="167" fontId="57" fillId="0" borderId="32" applyAlignment="1" pivotButton="0" quotePrefix="0" xfId="0">
      <alignment horizontal="right" vertical="center" wrapText="1"/>
    </xf>
    <xf numFmtId="172" fontId="57" fillId="0" borderId="53" applyAlignment="1" pivotButton="0" quotePrefix="0" xfId="0">
      <alignment horizontal="right" vertical="center" wrapText="1"/>
    </xf>
    <xf numFmtId="167" fontId="50" fillId="0" borderId="42" applyAlignment="1" pivotButton="0" quotePrefix="0" xfId="0">
      <alignment horizontal="right" vertical="center" wrapText="1"/>
    </xf>
    <xf numFmtId="167" fontId="50" fillId="0" borderId="32" applyAlignment="1" pivotButton="0" quotePrefix="0" xfId="0">
      <alignment horizontal="right" vertical="center" wrapText="1"/>
    </xf>
    <xf numFmtId="167" fontId="52" fillId="0" borderId="32" applyAlignment="1" pivotButton="0" quotePrefix="0" xfId="0">
      <alignment horizontal="right" vertical="center" wrapText="1"/>
    </xf>
    <xf numFmtId="167" fontId="79" fillId="0" borderId="53" applyAlignment="1" pivotButton="0" quotePrefix="0" xfId="0">
      <alignment horizontal="right" vertical="center" wrapText="1"/>
    </xf>
    <xf numFmtId="167" fontId="79" fillId="0" borderId="32" applyAlignment="1" pivotButton="0" quotePrefix="0" xfId="0">
      <alignment horizontal="right" vertical="center" wrapText="1"/>
    </xf>
    <xf numFmtId="167" fontId="51" fillId="0" borderId="32" applyAlignment="1" pivotButton="0" quotePrefix="0" xfId="0">
      <alignment horizontal="right" vertical="center" wrapText="1"/>
    </xf>
    <xf numFmtId="167" fontId="50" fillId="0" borderId="53" applyAlignment="1" pivotButton="0" quotePrefix="0" xfId="0">
      <alignment horizontal="right" vertical="center" wrapText="1"/>
    </xf>
    <xf numFmtId="167" fontId="51" fillId="0" borderId="53" applyAlignment="1" pivotButton="0" quotePrefix="0" xfId="0">
      <alignment horizontal="right" vertical="center" wrapText="1"/>
    </xf>
    <xf numFmtId="167" fontId="68" fillId="0" borderId="42" applyAlignment="1" pivotButton="0" quotePrefix="0" xfId="0">
      <alignment horizontal="right" vertical="center" wrapText="1"/>
    </xf>
    <xf numFmtId="164" fontId="68" fillId="0" borderId="42" applyAlignment="1" pivotButton="0" quotePrefix="0" xfId="0">
      <alignment horizontal="right" vertical="center" wrapText="1"/>
    </xf>
    <xf numFmtId="176" fontId="0" fillId="0" borderId="80" applyAlignment="1" pivotButton="0" quotePrefix="0" xfId="5">
      <alignment horizontal="right" vertical="center" wrapText="1"/>
    </xf>
    <xf numFmtId="167" fontId="68" fillId="0" borderId="32" applyAlignment="1" pivotButton="0" quotePrefix="0" xfId="0">
      <alignment horizontal="right" vertical="center" wrapText="1"/>
    </xf>
    <xf numFmtId="164" fontId="68" fillId="0" borderId="32" applyAlignment="1" pivotButton="0" quotePrefix="0" xfId="0">
      <alignment horizontal="right" vertical="center" wrapText="1"/>
    </xf>
    <xf numFmtId="176" fontId="0" fillId="0" borderId="41" applyAlignment="1" pivotButton="0" quotePrefix="0" xfId="5">
      <alignment horizontal="right" vertical="center" wrapText="1"/>
    </xf>
    <xf numFmtId="167" fontId="0" fillId="0" borderId="53" applyAlignment="1" pivotButton="0" quotePrefix="0" xfId="0">
      <alignment horizontal="right" vertical="center" wrapText="1"/>
    </xf>
    <xf numFmtId="176" fontId="0" fillId="0" borderId="87" applyAlignment="1" pivotButton="0" quotePrefix="0" xfId="5">
      <alignment horizontal="right" vertical="center" wrapText="1"/>
    </xf>
    <xf numFmtId="165" fontId="6" fillId="0" borderId="36" applyAlignment="1" pivotButton="0" quotePrefix="0" xfId="0">
      <alignment horizontal="center" vertical="center"/>
    </xf>
    <xf numFmtId="167" fontId="59" fillId="0" borderId="32" applyAlignment="1" pivotButton="0" quotePrefix="0" xfId="0">
      <alignment horizontal="center" vertical="center"/>
    </xf>
    <xf numFmtId="167" fontId="20" fillId="0" borderId="53" applyAlignment="1" pivotButton="0" quotePrefix="0" xfId="0">
      <alignment horizontal="center" vertical="center"/>
    </xf>
    <xf numFmtId="165" fontId="6" fillId="0" borderId="87" applyAlignment="1" pivotButton="0" quotePrefix="0" xfId="0">
      <alignment horizontal="center" vertical="center"/>
    </xf>
    <xf numFmtId="164" fontId="6" fillId="0" borderId="32" applyAlignment="1" pivotButton="0" quotePrefix="0" xfId="0">
      <alignment horizontal="center" vertical="center"/>
    </xf>
    <xf numFmtId="164" fontId="4" fillId="0" borderId="0" applyAlignment="1" pivotButton="0" quotePrefix="0" xfId="0">
      <alignment horizontal="left" vertical="center" wrapText="1"/>
    </xf>
    <xf numFmtId="164" fontId="16" fillId="0" borderId="32" applyAlignment="1" pivotButton="0" quotePrefix="0" xfId="0">
      <alignment horizontal="center" vertical="center"/>
    </xf>
    <xf numFmtId="165" fontId="7" fillId="0" borderId="32" applyAlignment="1" pivotButton="0" quotePrefix="0" xfId="0">
      <alignment horizontal="center" vertical="center"/>
    </xf>
    <xf numFmtId="167" fontId="77" fillId="0" borderId="32" applyAlignment="1" pivotButton="0" quotePrefix="0" xfId="0">
      <alignment horizontal="center" vertical="center"/>
    </xf>
    <xf numFmtId="167" fontId="51" fillId="0" borderId="42" applyAlignment="1" pivotButton="0" quotePrefix="0" xfId="0">
      <alignment horizontal="right" vertical="center" wrapText="1"/>
    </xf>
    <xf numFmtId="167" fontId="51" fillId="0" borderId="40" applyAlignment="1" pivotButton="0" quotePrefix="0" xfId="0">
      <alignment horizontal="right" vertical="center" wrapText="1"/>
    </xf>
    <xf numFmtId="167" fontId="51" fillId="0" borderId="36" applyAlignment="1" pivotButton="0" quotePrefix="0" xfId="0">
      <alignment horizontal="right" vertical="center" wrapText="1"/>
    </xf>
    <xf numFmtId="167" fontId="50" fillId="0" borderId="53" applyAlignment="1" pivotButton="0" quotePrefix="0" xfId="0">
      <alignment horizontal="right"/>
    </xf>
    <xf numFmtId="167" fontId="50" fillId="0" borderId="38" applyAlignment="1" pivotButton="0" quotePrefix="0" xfId="0">
      <alignment horizontal="right"/>
    </xf>
    <xf numFmtId="176" fontId="26" fillId="0" borderId="42" applyAlignment="1" pivotButton="0" quotePrefix="0" xfId="5">
      <alignment horizontal="right" vertical="center" wrapText="1"/>
    </xf>
    <xf numFmtId="176" fontId="0" fillId="0" borderId="40" applyAlignment="1" pivotButton="0" quotePrefix="0" xfId="5">
      <alignment horizontal="right" vertical="center" wrapText="1"/>
    </xf>
    <xf numFmtId="176" fontId="0" fillId="0" borderId="0" applyAlignment="1" pivotButton="0" quotePrefix="0" xfId="5">
      <alignment horizontal="center" vertical="center" wrapText="1"/>
    </xf>
    <xf numFmtId="176" fontId="0" fillId="0" borderId="36" applyAlignment="1" pivotButton="0" quotePrefix="0" xfId="5">
      <alignment horizontal="right" vertical="center" wrapText="1"/>
    </xf>
    <xf numFmtId="167" fontId="60" fillId="0" borderId="53" applyAlignment="1" pivotButton="0" quotePrefix="0" xfId="0">
      <alignment horizontal="right" vertical="center" wrapText="1"/>
    </xf>
    <xf numFmtId="176" fontId="0" fillId="0" borderId="38" applyAlignment="1" pivotButton="0" quotePrefix="0" xfId="5">
      <alignment horizontal="right" vertical="center" wrapText="1"/>
    </xf>
    <xf numFmtId="179" fontId="17" fillId="0" borderId="0" applyAlignment="1" pivotButton="0" quotePrefix="0" xfId="0">
      <alignment horizontal="center" vertical="center" wrapText="1"/>
    </xf>
    <xf numFmtId="172" fontId="60" fillId="0" borderId="32" applyAlignment="1" pivotButton="0" quotePrefix="0" xfId="0">
      <alignment horizontal="right" vertical="center" wrapText="1"/>
    </xf>
    <xf numFmtId="176" fontId="26" fillId="0" borderId="32" applyAlignment="1" pivotButton="0" quotePrefix="0" xfId="5">
      <alignment horizontal="right" vertical="center" wrapText="1"/>
    </xf>
    <xf numFmtId="172" fontId="26" fillId="0" borderId="32" applyAlignment="1" pivotButton="0" quotePrefix="0" xfId="1">
      <alignment horizontal="right" vertical="center" wrapText="1"/>
    </xf>
    <xf numFmtId="176" fontId="17" fillId="0" borderId="0" applyAlignment="1" pivotButton="0" quotePrefix="0" xfId="0">
      <alignment horizontal="center" vertical="center" wrapText="1"/>
    </xf>
    <xf numFmtId="164" fontId="60" fillId="0" borderId="32" applyAlignment="1" pivotButton="0" quotePrefix="0" xfId="0">
      <alignment horizontal="right" vertical="center" wrapText="1"/>
    </xf>
    <xf numFmtId="164" fontId="17" fillId="0" borderId="0" applyAlignment="1" pivotButton="0" quotePrefix="0" xfId="0">
      <alignment horizontal="center" vertical="center" wrapText="1"/>
    </xf>
    <xf numFmtId="167" fontId="17" fillId="0" borderId="0" applyAlignment="1" pivotButton="0" quotePrefix="0" xfId="0">
      <alignment horizontal="center" vertical="center" wrapText="1"/>
    </xf>
    <xf numFmtId="167" fontId="0" fillId="0" borderId="32" applyAlignment="1" pivotButton="0" quotePrefix="0" xfId="0">
      <alignment horizontal="right" vertical="center" wrapText="1"/>
    </xf>
    <xf numFmtId="167" fontId="59" fillId="0" borderId="1" applyAlignment="1" pivotButton="0" quotePrefix="0" xfId="0">
      <alignment horizontal="right" vertical="center"/>
    </xf>
    <xf numFmtId="167" fontId="8" fillId="0" borderId="1" applyAlignment="1" pivotButton="0" quotePrefix="0" xfId="0">
      <alignment horizontal="right" vertical="center"/>
    </xf>
    <xf numFmtId="164" fontId="59" fillId="0" borderId="1" applyAlignment="1" pivotButton="0" quotePrefix="0" xfId="0">
      <alignment horizontal="right" vertical="center"/>
    </xf>
    <xf numFmtId="167" fontId="20" fillId="0" borderId="17" applyAlignment="1" pivotButton="0" quotePrefix="0" xfId="0">
      <alignment horizontal="right" vertical="center"/>
    </xf>
    <xf numFmtId="165" fontId="6" fillId="0" borderId="17" applyAlignment="1" pivotButton="0" quotePrefix="0" xfId="0">
      <alignment horizontal="center" vertical="center"/>
    </xf>
    <xf numFmtId="167" fontId="6" fillId="0" borderId="1" applyAlignment="1" pivotButton="0" quotePrefix="0" xfId="0">
      <alignment horizontal="right" vertical="center"/>
    </xf>
    <xf numFmtId="165" fontId="6" fillId="0" borderId="2" applyAlignment="1" pivotButton="0" quotePrefix="0" xfId="0">
      <alignment horizontal="center" vertical="center"/>
    </xf>
    <xf numFmtId="165" fontId="60" fillId="0" borderId="32" applyAlignment="1" pivotButton="0" quotePrefix="0" xfId="0">
      <alignment horizontal="right" vertical="center" wrapText="1"/>
    </xf>
    <xf numFmtId="172" fontId="0" fillId="0" borderId="32" applyAlignment="1" pivotButton="0" quotePrefix="0" xfId="1">
      <alignment horizontal="right"/>
    </xf>
    <xf numFmtId="172" fontId="17" fillId="0" borderId="0" applyAlignment="1" pivotButton="0" quotePrefix="0" xfId="0">
      <alignment horizontal="left" vertical="top" wrapText="1"/>
    </xf>
    <xf numFmtId="172" fontId="0" fillId="0" borderId="32" pivotButton="0" quotePrefix="0" xfId="1"/>
    <xf numFmtId="172" fontId="60" fillId="0" borderId="32" pivotButton="0" quotePrefix="0" xfId="0"/>
    <xf numFmtId="172" fontId="55" fillId="0" borderId="32" applyAlignment="1" pivotButton="0" quotePrefix="0" xfId="1">
      <alignment horizontal="right" vertical="center" wrapText="1"/>
    </xf>
    <xf numFmtId="172" fontId="68" fillId="0" borderId="32" applyAlignment="1" pivotButton="0" quotePrefix="0" xfId="1">
      <alignment horizontal="right" vertical="center" wrapText="1"/>
    </xf>
    <xf numFmtId="172" fontId="75" fillId="0" borderId="32" applyAlignment="1" pivotButton="0" quotePrefix="0" xfId="1">
      <alignment horizontal="right" vertical="center" wrapText="1"/>
    </xf>
    <xf numFmtId="167" fontId="59" fillId="0" borderId="2" applyAlignment="1" pivotButton="0" quotePrefix="0" xfId="0">
      <alignment horizontal="right" vertical="center"/>
    </xf>
    <xf numFmtId="165" fontId="20" fillId="0" borderId="1" applyAlignment="1" pivotButton="0" quotePrefix="0" xfId="0">
      <alignment horizontal="right" vertical="center"/>
    </xf>
    <xf numFmtId="165" fontId="20" fillId="0" borderId="2" applyAlignment="1" pivotButton="0" quotePrefix="0" xfId="0">
      <alignment horizontal="right" vertical="center"/>
    </xf>
    <xf numFmtId="0" fontId="20" fillId="0" borderId="177" applyAlignment="1" pivotButton="0" quotePrefix="0" xfId="0">
      <alignment horizontal="left" vertical="center"/>
    </xf>
    <xf numFmtId="0" fontId="0" fillId="0" borderId="131" pivotButton="0" quotePrefix="0" xfId="0"/>
    <xf numFmtId="167" fontId="6" fillId="0" borderId="2" applyAlignment="1" pivotButton="0" quotePrefix="0" xfId="0">
      <alignment horizontal="right" vertical="center"/>
    </xf>
    <xf numFmtId="167" fontId="20" fillId="0" borderId="1" applyAlignment="1" pivotButton="0" quotePrefix="0" xfId="0">
      <alignment horizontal="right" vertical="center"/>
    </xf>
    <xf numFmtId="167" fontId="20" fillId="0" borderId="2" applyAlignment="1" pivotButton="0" quotePrefix="0" xfId="0">
      <alignment horizontal="right" vertical="center"/>
    </xf>
    <xf numFmtId="165" fontId="53" fillId="0" borderId="1" applyAlignment="1" pivotButton="0" quotePrefix="0" xfId="0">
      <alignment horizontal="right" vertical="center"/>
    </xf>
    <xf numFmtId="165" fontId="53" fillId="0" borderId="17" applyAlignment="1" pivotButton="0" quotePrefix="0" xfId="0">
      <alignment horizontal="right" vertical="center"/>
    </xf>
    <xf numFmtId="167" fontId="60" fillId="0" borderId="32" applyAlignment="1" pivotButton="0" quotePrefix="0" xfId="0">
      <alignment horizontal="right"/>
    </xf>
    <xf numFmtId="172" fontId="0" fillId="0" borderId="2" applyAlignment="1" pivotButton="0" quotePrefix="0" xfId="1">
      <alignment horizontal="right" vertical="center"/>
    </xf>
    <xf numFmtId="165" fontId="6" fillId="0" borderId="17" applyAlignment="1" pivotButton="0" quotePrefix="0" xfId="0">
      <alignment horizontal="right" vertical="center"/>
    </xf>
    <xf numFmtId="167" fontId="50" fillId="0" borderId="32" applyAlignment="1" pivotButton="0" quotePrefix="0" xfId="0">
      <alignment vertical="center" wrapText="1"/>
    </xf>
    <xf numFmtId="167" fontId="51" fillId="0" borderId="32" applyAlignment="1" pivotButton="0" quotePrefix="0" xfId="0">
      <alignment vertical="center" wrapText="1"/>
    </xf>
    <xf numFmtId="172" fontId="50" fillId="0" borderId="32" applyAlignment="1" pivotButton="0" quotePrefix="0" xfId="0">
      <alignment vertical="center" wrapText="1"/>
    </xf>
    <xf numFmtId="172" fontId="51" fillId="0" borderId="32" applyAlignment="1" pivotButton="0" quotePrefix="0" xfId="0">
      <alignment vertical="center" wrapText="1"/>
    </xf>
    <xf numFmtId="167" fontId="58" fillId="0" borderId="32" pivotButton="0" quotePrefix="0" xfId="0"/>
    <xf numFmtId="167" fontId="26" fillId="0" borderId="32" applyAlignment="1" pivotButton="0" quotePrefix="0" xfId="0">
      <alignment horizontal="right" vertical="center" wrapText="1"/>
    </xf>
    <xf numFmtId="167" fontId="26" fillId="0" borderId="32" applyAlignment="1" pivotButton="0" quotePrefix="0" xfId="0">
      <alignment horizontal="right"/>
    </xf>
    <xf numFmtId="168" fontId="68" fillId="0" borderId="32" applyAlignment="1" pivotButton="0" quotePrefix="0" xfId="5">
      <alignment horizontal="right" vertical="center" wrapText="1"/>
    </xf>
    <xf numFmtId="167" fontId="26" fillId="0" borderId="32" applyAlignment="1" pivotButton="0" quotePrefix="0" xfId="5">
      <alignment horizontal="right"/>
    </xf>
    <xf numFmtId="176" fontId="26" fillId="0" borderId="32" applyAlignment="1" pivotButton="0" quotePrefix="0" xfId="5">
      <alignment horizontal="right"/>
    </xf>
    <xf numFmtId="167" fontId="80" fillId="13" borderId="32" applyAlignment="1" pivotButton="0" quotePrefix="0" xfId="0">
      <alignment horizontal="right" vertical="center" wrapText="1"/>
    </xf>
    <xf numFmtId="167" fontId="80" fillId="0" borderId="32" applyAlignment="1" pivotButton="0" quotePrefix="0" xfId="0">
      <alignment horizontal="right" vertical="center" wrapText="1"/>
    </xf>
    <xf numFmtId="167" fontId="0" fillId="0" borderId="32" applyAlignment="1" pivotButton="0" quotePrefix="0" xfId="0">
      <alignment horizontal="right"/>
    </xf>
    <xf numFmtId="167" fontId="60" fillId="0" borderId="32" applyAlignment="1" pivotButton="0" quotePrefix="0" xfId="5">
      <alignment horizontal="right" vertical="center" wrapText="1"/>
    </xf>
    <xf numFmtId="176" fontId="26" fillId="0" borderId="32" applyAlignment="1" pivotButton="0" quotePrefix="0" xfId="0">
      <alignment horizontal="right" vertical="center" wrapText="1"/>
    </xf>
    <xf numFmtId="167" fontId="0" fillId="0" borderId="32" applyAlignment="1" pivotButton="0" quotePrefix="0" xfId="0">
      <alignment horizontal="right" vertical="center"/>
    </xf>
    <xf numFmtId="166" fontId="60" fillId="0" borderId="32" applyAlignment="1" pivotButton="0" quotePrefix="0" xfId="0">
      <alignment horizontal="right" vertical="center"/>
    </xf>
    <xf numFmtId="166" fontId="20" fillId="0" borderId="1" applyAlignment="1" pivotButton="0" quotePrefix="0" xfId="0">
      <alignment horizontal="right" vertical="center"/>
    </xf>
    <xf numFmtId="166" fontId="20" fillId="0" borderId="2" applyAlignment="1" pivotButton="0" quotePrefix="0" xfId="0">
      <alignment horizontal="right" vertical="center"/>
    </xf>
    <xf numFmtId="166" fontId="6" fillId="0" borderId="1" applyAlignment="1" pivotButton="0" quotePrefix="0" xfId="0">
      <alignment horizontal="right" vertical="center"/>
    </xf>
    <xf numFmtId="166" fontId="6" fillId="0" borderId="2" applyAlignment="1" pivotButton="0" quotePrefix="0" xfId="0">
      <alignment horizontal="right" vertical="center"/>
    </xf>
    <xf numFmtId="167" fontId="8" fillId="0" borderId="17" applyAlignment="1" pivotButton="0" quotePrefix="0" xfId="0">
      <alignment horizontal="right" vertical="center"/>
    </xf>
    <xf numFmtId="167" fontId="20" fillId="0" borderId="136" applyAlignment="1" pivotButton="0" quotePrefix="0" xfId="0">
      <alignment horizontal="right" vertical="center"/>
    </xf>
    <xf numFmtId="170" fontId="50" fillId="0" borderId="32" applyAlignment="1" pivotButton="0" quotePrefix="0" xfId="0">
      <alignment horizontal="right" vertical="center" wrapText="1"/>
    </xf>
    <xf numFmtId="170" fontId="26" fillId="0" borderId="32" applyAlignment="1" pivotButton="0" quotePrefix="0" xfId="0">
      <alignment horizontal="right" vertical="center" wrapText="1"/>
    </xf>
    <xf numFmtId="171" fontId="51" fillId="0" borderId="32" applyAlignment="1" pivotButton="0" quotePrefix="0" xfId="0">
      <alignment vertical="center" wrapText="1"/>
    </xf>
    <xf numFmtId="181" fontId="60" fillId="0" borderId="32" applyAlignment="1" pivotButton="0" quotePrefix="0" xfId="0">
      <alignment horizontal="right" vertical="center" wrapText="1"/>
    </xf>
    <xf numFmtId="165" fontId="59" fillId="0" borderId="1" applyAlignment="1" pivotButton="0" quotePrefix="0" xfId="0">
      <alignment horizontal="right" vertical="center"/>
    </xf>
    <xf numFmtId="165" fontId="59" fillId="0" borderId="2" applyAlignment="1" pivotButton="0" quotePrefix="0" xfId="0">
      <alignment horizontal="right" vertical="center"/>
    </xf>
    <xf numFmtId="165" fontId="53" fillId="0" borderId="2" applyAlignment="1" pivotButton="0" quotePrefix="0" xfId="0">
      <alignment horizontal="right" vertical="center"/>
    </xf>
    <xf numFmtId="165" fontId="6" fillId="0" borderId="2" applyAlignment="1" pivotButton="0" quotePrefix="0" xfId="0">
      <alignment horizontal="right" vertical="center"/>
    </xf>
    <xf numFmtId="0" fontId="0" fillId="0" borderId="24" pivotButton="0" quotePrefix="0" xfId="0"/>
    <xf numFmtId="168" fontId="53" fillId="0" borderId="17" applyAlignment="1" pivotButton="0" quotePrefix="0" xfId="0">
      <alignment horizontal="right" vertical="center"/>
    </xf>
    <xf numFmtId="168" fontId="0" fillId="0" borderId="32" applyAlignment="1" pivotButton="0" quotePrefix="0" xfId="0">
      <alignment horizontal="right" vertical="center" wrapText="1"/>
    </xf>
    <xf numFmtId="164" fontId="60" fillId="0" borderId="32" applyAlignment="1" pivotButton="0" quotePrefix="0" xfId="0">
      <alignment horizontal="right" vertical="center"/>
    </xf>
    <xf numFmtId="164" fontId="0" fillId="0" borderId="0" applyAlignment="1" pivotButton="0" quotePrefix="0" xfId="0">
      <alignment horizontal="center" vertical="center"/>
    </xf>
    <xf numFmtId="172" fontId="52" fillId="0" borderId="32" applyAlignment="1" pivotButton="0" quotePrefix="0" xfId="0">
      <alignment horizontal="right" vertical="center" wrapText="1"/>
    </xf>
    <xf numFmtId="172" fontId="52" fillId="0" borderId="32" applyAlignment="1" pivotButton="0" quotePrefix="0" xfId="0">
      <alignment vertical="center" wrapText="1"/>
    </xf>
    <xf numFmtId="168" fontId="0" fillId="11" borderId="32" applyAlignment="1" pivotButton="0" quotePrefix="0" xfId="0">
      <alignment horizontal="right" vertical="center" wrapText="1"/>
    </xf>
    <xf numFmtId="170" fontId="0" fillId="11" borderId="32" applyAlignment="1" pivotButton="0" quotePrefix="0" xfId="0">
      <alignment horizontal="right" vertical="center" wrapText="1"/>
    </xf>
    <xf numFmtId="172" fontId="52" fillId="0" borderId="32" pivotButton="0" quotePrefix="0" xfId="0"/>
    <xf numFmtId="164" fontId="59" fillId="0" borderId="42" applyAlignment="1" pivotButton="0" quotePrefix="0" xfId="0">
      <alignment horizontal="right" vertical="center"/>
    </xf>
    <xf numFmtId="167" fontId="52" fillId="0" borderId="32" applyAlignment="1" pivotButton="0" quotePrefix="0" xfId="0">
      <alignment vertical="center" wrapText="1"/>
    </xf>
    <xf numFmtId="167" fontId="50" fillId="0" borderId="32" pivotButton="0" quotePrefix="0" xfId="0"/>
    <xf numFmtId="0" fontId="20" fillId="0" borderId="54" applyAlignment="1" pivotButton="0" quotePrefix="0" xfId="0">
      <alignment horizontal="left" vertical="center"/>
    </xf>
    <xf numFmtId="0" fontId="0" fillId="0" borderId="149" pivotButton="0" quotePrefix="0" xfId="0"/>
    <xf numFmtId="164" fontId="53" fillId="0" borderId="1" applyAlignment="1" pivotButton="0" quotePrefix="0" xfId="0">
      <alignment horizontal="right" vertical="center"/>
    </xf>
    <xf numFmtId="164" fontId="53" fillId="0" borderId="9" applyAlignment="1" pivotButton="0" quotePrefix="0" xfId="0">
      <alignment horizontal="right" vertical="center"/>
    </xf>
    <xf numFmtId="164" fontId="53" fillId="0" borderId="53" applyAlignment="1" pivotButton="0" quotePrefix="0" xfId="0">
      <alignment horizontal="right" vertical="center"/>
    </xf>
    <xf numFmtId="0" fontId="0" fillId="0" borderId="179" pivotButton="0" quotePrefix="0" xfId="0"/>
    <xf numFmtId="0" fontId="0" fillId="0" borderId="180" pivotButton="0" quotePrefix="0" xfId="0"/>
    <xf numFmtId="164" fontId="53" fillId="2" borderId="6" applyAlignment="1" pivotButton="0" quotePrefix="0" xfId="0">
      <alignment horizontal="right" vertical="center"/>
    </xf>
    <xf numFmtId="164" fontId="53" fillId="2" borderId="7" applyAlignment="1" pivotButton="0" quotePrefix="0" xfId="0">
      <alignment horizontal="center" vertical="center"/>
    </xf>
    <xf numFmtId="164" fontId="53" fillId="2" borderId="1" applyAlignment="1" pivotButton="0" quotePrefix="0" xfId="0">
      <alignment horizontal="right" vertical="center"/>
    </xf>
    <xf numFmtId="164" fontId="53" fillId="2" borderId="2" applyAlignment="1" pivotButton="0" quotePrefix="0" xfId="0">
      <alignment horizontal="center" vertical="center"/>
    </xf>
    <xf numFmtId="168" fontId="53" fillId="2" borderId="1" applyAlignment="1" pivotButton="0" quotePrefix="0" xfId="0">
      <alignment horizontal="right" vertical="center"/>
    </xf>
    <xf numFmtId="168" fontId="53" fillId="2" borderId="2" applyAlignment="1" pivotButton="0" quotePrefix="0" xfId="0">
      <alignment horizontal="center" vertical="center"/>
    </xf>
    <xf numFmtId="168" fontId="53" fillId="2" borderId="9" applyAlignment="1" pivotButton="0" quotePrefix="0" xfId="0">
      <alignment horizontal="right" vertical="center"/>
    </xf>
    <xf numFmtId="168" fontId="53" fillId="2" borderId="10" applyAlignment="1" pivotButton="0" quotePrefix="0" xfId="0">
      <alignment horizontal="center" vertical="center"/>
    </xf>
    <xf numFmtId="165" fontId="53" fillId="0" borderId="53" applyAlignment="1" pivotButton="0" quotePrefix="0" xfId="0">
      <alignment horizontal="right" vertical="center"/>
    </xf>
    <xf numFmtId="165" fontId="53" fillId="0" borderId="53" applyAlignment="1" pivotButton="0" quotePrefix="0" xfId="0">
      <alignment horizontal="center" vertical="center"/>
    </xf>
    <xf numFmtId="164" fontId="59" fillId="0" borderId="6" applyAlignment="1" pivotButton="0" quotePrefix="0" xfId="0">
      <alignment horizontal="right" vertical="center"/>
    </xf>
    <xf numFmtId="164" fontId="59" fillId="0" borderId="7" applyAlignment="1" pivotButton="0" quotePrefix="0" xfId="0">
      <alignment horizontal="center" vertical="center"/>
    </xf>
    <xf numFmtId="164" fontId="6" fillId="0" borderId="2" applyAlignment="1" pivotButton="0" quotePrefix="0" xfId="0">
      <alignment horizontal="center" vertical="center"/>
    </xf>
    <xf numFmtId="167" fontId="8" fillId="0" borderId="156" applyAlignment="1" pivotButton="0" quotePrefix="0" xfId="0">
      <alignment horizontal="right" vertical="center"/>
    </xf>
    <xf numFmtId="167" fontId="8" fillId="0" borderId="157" applyAlignment="1" pivotButton="0" quotePrefix="0" xfId="0">
      <alignment horizontal="center" vertical="center"/>
    </xf>
    <xf numFmtId="167" fontId="6" fillId="0" borderId="147" applyAlignment="1" pivotButton="0" quotePrefix="0" xfId="0">
      <alignment horizontal="right" vertical="center"/>
    </xf>
    <xf numFmtId="167" fontId="6" fillId="0" borderId="148" applyAlignment="1" pivotButton="0" quotePrefix="0" xfId="0">
      <alignment horizontal="center" vertical="center"/>
    </xf>
    <xf numFmtId="168" fontId="6" fillId="0" borderId="1" applyAlignment="1" pivotButton="0" quotePrefix="0" xfId="0">
      <alignment horizontal="center" vertical="center"/>
    </xf>
    <xf numFmtId="168" fontId="20" fillId="0" borderId="1" applyAlignment="1" pivotButton="0" quotePrefix="0" xfId="0">
      <alignment horizontal="center" vertical="center"/>
    </xf>
    <xf numFmtId="165" fontId="20" fillId="0" borderId="1" applyAlignment="1" pivotButton="0" quotePrefix="0" xfId="0">
      <alignment horizontal="center" vertical="center"/>
    </xf>
    <xf numFmtId="167" fontId="6" fillId="0" borderId="1" applyAlignment="1" pivotButton="0" quotePrefix="0" xfId="0">
      <alignment horizontal="center" vertical="center"/>
    </xf>
    <xf numFmtId="167" fontId="20" fillId="0" borderId="1" applyAlignment="1" pivotButton="0" quotePrefix="0" xfId="0">
      <alignment horizontal="center" vertical="center"/>
    </xf>
    <xf numFmtId="167" fontId="6" fillId="0" borderId="17" applyAlignment="1" pivotButton="0" quotePrefix="0" xfId="0">
      <alignment horizontal="center" vertical="center"/>
    </xf>
    <xf numFmtId="167" fontId="20" fillId="0" borderId="17" applyAlignment="1" pivotButton="0" quotePrefix="0" xfId="0">
      <alignment horizontal="center" vertical="center"/>
    </xf>
    <xf numFmtId="172" fontId="84" fillId="0" borderId="32" applyAlignment="1" pivotButton="0" quotePrefix="0" xfId="0">
      <alignment horizontal="right" vertical="center"/>
    </xf>
    <xf numFmtId="174" fontId="84" fillId="0" borderId="32" applyAlignment="1" pivotButton="0" quotePrefix="0" xfId="0">
      <alignment horizontal="right" vertical="center"/>
    </xf>
    <xf numFmtId="172" fontId="9" fillId="0" borderId="32" applyAlignment="1" pivotButton="0" quotePrefix="0" xfId="0">
      <alignment horizontal="right" vertical="center"/>
    </xf>
    <xf numFmtId="171" fontId="84" fillId="0" borderId="32" applyAlignment="1" pivotButton="0" quotePrefix="0" xfId="0">
      <alignment horizontal="right" vertical="center"/>
    </xf>
    <xf numFmtId="171" fontId="9" fillId="0" borderId="32" applyAlignment="1" pivotButton="0" quotePrefix="0" xfId="0">
      <alignment horizontal="right" vertical="center"/>
    </xf>
    <xf numFmtId="173" fontId="84" fillId="0" borderId="32" applyAlignment="1" pivotButton="0" quotePrefix="0" xfId="0">
      <alignment horizontal="right" vertical="center"/>
    </xf>
    <xf numFmtId="182" fontId="84" fillId="0" borderId="32" applyAlignment="1" pivotButton="0" quotePrefix="0" xfId="0">
      <alignment horizontal="right" vertical="center"/>
    </xf>
    <xf numFmtId="183" fontId="88" fillId="0" borderId="32" applyAlignment="1" pivotButton="0" quotePrefix="0" xfId="0">
      <alignment horizontal="right" vertical="center"/>
    </xf>
    <xf numFmtId="183" fontId="9" fillId="0" borderId="32" applyAlignment="1" pivotButton="0" quotePrefix="0" xfId="0">
      <alignment horizontal="right" vertical="center"/>
    </xf>
    <xf numFmtId="167" fontId="9" fillId="0" borderId="32" applyAlignment="1" pivotButton="0" quotePrefix="0" xfId="0">
      <alignment horizontal="right" vertical="center"/>
    </xf>
    <xf numFmtId="184" fontId="84" fillId="0" borderId="32" applyAlignment="1" pivotButton="0" quotePrefix="0" xfId="0">
      <alignment horizontal="right" vertical="center"/>
    </xf>
    <xf numFmtId="183" fontId="84" fillId="0" borderId="32" applyAlignment="1" pivotButton="0" quotePrefix="0" xfId="0">
      <alignment horizontal="right" vertical="center"/>
    </xf>
    <xf numFmtId="0" fontId="0" fillId="0" borderId="184" pivotButton="0" quotePrefix="0" xfId="0"/>
    <xf numFmtId="0" fontId="0" fillId="0" borderId="185" pivotButton="0" quotePrefix="0" xfId="0"/>
    <xf numFmtId="167"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0" fontId="0" fillId="0" borderId="4" pivotButton="0" quotePrefix="0" xfId="0"/>
    <xf numFmtId="167" fontId="6" fillId="0" borderId="28" applyAlignment="1" pivotButton="0" quotePrefix="0" xfId="0">
      <alignment horizontal="center" vertical="center" wrapText="1"/>
    </xf>
    <xf numFmtId="165" fontId="6" fillId="0" borderId="17" applyAlignment="1" pivotButton="0" quotePrefix="0" xfId="0">
      <alignment horizontal="center" vertical="center" wrapText="1"/>
    </xf>
    <xf numFmtId="0" fontId="0" fillId="0" borderId="186" pivotButton="0" quotePrefix="0" xfId="0"/>
    <xf numFmtId="0" fontId="0" fillId="0" borderId="181" pivotButton="0" quotePrefix="0" xfId="0"/>
    <xf numFmtId="0" fontId="0" fillId="0" borderId="188" pivotButton="0" quotePrefix="0" xfId="0"/>
    <xf numFmtId="167" fontId="8" fillId="0" borderId="26" applyAlignment="1" pivotButton="0" quotePrefix="0" xfId="0">
      <alignment horizontal="right" vertical="center"/>
    </xf>
    <xf numFmtId="167" fontId="6" fillId="0" borderId="13" applyAlignment="1" pivotButton="0" quotePrefix="0" xfId="0">
      <alignment horizontal="right" vertical="center"/>
    </xf>
    <xf numFmtId="165" fontId="6" fillId="0" borderId="15" applyAlignment="1" pivotButton="0" quotePrefix="0" xfId="0">
      <alignment horizontal="right" vertical="center"/>
    </xf>
    <xf numFmtId="169" fontId="6" fillId="0" borderId="15" applyAlignment="1" pivotButton="0" quotePrefix="0" xfId="0">
      <alignment horizontal="right" vertical="center"/>
    </xf>
    <xf numFmtId="167" fontId="6" fillId="0" borderId="15" applyAlignment="1" pivotButton="0" quotePrefix="0" xfId="0">
      <alignment horizontal="right" vertical="center"/>
    </xf>
    <xf numFmtId="164" fontId="6" fillId="0" borderId="15" applyAlignment="1" pivotButton="0" quotePrefix="0" xfId="0">
      <alignment horizontal="right" vertical="center"/>
    </xf>
    <xf numFmtId="168" fontId="6" fillId="0" borderId="15" applyAlignment="1" pivotButton="0" quotePrefix="0" xfId="0">
      <alignment horizontal="right" vertical="center"/>
    </xf>
    <xf numFmtId="166" fontId="6" fillId="0" borderId="15" applyAlignment="1" pivotButton="0" quotePrefix="0" xfId="0">
      <alignment horizontal="right" vertical="center"/>
    </xf>
    <xf numFmtId="167" fontId="6" fillId="0" borderId="18" applyAlignment="1" pivotButton="0" quotePrefix="0" xfId="0">
      <alignment horizontal="right" vertical="center"/>
    </xf>
    <xf numFmtId="167" fontId="13" fillId="2" borderId="12" applyAlignment="1" pivotButton="0" quotePrefix="0" xfId="0">
      <alignment horizontal="center" vertical="center" wrapText="1"/>
    </xf>
    <xf numFmtId="167" fontId="13" fillId="2" borderId="13" applyAlignment="1" pivotButton="0" quotePrefix="0" xfId="0">
      <alignment horizontal="center" vertical="center" wrapText="1"/>
    </xf>
    <xf numFmtId="167" fontId="13" fillId="2" borderId="14" applyAlignment="1" pivotButton="0" quotePrefix="0" xfId="0">
      <alignment horizontal="right" vertical="center"/>
    </xf>
    <xf numFmtId="167" fontId="6" fillId="0" borderId="15" applyAlignment="1" pivotButton="0" quotePrefix="0" xfId="0">
      <alignment horizontal="center" vertical="center"/>
    </xf>
    <xf numFmtId="167" fontId="13" fillId="2" borderId="16" applyAlignment="1" pivotButton="0" quotePrefix="0" xfId="0">
      <alignment horizontal="right" vertical="center"/>
    </xf>
    <xf numFmtId="167" fontId="6" fillId="0" borderId="18" applyAlignment="1" pivotButton="0" quotePrefix="0" xfId="0">
      <alignment horizontal="center" vertical="center"/>
    </xf>
    <xf numFmtId="165" fontId="13" fillId="2" borderId="14" applyAlignment="1" pivotButton="0" quotePrefix="0" xfId="0">
      <alignment horizontal="right" vertical="center"/>
    </xf>
    <xf numFmtId="165" fontId="13" fillId="2" borderId="16" applyAlignment="1" pivotButton="0" quotePrefix="0" xfId="0">
      <alignment horizontal="right" vertical="center"/>
    </xf>
    <xf numFmtId="167" fontId="6" fillId="0" borderId="17" applyAlignment="1" pivotButton="0" quotePrefix="0" xfId="0">
      <alignment horizontal="right" vertical="center"/>
    </xf>
    <xf numFmtId="164" fontId="6" fillId="2" borderId="1" applyAlignment="1" pivotButton="0" quotePrefix="0" xfId="0">
      <alignment horizontal="center" vertical="center"/>
    </xf>
    <xf numFmtId="166" fontId="6" fillId="0" borderId="1" applyAlignment="1" pivotButton="0" quotePrefix="0" xfId="0">
      <alignment horizontal="center" vertical="center"/>
    </xf>
    <xf numFmtId="0" fontId="0" fillId="0" borderId="30" pivotButton="0" quotePrefix="0" xfId="0"/>
    <xf numFmtId="166" fontId="20" fillId="0" borderId="30" applyAlignment="1" pivotButton="0" quotePrefix="0" xfId="0">
      <alignment horizontal="center" vertical="center"/>
    </xf>
    <xf numFmtId="167" fontId="7" fillId="0" borderId="1" applyAlignment="1" pivotButton="0" quotePrefix="0" xfId="0">
      <alignment horizontal="right" vertical="center"/>
    </xf>
    <xf numFmtId="169" fontId="6" fillId="0" borderId="1" applyAlignment="1" pivotButton="0" quotePrefix="0" xfId="0">
      <alignment horizontal="center" vertical="center"/>
    </xf>
    <xf numFmtId="167" fontId="20" fillId="0" borderId="12" applyAlignment="1" pivotButton="0" quotePrefix="0" xfId="0">
      <alignment horizontal="right" vertical="center"/>
    </xf>
    <xf numFmtId="167" fontId="19" fillId="0" borderId="1" applyAlignment="1" pivotButton="0" quotePrefix="0" xfId="0">
      <alignment horizontal="right" vertical="center"/>
    </xf>
    <xf numFmtId="165" fontId="7" fillId="0" borderId="17" applyAlignment="1" pivotButton="0" quotePrefix="0" xfId="0">
      <alignment horizontal="right" vertical="center"/>
    </xf>
    <xf numFmtId="165" fontId="20" fillId="0" borderId="17" applyAlignment="1" pivotButton="0" quotePrefix="0" xfId="0">
      <alignment horizontal="center" vertical="center"/>
    </xf>
    <xf numFmtId="0" fontId="20" fillId="0" borderId="189" applyAlignment="1" pivotButton="0" quotePrefix="0" xfId="0">
      <alignment horizontal="left" vertical="center"/>
    </xf>
    <xf numFmtId="0" fontId="0" fillId="0" borderId="25" pivotButton="0" quotePrefix="0" xfId="0"/>
    <xf numFmtId="0" fontId="4" fillId="0" borderId="26" applyAlignment="1" pivotButton="0" quotePrefix="0" xfId="0">
      <alignment horizontal="left" vertical="center" wrapText="1"/>
    </xf>
    <xf numFmtId="0" fontId="0" fillId="0" borderId="22" pivotButton="0" quotePrefix="0" xfId="0"/>
  </cellXfs>
  <cellStyles count="6">
    <cellStyle name="Normal" xfId="0" builtinId="0"/>
    <cellStyle name="Percent" xfId="1" builtinId="5"/>
    <cellStyle name="Hyperlink" xfId="2" builtinId="8"/>
    <cellStyle name="Percent 2" xfId="3"/>
    <cellStyle name="Hyperlink 2" xfId="4"/>
    <cellStyle name="Comma" xfId="5" builtinId="3"/>
  </cellStyles>
  <dxfs count="106">
    <dxf>
      <font>
        <color rgb="FF9C0006"/>
      </font>
      <fill>
        <patternFill>
          <bgColor rgb="FFFFC7CE"/>
        </patternFill>
      </fill>
    </dxf>
    <dxf>
      <font>
        <color rgb="FF9C0006"/>
      </font>
      <fill>
        <patternFill>
          <bgColor rgb="FFFFC7CE"/>
        </patternFill>
      </fill>
    </dxf>
    <dxf>
      <font>
        <color rgb="FF006100"/>
      </font>
      <fill>
        <patternFill>
          <bgColor rgb="FFC6EFCE"/>
        </patternFill>
      </fill>
    </dxf>
    <dxf>
      <alignment vertical="center"/>
      <border>
        <left style="thin">
          <color theme="0" tint="-0.249977111117893"/>
        </left>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vertical="center"/>
      <border>
        <left style="thin">
          <color theme="0" tint="-0.249977111117893"/>
        </left>
        <right style="thin">
          <color theme="0" tint="-0.249977111117893"/>
        </right>
        <top/>
        <bottom/>
        <vertical style="thin">
          <color theme="0" tint="-0.249977111117893"/>
        </vertical>
        <horizontal style="thin">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border>
    </dxf>
    <dxf>
      <alignment vertical="center"/>
    </dxf>
    <dxf>
      <border>
        <bottom style="thin">
          <color theme="0" tint="-0.249977111117893"/>
        </bottom>
      </border>
    </dxf>
    <dxf>
      <fill>
        <patternFill patternType="solid">
          <fgColor indexed="64"/>
          <bgColor rgb="FF002060"/>
        </patternFill>
      </fill>
      <alignment vertical="center"/>
      <border outline="0">
        <left style="thin">
          <color theme="0" tint="-0.249977111117893"/>
        </left>
        <right style="thin">
          <color theme="0" tint="-0.249977111117893"/>
        </right>
        <top/>
        <bottom/>
      </border>
    </dxf>
    <dxf>
      <alignment vertical="center"/>
      <border outline="0">
        <left style="thin">
          <color theme="0" tint="-0.249977111117893"/>
        </left>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bottom/>
      </border>
    </dxf>
    <dxf>
      <border>
        <left style="medium">
          <color theme="0" tint="-0.249977111117893"/>
        </left>
        <right style="medium">
          <color theme="0" tint="-0.249977111117893"/>
        </right>
        <top style="medium">
          <color theme="0" tint="-0.249977111117893"/>
        </top>
        <bottom style="medium">
          <color theme="0" tint="-0.249977111117893"/>
        </bottom>
      </border>
    </dxf>
    <dxf>
      <alignment vertical="center"/>
    </dxf>
    <dxf>
      <border>
        <bottom style="thin">
          <color theme="0" tint="-0.249977111117893"/>
        </bottom>
      </border>
    </dxf>
    <dxf>
      <fill>
        <patternFill patternType="solid">
          <fgColor indexed="64"/>
          <bgColor rgb="FF002060"/>
        </patternFill>
      </fill>
      <alignment vertical="center" wrapText="1"/>
      <border outline="0">
        <left style="thin">
          <color theme="0" tint="-0.249977111117893"/>
        </left>
        <right style="thin">
          <color theme="0" tint="-0.249977111117893"/>
        </right>
        <top/>
        <bottom/>
      </border>
    </dxf>
    <dxf>
      <alignment vertical="center"/>
      <border outline="0">
        <left style="thin">
          <color theme="0" tint="-0.249977111117893"/>
        </left>
        <right style="thin">
          <color theme="0" tint="-0.249977111117893"/>
        </right>
        <top/>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numFmt numFmtId="0" formatCode="General"/>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font>
        <name val="Calibri"/>
        <family val="2"/>
        <strike val="0"/>
        <outline val="0"/>
        <shadow val="0"/>
        <color rgb="FF002060"/>
        <vertAlign val="baseline"/>
      </font>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dxf>
    <dxf>
      <alignment vertical="center"/>
      <border outline="0">
        <left/>
        <right style="thin">
          <color theme="0" tint="-0.249977111117893"/>
        </right>
        <top style="thin">
          <color theme="0" tint="-0.249977111117893"/>
        </top>
        <bottom style="thin">
          <color theme="0" tint="-0.249977111117893"/>
        </bottom>
      </border>
    </dxf>
    <dxf>
      <alignment vertical="center"/>
      <border outline="0">
        <left style="thin">
          <color theme="0" tint="-0.249977111117893"/>
        </left>
        <right style="thin">
          <color theme="0" tint="-0.249977111117893"/>
        </right>
        <top/>
        <bottom/>
      </border>
    </dxf>
    <dxf>
      <alignment vertical="center"/>
    </dxf>
    <dxf>
      <fill>
        <patternFill patternType="solid">
          <fgColor indexed="64"/>
          <bgColor rgb="FF002060"/>
        </patternFill>
      </fill>
      <alignment vertical="center"/>
      <border outline="0">
        <left style="thin">
          <color theme="0" tint="-0.249977111117893"/>
        </left>
        <right style="thin">
          <color theme="0" tint="-0.249977111117893"/>
        </right>
        <top/>
        <bottom/>
      </border>
    </dxf>
    <dxf>
      <alignment wrapText="1"/>
      <border>
        <left style="thin">
          <color theme="0" tint="-0.249977111117893"/>
        </left>
        <right/>
        <top style="thin">
          <color theme="0" tint="-0.249977111117893"/>
        </top>
        <bottom style="thin">
          <color theme="0" tint="-0.249977111117893"/>
        </bottom>
        <vertical style="thin">
          <color theme="0" tint="-0.249977111117893"/>
        </vertical>
        <horizontal style="thin">
          <color theme="0" tint="-0.249977111117893"/>
        </horizontal>
      </border>
    </dxf>
    <dxf>
      <alignment horizontal="center"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horizontal="center"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horizontal="center" vertical="center"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alignment wrapText="1"/>
      <border>
        <left style="thin">
          <color theme="0" tint="-0.249977111117893"/>
        </left>
        <right style="thin">
          <color theme="0" tint="-0.249977111117893"/>
        </right>
        <top/>
        <bottom/>
        <vertical style="thin">
          <color theme="0" tint="-0.249977111117893"/>
        </vertical>
        <horizontal style="thin">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border>
    </dxf>
    <dxf>
      <alignment wrapText="1"/>
    </dxf>
    <dxf>
      <border>
        <bottom style="thin">
          <color theme="0" tint="-0.249977111117893"/>
        </bottom>
      </border>
    </dxf>
    <dxf>
      <fill>
        <patternFill patternType="solid">
          <fgColor indexed="64"/>
          <bgColor rgb="FF002060"/>
        </patternFill>
      </fill>
      <alignment wrapText="1"/>
      <border>
        <left style="thin">
          <color theme="0" tint="-0.249977111117893"/>
        </left>
        <right style="thin">
          <color theme="0" tint="-0.249977111117893"/>
        </right>
        <top/>
        <bottom/>
        <vertical style="thin">
          <color theme="0" tint="-0.249977111117893"/>
        </vertical>
        <horizontal style="thin">
          <color theme="0" tint="-0.249977111117893"/>
        </horizontal>
      </border>
    </dxf>
    <dxf>
      <alignment horizontal="left" vertical="center" wrapText="1"/>
      <border outline="0">
        <left style="thin">
          <color theme="0" tint="-0.249977111117893"/>
        </left>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center"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border outline="0">
        <left/>
        <right style="thin">
          <color theme="0" tint="-0.249977111117893"/>
        </right>
        <top style="thin">
          <color theme="0" tint="-0.249977111117893"/>
        </top>
        <bottom style="thin">
          <color theme="0" tint="-0.249977111117893"/>
        </bottom>
      </border>
    </dxf>
    <dxf>
      <alignment horizontal="left" vertical="center" wrapText="1"/>
      <border outline="0">
        <left style="thin">
          <color theme="0" tint="-0.249977111117893"/>
        </left>
        <right style="thin">
          <color theme="0" tint="-0.249977111117893"/>
        </right>
        <top/>
        <bottom/>
      </border>
    </dxf>
    <dxf>
      <border>
        <left style="thin">
          <color theme="0" tint="-0.249977111117893"/>
        </left>
        <right style="thin">
          <color theme="0" tint="-0.249977111117893"/>
        </right>
        <top style="thin">
          <color theme="0" tint="-0.249977111117893"/>
        </top>
        <bottom style="thin">
          <color theme="0" tint="-0.249977111117893"/>
        </bottom>
      </border>
    </dxf>
    <dxf>
      <alignment horizontal="left" vertical="center" wrapText="1"/>
    </dxf>
    <dxf>
      <border>
        <bottom style="thin">
          <color theme="0" tint="-0.249977111117893"/>
        </bottom>
      </border>
    </dxf>
    <dxf>
      <fill>
        <patternFill patternType="solid">
          <fgColor indexed="64"/>
          <bgColor rgb="FF002060"/>
        </patternFill>
      </fill>
      <alignment horizontal="left" vertical="center" wrapText="1"/>
      <border outline="0">
        <left style="thin">
          <color theme="0" tint="-0.249977111117893"/>
        </left>
        <right style="thin">
          <color theme="0" tint="-0.249977111117893"/>
        </right>
        <top/>
        <bottom/>
      </border>
    </dxf>
    <dxf>
      <font>
        <name val="Calibri"/>
        <family val="2"/>
        <strike val="0"/>
        <outline val="0"/>
        <shadow val="0"/>
        <color rgb="FF595959"/>
        <sz val="11"/>
        <vertAlign val="baseline"/>
      </font>
      <alignment horizontal="center" vertical="center" wrapText="1"/>
      <border outline="0">
        <left style="thin">
          <color theme="0" tint="-0.499984740745262"/>
        </left>
        <right/>
        <top style="thin">
          <color theme="0" tint="-0.499984740745262"/>
        </top>
        <bottom style="thin">
          <color theme="0" tint="-0.499984740745262"/>
        </bottom>
      </border>
    </dxf>
    <dxf>
      <font>
        <name val="Calibri"/>
        <family val="2"/>
        <strike val="0"/>
        <outline val="0"/>
        <shadow val="0"/>
        <color rgb="FF595959"/>
        <sz val="11"/>
        <vertAlign val="baseline"/>
      </font>
      <alignment horizontal="center" vertical="center" wrapText="1"/>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numFmt numFmtId="0" formatCode="General"/>
      <alignment horizontal="righ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vertical="center"/>
      <border outline="0">
        <left style="thin">
          <color theme="0" tint="-0.499984740745262"/>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vertical="center"/>
      <border outline="0">
        <left/>
        <right style="thin">
          <color theme="0" tint="-0.499984740745262"/>
        </right>
        <top style="thin">
          <color theme="0" tint="-0.499984740745262"/>
        </top>
        <bottom style="thin">
          <color theme="0" tint="-0.499984740745262"/>
        </bottom>
      </border>
    </dxf>
    <dxf>
      <font>
        <name val="Calibri"/>
        <family val="2"/>
        <strike val="0"/>
        <outline val="0"/>
        <shadow val="0"/>
        <sz val="11"/>
        <vertAlign val="baseline"/>
      </font>
      <alignment vertical="center"/>
      <border outline="0">
        <left style="thin">
          <color theme="0" tint="-0.499984740745262"/>
        </left>
        <right style="thin">
          <color theme="0" tint="-0.499984740745262"/>
        </right>
        <top/>
        <bottom/>
      </border>
    </dxf>
    <dxf>
      <border>
        <left style="medium">
          <color theme="0" tint="-0.499984740745262"/>
        </left>
        <right style="medium">
          <color theme="0" tint="-0.499984740745262"/>
        </right>
        <top style="medium">
          <color theme="0" tint="-0.499984740745262"/>
        </top>
        <bottom style="medium">
          <color theme="0" tint="-0.499984740745262"/>
        </bottom>
      </border>
    </dxf>
    <dxf>
      <font>
        <name val="Calibri"/>
        <family val="2"/>
        <strike val="0"/>
        <outline val="0"/>
        <shadow val="0"/>
        <sz val="11"/>
        <vertAlign val="baseline"/>
      </font>
      <alignment vertical="center"/>
    </dxf>
    <dxf>
      <border>
        <bottom style="double">
          <color theme="0" tint="-0.499984740745262"/>
        </bottom>
      </border>
    </dxf>
    <dxf>
      <font>
        <name val="Calibri"/>
        <family val="2"/>
        <strike val="0"/>
        <outline val="0"/>
        <shadow val="0"/>
        <sz val="11"/>
        <vertAlign val="baseline"/>
      </font>
      <fill>
        <patternFill patternType="solid">
          <fgColor indexed="64"/>
          <bgColor rgb="FF002060"/>
        </patternFill>
      </fill>
      <alignment vertical="center" wrapText="1"/>
      <border outline="0">
        <left style="thin">
          <color theme="0" tint="-0.499984740745262"/>
        </left>
        <right style="thin">
          <color theme="0" tint="-0.499984740745262"/>
        </right>
        <top/>
        <bottom/>
      </border>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externalLink" Target="/xl/externalLinks/externalLink1.xml" Id="rId32" /><Relationship Type="http://schemas.openxmlformats.org/officeDocument/2006/relationships/externalLink" Target="/xl/externalLinks/externalLink2.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100" b="1" i="0" strike="noStrike" kern="1200" baseline="0">
                <a:solidFill>
                  <a:srgbClr val="1F3864"/>
                </a:solidFill>
                <a:latin typeface="Calibri"/>
              </a:rPr>
              <a:t>Apparent Finished Steel Consumption and Growth</a:t>
            </a:r>
          </a:p>
        </rich>
      </tx>
      <layout>
        <manualLayout>
          <xMode val="edge"/>
          <yMode val="edge"/>
          <wMode val="factor"/>
          <hMode val="factor"/>
          <x val="0.1756874453193351"/>
          <y val="0"/>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'Steel Demand Model'!$A$9</f>
              <strCache>
                <ptCount val="1"/>
                <pt idx="0">
                  <v>Apparent Steel Consumption (Mt)</v>
                </pt>
              </strCache>
            </strRef>
          </tx>
          <spPr>
            <a:solidFill>
              <a:srgbClr val="002060"/>
            </a:solidFill>
            <a:ln>
              <a:noFill/>
              <a:prstDash val="solid"/>
            </a:ln>
          </spPr>
          <invertIfNegative val="0"/>
          <cat>
            <strRef>
              <f>'Steel Demand Model'!$B$8:$I$8</f>
              <strCache>
                <ptCount val="8"/>
                <pt idx="0">
                  <v>FY26A</v>
                </pt>
                <pt idx="1">
                  <v>FY27E</v>
                </pt>
                <pt idx="2">
                  <v>FY28E</v>
                </pt>
                <pt idx="3">
                  <v>FY29E</v>
                </pt>
                <pt idx="4">
                  <v>FY30E</v>
                </pt>
                <pt idx="5">
                  <v>FY31E</v>
                </pt>
                <pt idx="6">
                  <v>FY32E</v>
                </pt>
                <pt idx="7">
                  <v>FY33E</v>
                </pt>
              </strCache>
            </strRef>
          </cat>
          <val>
            <numRef>
              <f>'Steel Demand Model'!$B$9:$I$9</f>
              <numCache>
                <formatCode>#,##0.0</formatCode>
                <ptCount val="8"/>
                <pt idx="0">
                  <v>164.19</v>
                </pt>
                <pt idx="1">
                  <v>176.652021</v>
                </pt>
                <pt idx="2">
                  <v>190.4662090422</v>
                </pt>
                <pt idx="3">
                  <v>204.972115522854</v>
                </pt>
                <pt idx="4">
                  <v>220.0785604368884</v>
                </pt>
                <pt idx="5">
                  <v>236.0034450701016</v>
                </pt>
                <pt idx="6">
                  <v>252.2640824354316</v>
                </pt>
                <pt idx="7">
                  <v>269.4811060616498</v>
                </pt>
              </numCache>
            </numRef>
          </val>
        </ser>
        <dLbls>
          <showLegendKey val="0"/>
          <showVal val="0"/>
          <showCatName val="0"/>
          <showSerName val="0"/>
          <showPercent val="0"/>
          <showBubbleSize val="0"/>
        </dLbls>
        <gapWidth val="219"/>
        <overlap val="-27"/>
        <axId val="1150783904"/>
        <axId val="1194129328"/>
      </barChart>
      <lineChart>
        <grouping val="standard"/>
        <varyColors val="0"/>
        <ser>
          <idx val="1"/>
          <order val="1"/>
          <tx>
            <strRef>
              <f>'Steel Demand Model'!$A$10</f>
              <strCache>
                <ptCount val="1"/>
                <pt idx="0">
                  <v>Demand Growth (%)</v>
                </pt>
              </strCache>
            </strRef>
          </tx>
          <spPr>
            <a:ln w="28575" cap="rnd">
              <a:solidFill>
                <a:schemeClr val="accent2"/>
              </a:solidFill>
              <a:prstDash val="solid"/>
              <a:round/>
            </a:ln>
          </spPr>
          <marker>
            <symbol val="none"/>
            <spPr>
              <a:ln>
                <a:prstDash val="solid"/>
              </a:ln>
            </spPr>
          </marker>
          <cat>
            <strRef>
              <f>'Steel Demand Model'!$B$8:$I$8</f>
              <strCache>
                <ptCount val="8"/>
                <pt idx="0">
                  <v>FY26A</v>
                </pt>
                <pt idx="1">
                  <v>FY27E</v>
                </pt>
                <pt idx="2">
                  <v>FY28E</v>
                </pt>
                <pt idx="3">
                  <v>FY29E</v>
                </pt>
                <pt idx="4">
                  <v>FY30E</v>
                </pt>
                <pt idx="5">
                  <v>FY31E</v>
                </pt>
                <pt idx="6">
                  <v>FY32E</v>
                </pt>
                <pt idx="7">
                  <v>FY33E</v>
                </pt>
              </strCache>
            </strRef>
          </cat>
          <val>
            <numRef>
              <f>'Steel Demand Model'!$B$10:$I$10</f>
              <numCache>
                <formatCode>0.0%</formatCode>
                <ptCount val="8"/>
                <pt idx="0">
                  <v>0.07904</v>
                </pt>
                <pt idx="1">
                  <v>0.0759</v>
                </pt>
                <pt idx="2">
                  <v>0.07820000000000001</v>
                </pt>
                <pt idx="3">
                  <v>0.07616000000000002</v>
                </pt>
                <pt idx="4">
                  <v>0.07370000000000002</v>
                </pt>
                <pt idx="5">
                  <v>0.07236000000000001</v>
                </pt>
                <pt idx="6">
                  <v>0.0689</v>
                </pt>
                <pt idx="7">
                  <v>0.06825000000000001</v>
                </pt>
              </numCache>
            </numRef>
          </val>
          <smooth val="0"/>
        </ser>
        <dLbls>
          <showLegendKey val="0"/>
          <showVal val="0"/>
          <showCatName val="0"/>
          <showSerName val="0"/>
          <showPercent val="0"/>
          <showBubbleSize val="0"/>
        </dLbls>
        <marker val="1"/>
        <smooth val="0"/>
        <axId val="1150788544"/>
        <axId val="1194120208"/>
      </lineChart>
      <catAx>
        <axId val="1150783904"/>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94129328"/>
        <crosses val="autoZero"/>
        <auto val="1"/>
        <lblAlgn val="ctr"/>
        <lblOffset val="100"/>
        <noMultiLvlLbl val="0"/>
      </catAx>
      <valAx>
        <axId val="1194129328"/>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Consumption (Mt)</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50783904"/>
        <crosses val="autoZero"/>
        <crossBetween val="between"/>
      </valAx>
      <catAx>
        <axId val="1150788544"/>
        <scaling>
          <orientation val="minMax"/>
        </scaling>
        <delete val="1"/>
        <axPos val="b"/>
        <numFmt formatCode="General" sourceLinked="1"/>
        <majorTickMark val="none"/>
        <minorTickMark val="none"/>
        <tickLblPos val="nextTo"/>
        <crossAx val="1194120208"/>
        <crosses val="autoZero"/>
        <auto val="1"/>
        <lblAlgn val="ctr"/>
        <lblOffset val="100"/>
        <noMultiLvlLbl val="0"/>
      </catAx>
      <valAx>
        <axId val="1194120208"/>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Growth (%)</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50788544"/>
        <crosses val="max"/>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050" b="1" i="0" strike="noStrike" kern="1200" baseline="0">
                <a:solidFill>
                  <a:srgbClr val="1F3864"/>
                </a:solidFill>
                <a:latin typeface="Calibri"/>
              </a:rPr>
              <a:t>Domestic Availability and Capacity Utilisation</a:t>
            </a:r>
          </a:p>
        </rich>
      </tx>
      <layout>
        <manualLayout>
          <xMode val="edge"/>
          <yMode val="edge"/>
          <wMode val="factor"/>
          <hMode val="factor"/>
          <x val="0.2194860017497813"/>
          <y val="0.009259259259259259"/>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'Steel Supply Model'!$A$13</f>
              <strCache>
                <ptCount val="1"/>
                <pt idx="0">
                  <v>Domestic Supply (Mt)</v>
                </pt>
              </strCache>
            </strRef>
          </tx>
          <spPr>
            <a:solidFill>
              <a:srgbClr val="002060"/>
            </a:solidFill>
            <a:ln>
              <a:noFill/>
              <a:prstDash val="solid"/>
            </a:ln>
          </spPr>
          <invertIfNegative val="0"/>
          <cat>
            <strRef>
              <f>'Steel Supply Model'!$B$8:$I$8</f>
              <strCache>
                <ptCount val="8"/>
                <pt idx="0">
                  <v>FY26A</v>
                </pt>
                <pt idx="1">
                  <v>FY27E</v>
                </pt>
                <pt idx="2">
                  <v>FY28E</v>
                </pt>
                <pt idx="3">
                  <v>FY29E</v>
                </pt>
                <pt idx="4">
                  <v>FY30E</v>
                </pt>
                <pt idx="5">
                  <v>FY31E</v>
                </pt>
                <pt idx="6">
                  <v>FY32E</v>
                </pt>
                <pt idx="7">
                  <v>FY33E</v>
                </pt>
              </strCache>
            </strRef>
          </cat>
          <val>
            <numRef>
              <f>'Steel Supply Model'!$B$13:$I$13</f>
              <numCache>
                <formatCode>#,##0.0</formatCode>
                <ptCount val="8"/>
                <pt idx="0">
                  <v>161.662</v>
                </pt>
                <pt idx="1">
                  <v>175.652021</v>
                </pt>
                <pt idx="2">
                  <v>190.4662090422</v>
                </pt>
                <pt idx="3">
                  <v>205.472115522854</v>
                </pt>
                <pt idx="4">
                  <v>220.5785604368884</v>
                </pt>
                <pt idx="5">
                  <v>236.5034450701016</v>
                </pt>
                <pt idx="6">
                  <v>252.7640824354316</v>
                </pt>
                <pt idx="7">
                  <v>269.9811060616498</v>
                </pt>
              </numCache>
            </numRef>
          </val>
        </ser>
        <dLbls>
          <showLegendKey val="0"/>
          <showVal val="0"/>
          <showCatName val="0"/>
          <showSerName val="0"/>
          <showPercent val="0"/>
          <showBubbleSize val="0"/>
        </dLbls>
        <gapWidth val="219"/>
        <axId val="1246889616"/>
        <axId val="1194216688"/>
      </barChart>
      <lineChart>
        <grouping val="standard"/>
        <varyColors val="0"/>
        <ser>
          <idx val="1"/>
          <order val="1"/>
          <tx>
            <strRef>
              <f>'Steel Supply Model'!$A$12</f>
              <strCache>
                <ptCount val="1"/>
                <pt idx="0">
                  <v>Capacity Utilisation (%)</v>
                </pt>
              </strCache>
            </strRef>
          </tx>
          <spPr>
            <a:ln w="28575" cap="rnd">
              <a:solidFill>
                <a:srgbClr val="00B0F0"/>
              </a:solidFill>
              <a:prstDash val="solid"/>
              <a:round/>
            </a:ln>
          </spPr>
          <marker>
            <symbol val="none"/>
            <spPr>
              <a:ln>
                <a:prstDash val="solid"/>
              </a:ln>
            </spPr>
          </marker>
          <val>
            <numRef>
              <f>'Steel Supply Model'!$B$12:$I$12</f>
              <numCache>
                <formatCode>0.0%</formatCode>
                <ptCount val="8"/>
                <pt idx="0">
                  <v>0.7641560798548094</v>
                </pt>
                <pt idx="1">
                  <v>0.7879593501880744</v>
                </pt>
                <pt idx="2">
                  <v>0.8180011747812301</v>
                </pt>
                <pt idx="3">
                  <v>0.8273145200545696</v>
                </pt>
                <pt idx="4">
                  <v>0.8233917313759236</v>
                </pt>
                <pt idx="5">
                  <v>0.8283202749592203</v>
                </pt>
                <pt idx="6">
                  <v>0.8392425610521501</v>
                </pt>
                <pt idx="7">
                  <v>0.841815703690298</v>
                </pt>
              </numCache>
            </numRef>
          </val>
          <smooth val="0"/>
        </ser>
        <dLbls>
          <showLegendKey val="0"/>
          <showVal val="0"/>
          <showCatName val="0"/>
          <showSerName val="0"/>
          <showPercent val="0"/>
          <showBubbleSize val="0"/>
        </dLbls>
        <marker val="1"/>
        <smooth val="0"/>
        <axId val="1351505344"/>
        <axId val="1194143248"/>
      </lineChart>
      <catAx>
        <axId val="1246889616"/>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94216688"/>
        <crosses val="autoZero"/>
        <auto val="1"/>
        <lblAlgn val="ctr"/>
        <lblOffset val="100"/>
        <noMultiLvlLbl val="0"/>
      </catAx>
      <valAx>
        <axId val="1194216688"/>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Availability</a:t>
                </a:r>
                <a:r>
                  <a:rPr lang="en-US" baseline="0"/>
                  <a:t xml:space="preserve"> (Mt)</a:t>
                </a:r>
                <a:endParaRPr lang="en-US"/>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246889616"/>
        <crosses val="autoZero"/>
        <crossBetween val="between"/>
      </valAx>
      <catAx>
        <axId val="1351505344"/>
        <scaling>
          <orientation val="minMax"/>
        </scaling>
        <delete val="1"/>
        <axPos val="b"/>
        <majorTickMark val="out"/>
        <minorTickMark val="none"/>
        <tickLblPos val="nextTo"/>
        <crossAx val="1194143248"/>
        <crosses val="autoZero"/>
        <auto val="1"/>
        <lblAlgn val="ctr"/>
        <lblOffset val="100"/>
        <noMultiLvlLbl val="0"/>
      </catAx>
      <valAx>
        <axId val="1194143248"/>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Utilization</a:t>
                </a:r>
                <a:r>
                  <a:rPr lang="en-US" baseline="0"/>
                  <a:t xml:space="preserve"> (%)</a:t>
                </a:r>
                <a:endParaRPr lang="en-US"/>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351505344"/>
        <crosses val="max"/>
        <crossBetween val="between"/>
      </valAx>
    </plotArea>
    <plotVisOnly val="1"/>
    <dispBlanksAs val="gap"/>
  </chart>
  <spPr>
    <a:solidFill>
      <a:schemeClr val="bg1"/>
    </a:solidFill>
    <a:ln w="9525" cap="flat" cmpd="sng" algn="ctr">
      <a:no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000" b="1" i="0" strike="noStrike" kern="1200" baseline="0">
                <a:solidFill>
                  <a:srgbClr val="1F3864"/>
                </a:solidFill>
                <a:latin typeface="Calibri"/>
              </a:rPr>
              <a:t>Installed Capacity and Utilisation</a:t>
            </a:r>
          </a:p>
        </rich>
      </tx>
      <layout>
        <manualLayout>
          <xMode val="edge"/>
          <yMode val="edge"/>
          <wMode val="factor"/>
          <hMode val="factor"/>
          <x val="0.3020971128608924"/>
          <y val="0.009259259259259259"/>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'Capacity Forecast'!$A$9</f>
              <strCache>
                <ptCount val="1"/>
                <pt idx="0">
                  <v>Installed Capacity (Mtpa)</v>
                </pt>
              </strCache>
            </strRef>
          </tx>
          <spPr>
            <a:solidFill>
              <a:srgbClr val="002060"/>
            </a:solidFill>
            <a:ln>
              <a:noFill/>
              <a:prstDash val="solid"/>
            </a:ln>
          </spPr>
          <invertIfNegative val="0"/>
          <cat>
            <strRef>
              <f>'Capacity Forecast'!$B$8:$I$8</f>
              <strCache>
                <ptCount val="8"/>
                <pt idx="0">
                  <v>FY26A</v>
                </pt>
                <pt idx="1">
                  <v>FY27E</v>
                </pt>
                <pt idx="2">
                  <v>FY28E</v>
                </pt>
                <pt idx="3">
                  <v>FY29E</v>
                </pt>
                <pt idx="4">
                  <v>FY30E</v>
                </pt>
                <pt idx="5">
                  <v>FY31E</v>
                </pt>
                <pt idx="6">
                  <v>FY32E</v>
                </pt>
                <pt idx="7">
                  <v>FY33E</v>
                </pt>
              </strCache>
            </strRef>
          </cat>
          <val>
            <numRef>
              <f>'Capacity Forecast'!$B$9:$I$9</f>
              <numCache>
                <formatCode>#,##0.0</formatCode>
                <ptCount val="8"/>
                <pt idx="0">
                  <v>220.4</v>
                </pt>
                <pt idx="1">
                  <v>233.95</v>
                </pt>
                <pt idx="2">
                  <v>244.95</v>
                </pt>
                <pt idx="3">
                  <v>261.8065</v>
                </pt>
                <pt idx="4">
                  <v>282.889</v>
                </pt>
                <pt idx="5">
                  <v>301.957</v>
                </pt>
                <pt idx="6">
                  <v>318.927</v>
                </pt>
                <pt idx="7">
                  <v>339.977</v>
                </pt>
              </numCache>
            </numRef>
          </val>
        </ser>
        <dLbls>
          <showLegendKey val="0"/>
          <showVal val="0"/>
          <showCatName val="0"/>
          <showSerName val="0"/>
          <showPercent val="0"/>
          <showBubbleSize val="0"/>
        </dLbls>
        <gapWidth val="219"/>
        <overlap val="-27"/>
        <axId val="1212976224"/>
        <axId val="1194121168"/>
      </barChart>
      <lineChart>
        <grouping val="standard"/>
        <varyColors val="0"/>
        <ser>
          <idx val="1"/>
          <order val="1"/>
          <tx>
            <strRef>
              <f>'Capacity Forecast'!$A$12</f>
              <strCache>
                <ptCount val="1"/>
                <pt idx="0">
                  <v>Capacity Utilisation (%)</v>
                </pt>
              </strCache>
            </strRef>
          </tx>
          <spPr>
            <a:ln w="28575" cap="rnd">
              <a:solidFill>
                <a:srgbClr val="00B0F0"/>
              </a:solidFill>
              <a:prstDash val="solid"/>
              <a:round/>
            </a:ln>
          </spPr>
          <marker>
            <symbol val="none"/>
            <spPr>
              <a:ln>
                <a:prstDash val="solid"/>
              </a:ln>
            </spPr>
          </marker>
          <val>
            <numRef>
              <f>'Capacity Forecast'!$B$12:$I$12</f>
              <numCache>
                <formatCode>0.0%</formatCode>
                <ptCount val="8"/>
                <pt idx="0">
                  <v>0.7641560798548094</v>
                </pt>
                <pt idx="1">
                  <v>0.7879593501880744</v>
                </pt>
                <pt idx="2">
                  <v>0.8180011747812301</v>
                </pt>
                <pt idx="3">
                  <v>0.8273145200545696</v>
                </pt>
                <pt idx="4">
                  <v>0.8233917313759236</v>
                </pt>
                <pt idx="5">
                  <v>0.8283202749592203</v>
                </pt>
                <pt idx="6">
                  <v>0.8392425610521501</v>
                </pt>
                <pt idx="7">
                  <v>0.841815703690298</v>
                </pt>
              </numCache>
            </numRef>
          </val>
          <smooth val="0"/>
        </ser>
        <dLbls>
          <showLegendKey val="0"/>
          <showVal val="0"/>
          <showCatName val="0"/>
          <showSerName val="0"/>
          <showPercent val="0"/>
          <showBubbleSize val="0"/>
        </dLbls>
        <marker val="1"/>
        <smooth val="0"/>
        <axId val="1150800608"/>
        <axId val="1194188368"/>
      </lineChart>
      <catAx>
        <axId val="1212976224"/>
        <scaling>
          <orientation val="minMax"/>
        </scaling>
        <delete val="0"/>
        <axPos val="b"/>
        <title>
          <tx>
            <rich>
              <a:bodyPr/>
              <a:p>
                <a:r>
                  <a:t/>
                </a:r>
              </a:p>
            </rich>
          </tx>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94121168"/>
        <crosses val="autoZero"/>
        <auto val="1"/>
        <lblAlgn val="ctr"/>
        <lblOffset val="100"/>
        <noMultiLvlLbl val="0"/>
      </catAx>
      <valAx>
        <axId val="1194121168"/>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Capacity (Mtpa)</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212976224"/>
        <crosses val="autoZero"/>
        <crossBetween val="between"/>
      </valAx>
      <catAx>
        <axId val="1150800608"/>
        <scaling>
          <orientation val="minMax"/>
        </scaling>
        <delete val="1"/>
        <axPos val="b"/>
        <majorTickMark val="out"/>
        <minorTickMark val="none"/>
        <tickLblPos val="nextTo"/>
        <crossAx val="1194188368"/>
        <crosses val="autoZero"/>
        <auto val="1"/>
        <lblAlgn val="ctr"/>
        <lblOffset val="100"/>
        <noMultiLvlLbl val="0"/>
      </catAx>
      <valAx>
        <axId val="1194188368"/>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Utilization (%)</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out"/>
        <minorTickMark val="none"/>
        <tickLblPos val="nextTo"/>
        <spPr>
          <a:noFill/>
          <a:ln>
            <a:noFill/>
            <a:prstDash val="solid"/>
          </a:ln>
        </spPr>
        <txPr>
          <a:bodyPr rot="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50800608"/>
        <crosses val="max"/>
        <crossBetween val="between"/>
      </valAx>
    </plotArea>
    <plotVisOnly val="1"/>
    <dispBlanksAs val="gap"/>
  </chart>
  <spPr>
    <a:solidFill>
      <a:schemeClr val="bg1"/>
    </a:solidFill>
    <a:ln w="9525" cap="flat" cmpd="sng" algn="ctr">
      <a:no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000" b="1" i="0" strike="noStrike" kern="1200" baseline="0">
                <a:solidFill>
                  <a:srgbClr val="1F3864"/>
                </a:solidFill>
                <a:latin typeface="Calibri"/>
              </a:rPr>
              <a:t>Capacity Additions by Type (Mtpa)</a:t>
            </a:r>
          </a:p>
        </rich>
      </tx>
      <layout>
        <manualLayout>
          <xMode val="edge"/>
          <yMode val="edge"/>
          <wMode val="factor"/>
          <hMode val="factor"/>
          <x val="0.2927430008748906"/>
          <y val="0.01388888888888889"/>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stacked"/>
        <varyColors val="0"/>
        <ser>
          <idx val="1"/>
          <order val="0"/>
          <tx>
            <strRef>
              <f>'Capacity Forecast'!$A$48</f>
              <strCache>
                <ptCount val="1"/>
                <pt idx="0">
                  <v>Brownfield Additions</v>
                </pt>
              </strCache>
            </strRef>
          </tx>
          <spPr>
            <a:solidFill>
              <a:schemeClr val="accent2">
                <a:lumMod val="75000"/>
              </a:schemeClr>
            </a:solidFill>
            <a:ln>
              <a:noFill/>
              <a:prstDash val="solid"/>
            </a:ln>
          </spPr>
          <invertIfNegative val="0"/>
          <cat>
            <strRef>
              <f>'Capacity Forecast'!$B$46:$H$46</f>
              <strCache>
                <ptCount val="7"/>
                <pt idx="0">
                  <v>FY27E</v>
                </pt>
                <pt idx="1">
                  <v>FY28E</v>
                </pt>
                <pt idx="2">
                  <v>FY29E</v>
                </pt>
                <pt idx="3">
                  <v>FY30E</v>
                </pt>
                <pt idx="4">
                  <v>FY31E</v>
                </pt>
                <pt idx="5">
                  <v>FY32E</v>
                </pt>
                <pt idx="6">
                  <v>FY33E</v>
                </pt>
              </strCache>
            </strRef>
          </cat>
          <val>
            <numRef>
              <f>'Capacity Forecast'!$B$48:$H$48</f>
              <numCache>
                <formatCode>#,##0.0</formatCode>
                <ptCount val="7"/>
                <pt idx="0">
                  <v>2.55</v>
                </pt>
                <pt idx="1">
                  <v>0</v>
                </pt>
                <pt idx="2">
                  <v>5.8565</v>
                </pt>
                <pt idx="3">
                  <v>10.5825</v>
                </pt>
                <pt idx="4">
                  <v>0</v>
                </pt>
                <pt idx="5">
                  <v>0</v>
                </pt>
                <pt idx="6">
                  <v>0</v>
                </pt>
              </numCache>
            </numRef>
          </val>
        </ser>
        <ser>
          <idx val="2"/>
          <order val="1"/>
          <tx>
            <strRef>
              <f>'Capacity Forecast'!$A$49</f>
              <strCache>
                <ptCount val="1"/>
                <pt idx="0">
                  <v>Greenfield Additions</v>
                </pt>
              </strCache>
            </strRef>
          </tx>
          <spPr>
            <a:solidFill>
              <a:schemeClr val="accent6">
                <a:lumMod val="60000"/>
                <a:lumOff val="40000"/>
              </a:schemeClr>
            </a:solidFill>
            <a:ln>
              <a:noFill/>
              <a:prstDash val="solid"/>
            </a:ln>
          </spPr>
          <invertIfNegative val="0"/>
          <cat>
            <strRef>
              <f>'Capacity Forecast'!$B$46:$H$46</f>
              <strCache>
                <ptCount val="7"/>
                <pt idx="0">
                  <v>FY27E</v>
                </pt>
                <pt idx="1">
                  <v>FY28E</v>
                </pt>
                <pt idx="2">
                  <v>FY29E</v>
                </pt>
                <pt idx="3">
                  <v>FY30E</v>
                </pt>
                <pt idx="4">
                  <v>FY31E</v>
                </pt>
                <pt idx="5">
                  <v>FY32E</v>
                </pt>
                <pt idx="6">
                  <v>FY33E</v>
                </pt>
              </strCache>
            </strRef>
          </cat>
          <val>
            <numRef>
              <f>'Capacity Forecast'!$B$49:$H$49</f>
              <numCache>
                <formatCode>#,##0.0</formatCode>
                <ptCount val="7"/>
                <pt idx="0">
                  <v>0</v>
                </pt>
                <pt idx="1">
                  <v>0</v>
                </pt>
                <pt idx="2">
                  <v>0</v>
                </pt>
                <pt idx="3">
                  <v>0</v>
                </pt>
                <pt idx="4">
                  <v>8.568</v>
                </pt>
                <pt idx="5">
                  <v>6.969999999999999</v>
                </pt>
                <pt idx="6">
                  <v>11.05</v>
                </pt>
              </numCache>
            </numRef>
          </val>
        </ser>
        <ser>
          <idx val="3"/>
          <order val="2"/>
          <tx>
            <strRef>
              <f>'Capacity Forecast'!$A$50</f>
              <strCache>
                <ptCount val="1"/>
                <pt idx="0">
                  <v>Debottlenecking</v>
                </pt>
              </strCache>
            </strRef>
          </tx>
          <spPr>
            <a:solidFill>
              <a:schemeClr val="accent1">
                <a:lumMod val="60000"/>
                <a:lumOff val="40000"/>
              </a:schemeClr>
            </a:solidFill>
            <a:ln>
              <a:noFill/>
              <a:prstDash val="solid"/>
            </a:ln>
          </spPr>
          <invertIfNegative val="0"/>
          <cat>
            <strRef>
              <f>'Capacity Forecast'!$B$46:$H$46</f>
              <strCache>
                <ptCount val="7"/>
                <pt idx="0">
                  <v>FY27E</v>
                </pt>
                <pt idx="1">
                  <v>FY28E</v>
                </pt>
                <pt idx="2">
                  <v>FY29E</v>
                </pt>
                <pt idx="3">
                  <v>FY30E</v>
                </pt>
                <pt idx="4">
                  <v>FY31E</v>
                </pt>
                <pt idx="5">
                  <v>FY32E</v>
                </pt>
                <pt idx="6">
                  <v>FY33E</v>
                </pt>
              </strCache>
            </strRef>
          </cat>
          <val>
            <numRef>
              <f>'Capacity Forecast'!$B$50:$H$50</f>
              <numCache>
                <formatCode>#,##0.0</formatCode>
                <ptCount val="7"/>
                <pt idx="0">
                  <v>11</v>
                </pt>
                <pt idx="1">
                  <v>11</v>
                </pt>
                <pt idx="2">
                  <v>11</v>
                </pt>
                <pt idx="3">
                  <v>10.5</v>
                </pt>
                <pt idx="4">
                  <v>10.5</v>
                </pt>
                <pt idx="5">
                  <v>10</v>
                </pt>
                <pt idx="6">
                  <v>10</v>
                </pt>
              </numCache>
            </numRef>
          </val>
        </ser>
        <dLbls>
          <showLegendKey val="0"/>
          <showVal val="0"/>
          <showCatName val="0"/>
          <showSerName val="0"/>
          <showPercent val="0"/>
          <showBubbleSize val="0"/>
        </dLbls>
        <gapWidth val="150"/>
        <overlap val="100"/>
        <axId val="1351518336"/>
        <axId val="1194181648"/>
      </barChart>
      <catAx>
        <axId val="1351518336"/>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94181648"/>
        <crosses val="autoZero"/>
        <auto val="1"/>
        <lblAlgn val="ctr"/>
        <lblOffset val="100"/>
        <noMultiLvlLbl val="0"/>
      </catAx>
      <valAx>
        <axId val="1194181648"/>
        <scaling>
          <orientation val="minMax"/>
        </scaling>
        <delete val="0"/>
        <axPos val="b"/>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351518336"/>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Capacity vs Utilisation</a:t>
            </a:r>
          </a:p>
        </rich>
      </tx>
      <layout>
        <manualLayout>
          <xMode val="edge"/>
          <yMode val="edge"/>
          <wMode val="factor"/>
          <hMode val="factor"/>
          <x val="0.3457800487704994"/>
          <y val="0.02263723825693265"/>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'Capacity Utilisation'!$A$9</f>
              <strCache>
                <ptCount val="1"/>
                <pt idx="0">
                  <v>Installed Capacity (Mtpa)</v>
                </pt>
              </strCache>
            </strRef>
          </tx>
          <spPr>
            <a:solidFill>
              <a:srgbClr val="002060"/>
            </a:solidFill>
            <a:ln>
              <a:noFill/>
              <a:prstDash val="solid"/>
            </a:ln>
          </spPr>
          <invertIfNegative val="0"/>
          <cat>
            <strRef>
              <f>'Capacity Utilisation'!$B$8:$I$8</f>
              <strCache>
                <ptCount val="8"/>
                <pt idx="0">
                  <v>FY26A</v>
                </pt>
                <pt idx="1">
                  <v>FY27E</v>
                </pt>
                <pt idx="2">
                  <v>FY28E</v>
                </pt>
                <pt idx="3">
                  <v>FY29E</v>
                </pt>
                <pt idx="4">
                  <v>FY30E</v>
                </pt>
                <pt idx="5">
                  <v>FY31E</v>
                </pt>
                <pt idx="6">
                  <v>FY32E</v>
                </pt>
                <pt idx="7">
                  <v>FY33E</v>
                </pt>
              </strCache>
            </strRef>
          </cat>
          <val>
            <numRef>
              <f>'Capacity Utilisation'!$B$9:$I$9</f>
              <numCache>
                <formatCode>#,##0.0</formatCode>
                <ptCount val="8"/>
                <pt idx="0">
                  <v>220.4</v>
                </pt>
                <pt idx="1">
                  <v>233.95</v>
                </pt>
                <pt idx="2">
                  <v>244.95</v>
                </pt>
                <pt idx="3">
                  <v>261.8065</v>
                </pt>
                <pt idx="4">
                  <v>282.889</v>
                </pt>
                <pt idx="5">
                  <v>301.957</v>
                </pt>
                <pt idx="6">
                  <v>318.927</v>
                </pt>
                <pt idx="7">
                  <v>339.977</v>
                </pt>
              </numCache>
            </numRef>
          </val>
        </ser>
        <dLbls>
          <showLegendKey val="0"/>
          <showVal val="0"/>
          <showCatName val="0"/>
          <showSerName val="0"/>
          <showPercent val="0"/>
          <showBubbleSize val="0"/>
        </dLbls>
        <gapWidth val="219"/>
        <overlap val="-27"/>
        <axId val="800911360"/>
        <axId val="1584781840"/>
      </barChart>
      <lineChart>
        <grouping val="standard"/>
        <varyColors val="0"/>
        <ser>
          <idx val="1"/>
          <order val="1"/>
          <tx>
            <strRef>
              <f>'Capacity Utilisation'!$A$11</f>
              <strCache>
                <ptCount val="1"/>
                <pt idx="0">
                  <v>Capacity Utilisation (%)</v>
                </pt>
              </strCache>
            </strRef>
          </tx>
          <spPr>
            <a:ln w="28575" cap="rnd">
              <a:solidFill>
                <a:schemeClr val="accent2"/>
              </a:solidFill>
              <a:prstDash val="solid"/>
              <a:round/>
            </a:ln>
          </spPr>
          <marker>
            <symbol val="none"/>
            <spPr>
              <a:ln>
                <a:prstDash val="solid"/>
              </a:ln>
            </spPr>
          </marker>
          <cat>
            <strRef>
              <f>'Capacity Utilisation'!$B$8:$I$8</f>
              <strCache>
                <ptCount val="8"/>
                <pt idx="0">
                  <v>FY26A</v>
                </pt>
                <pt idx="1">
                  <v>FY27E</v>
                </pt>
                <pt idx="2">
                  <v>FY28E</v>
                </pt>
                <pt idx="3">
                  <v>FY29E</v>
                </pt>
                <pt idx="4">
                  <v>FY30E</v>
                </pt>
                <pt idx="5">
                  <v>FY31E</v>
                </pt>
                <pt idx="6">
                  <v>FY32E</v>
                </pt>
                <pt idx="7">
                  <v>FY33E</v>
                </pt>
              </strCache>
            </strRef>
          </cat>
          <val>
            <numRef>
              <f>'Capacity Utilisation'!$B$11:$I$11</f>
              <numCache>
                <formatCode>0.0%</formatCode>
                <ptCount val="8"/>
                <pt idx="0">
                  <v>0.7641560798548094</v>
                </pt>
                <pt idx="1">
                  <v>0.7879593501880744</v>
                </pt>
                <pt idx="2">
                  <v>0.8180011747812301</v>
                </pt>
                <pt idx="3">
                  <v>0.8273145200545696</v>
                </pt>
                <pt idx="4">
                  <v>0.8233917313759236</v>
                </pt>
                <pt idx="5">
                  <v>0.8283202749592203</v>
                </pt>
                <pt idx="6">
                  <v>0.8392425610521501</v>
                </pt>
                <pt idx="7">
                  <v>0.841815703690298</v>
                </pt>
              </numCache>
            </numRef>
          </val>
          <smooth val="0"/>
        </ser>
        <dLbls>
          <showLegendKey val="0"/>
          <showVal val="0"/>
          <showCatName val="0"/>
          <showSerName val="0"/>
          <showPercent val="0"/>
          <showBubbleSize val="0"/>
        </dLbls>
        <marker val="1"/>
        <smooth val="0"/>
        <axId val="800911824"/>
        <axId val="1584781360"/>
      </lineChart>
      <catAx>
        <axId val="80091136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584781840"/>
        <crosses val="autoZero"/>
        <auto val="1"/>
        <lblAlgn val="ctr"/>
        <lblOffset val="100"/>
        <noMultiLvlLbl val="0"/>
      </catAx>
      <valAx>
        <axId val="1584781840"/>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Capacity (Mtpa)</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800911360"/>
        <crosses val="autoZero"/>
        <crossBetween val="between"/>
      </valAx>
      <catAx>
        <axId val="800911824"/>
        <scaling>
          <orientation val="minMax"/>
        </scaling>
        <delete val="1"/>
        <axPos val="b"/>
        <numFmt formatCode="General" sourceLinked="1"/>
        <majorTickMark val="none"/>
        <minorTickMark val="none"/>
        <tickLblPos val="nextTo"/>
        <crossAx val="1584781360"/>
        <crosses val="autoZero"/>
        <auto val="1"/>
        <lblAlgn val="ctr"/>
        <lblOffset val="100"/>
        <noMultiLvlLbl val="0"/>
      </catAx>
      <valAx>
        <axId val="1584781360"/>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Utilisation</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800911824"/>
        <crosses val="max"/>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sz="1000"/>
              <a:t>BLENDED</a:t>
            </a:r>
            <a:r>
              <a:rPr lang="en-US" sz="1000" baseline="0"/>
              <a:t xml:space="preserve"> STEEL ASP</a:t>
            </a:r>
            <a:endParaRPr lang="en-US" sz="1000"/>
          </a:p>
        </rich>
      </tx>
      <layout>
        <manualLayout>
          <xMode val="edge"/>
          <yMode val="edge"/>
          <wMode val="factor"/>
          <hMode val="factor"/>
          <x val="0.3152915573053368"/>
          <y val="0.009259259259259259"/>
        </manualLayout>
      </layout>
      <overlay val="0"/>
      <spPr>
        <a:noFill/>
        <a:ln>
          <a:noFill/>
          <a:prstDash val="solid"/>
        </a:ln>
      </spPr>
      <txPr>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'Steel Price Forecast'!$A$11</f>
              <strCache>
                <ptCount val="1"/>
                <pt idx="0">
                  <v>Blened Steel ASP</v>
                </pt>
              </strCache>
            </strRef>
          </tx>
          <spPr>
            <a:ln w="22225" cap="rnd">
              <a:solidFill>
                <a:srgbClr val="002060"/>
              </a:solidFill>
              <a:prstDash val="solid"/>
              <a:round/>
            </a:ln>
          </spPr>
          <marker>
            <symbol val="diamond"/>
            <size val="6"/>
            <spPr>
              <a:solidFill>
                <a:schemeClr val="accent1"/>
              </a:solidFill>
              <a:ln w="9525">
                <a:solidFill>
                  <a:schemeClr val="accent1"/>
                </a:solidFill>
                <a:prstDash val="solid"/>
                <a:round/>
              </a:ln>
            </spPr>
          </marker>
          <cat>
            <strRef>
              <f>'Steel Price Forecast'!$B$8:$I$8</f>
              <strCache>
                <ptCount val="8"/>
                <pt idx="0">
                  <v>FY26A</v>
                </pt>
                <pt idx="1">
                  <v>FY27E</v>
                </pt>
                <pt idx="2">
                  <v>FY28E</v>
                </pt>
                <pt idx="3">
                  <v>FY29E</v>
                </pt>
                <pt idx="4">
                  <v>FY30E</v>
                </pt>
                <pt idx="5">
                  <v>FY31E</v>
                </pt>
                <pt idx="6">
                  <v>FY32E</v>
                </pt>
                <pt idx="7">
                  <v>FY33E</v>
                </pt>
              </strCache>
            </strRef>
          </cat>
          <val>
            <numRef>
              <f>'Steel Price Forecast'!$B$11:$I$11</f>
              <numCache>
                <formatCode>#,##0</formatCode>
                <ptCount val="8"/>
                <pt idx="0">
                  <v>59974</v>
                </pt>
                <pt idx="1">
                  <v>61502.3551366492</v>
                </pt>
                <pt idx="2">
                  <v>61439.22866466202</v>
                </pt>
                <pt idx="3">
                  <v>61161.01138532058</v>
                </pt>
                <pt idx="4">
                  <v>62580.1149381229</v>
                </pt>
                <pt idx="5">
                  <v>64724.99903895604</v>
                </pt>
                <pt idx="6">
                  <v>67036.00361177676</v>
                </pt>
                <pt idx="7">
                  <v>69137.3871403761</v>
                </pt>
              </numCache>
            </numRef>
          </val>
          <smooth val="0"/>
        </ser>
        <dLbls>
          <showLegendKey val="0"/>
          <showVal val="0"/>
          <showCatName val="0"/>
          <showSerName val="0"/>
          <showPercent val="0"/>
          <showBubbleSize val="0"/>
        </dLbls>
        <marker val="1"/>
        <smooth val="0"/>
        <axId val="180100463"/>
        <axId val="29977231"/>
      </lineChart>
      <catAx>
        <axId val="180100463"/>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r>
              <a:t/>
            </a:r>
            <a:endParaRPr lang="en-US"/>
          </a:p>
        </txPr>
        <crossAx val="29977231"/>
        <crosses val="autoZero"/>
        <auto val="1"/>
        <lblAlgn val="ctr"/>
        <lblOffset val="100"/>
        <noMultiLvlLbl val="0"/>
      </catAx>
      <valAx>
        <axId val="29977231"/>
        <scaling>
          <orientation val="minMax"/>
        </scaling>
        <delete val="0"/>
        <axPos val="l"/>
        <numFmt formatCode="#,##0" sourceLinked="1"/>
        <majorTickMark val="none"/>
        <minorTickMark val="none"/>
        <tickLblPos val="nextTo"/>
        <spPr>
          <a:noFill/>
          <a:ln w="9525" cap="flat" cmpd="sng" algn="ctr">
            <a:solidFill>
              <a:schemeClr val="dk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80100463"/>
        <crosses val="autoZero"/>
        <crossBetween val="between"/>
      </valAx>
    </plotArea>
    <plotVisOnly val="1"/>
    <dispBlanksAs val="gap"/>
  </chart>
  <spPr>
    <a:solidFill>
      <a:schemeClr val="lt1"/>
    </a:solidFill>
    <a:ln w="9525" cap="flat" cmpd="sng" algn="ctr">
      <a:no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Industry Revenue &amp; Growth</a:t>
            </a:r>
          </a:p>
        </rich>
      </tx>
      <layout>
        <manualLayout>
          <xMode val="edge"/>
          <yMode val="edge"/>
          <wMode val="factor"/>
          <hMode val="factor"/>
          <x val="0.2723541119860017"/>
          <y val="0.009259259259259259"/>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'Revenue Forecast'!$A$11</f>
              <strCache>
                <ptCount val="1"/>
                <pt idx="0">
                  <v>Revenue (₹ Cr)</v>
                </pt>
              </strCache>
            </strRef>
          </tx>
          <spPr>
            <a:solidFill>
              <a:srgbClr val="002060"/>
            </a:solidFill>
            <a:ln>
              <a:noFill/>
              <a:prstDash val="solid"/>
            </a:ln>
          </spPr>
          <invertIfNegative val="0"/>
          <cat>
            <strRef>
              <f>'Revenue Forecast'!$B$8:$I$8</f>
              <strCache>
                <ptCount val="8"/>
                <pt idx="0">
                  <v>FY26A</v>
                </pt>
                <pt idx="1">
                  <v>FY27E</v>
                </pt>
                <pt idx="2">
                  <v>FY28E</v>
                </pt>
                <pt idx="3">
                  <v>FY29E</v>
                </pt>
                <pt idx="4">
                  <v>FY30E</v>
                </pt>
                <pt idx="5">
                  <v>FY31E</v>
                </pt>
                <pt idx="6">
                  <v>FY32E</v>
                </pt>
                <pt idx="7">
                  <v>FY33E</v>
                </pt>
              </strCache>
            </strRef>
          </cat>
          <val>
            <numRef>
              <f>'Revenue Forecast'!$B$11:$I$11</f>
              <numCache>
                <formatCode>#,##0;\(#,##0\)</formatCode>
                <ptCount val="8"/>
                <pt idx="0">
                  <v>970019.476</v>
                </pt>
                <pt idx="1">
                  <v>1083376.415358049</v>
                </pt>
                <pt idx="2">
                  <v>1176353.619889971</v>
                </pt>
                <pt idx="3">
                  <v>1265862.391393716</v>
                </pt>
                <pt idx="4">
                  <v>1392899.189490241</v>
                </pt>
                <pt idx="5">
                  <v>1546949.775246951</v>
                </pt>
                <pt idx="6">
                  <v>1714540.195390436</v>
                </pt>
                <pt idx="7">
                  <v>1890776.910536254</v>
                </pt>
              </numCache>
            </numRef>
          </val>
        </ser>
        <dLbls>
          <showLegendKey val="0"/>
          <showVal val="0"/>
          <showCatName val="0"/>
          <showSerName val="0"/>
          <showPercent val="0"/>
          <showBubbleSize val="0"/>
        </dLbls>
        <gapWidth val="219"/>
        <overlap val="-27"/>
        <axId val="1169072159"/>
        <axId val="1145157679"/>
      </barChart>
      <lineChart>
        <grouping val="standard"/>
        <varyColors val="0"/>
        <ser>
          <idx val="1"/>
          <order val="1"/>
          <tx>
            <strRef>
              <f>'Revenue Forecast'!$A$12</f>
              <strCache>
                <ptCount val="1"/>
                <pt idx="0">
                  <v>Revenue Growth (%)</v>
                </pt>
              </strCache>
            </strRef>
          </tx>
          <spPr>
            <a:ln w="28575" cap="rnd">
              <a:solidFill>
                <a:schemeClr val="accent2"/>
              </a:solidFill>
              <a:prstDash val="solid"/>
              <a:round/>
            </a:ln>
          </spPr>
          <marker>
            <symbol val="none"/>
            <spPr>
              <a:ln>
                <a:prstDash val="solid"/>
              </a:ln>
            </spPr>
          </marker>
          <cat>
            <strRef>
              <f>'Revenue Forecast'!$B$8:$I$8</f>
              <strCache>
                <ptCount val="8"/>
                <pt idx="0">
                  <v>FY26A</v>
                </pt>
                <pt idx="1">
                  <v>FY27E</v>
                </pt>
                <pt idx="2">
                  <v>FY28E</v>
                </pt>
                <pt idx="3">
                  <v>FY29E</v>
                </pt>
                <pt idx="4">
                  <v>FY30E</v>
                </pt>
                <pt idx="5">
                  <v>FY31E</v>
                </pt>
                <pt idx="6">
                  <v>FY32E</v>
                </pt>
                <pt idx="7">
                  <v>FY33E</v>
                </pt>
              </strCache>
            </strRef>
          </cat>
          <val>
            <numRef>
              <f>'Revenue Forecast'!$B$12:$I$12</f>
              <numCache>
                <formatCode>0.0%</formatCode>
                <ptCount val="8"/>
                <pt idx="1">
                  <v>0.1168604777148298</v>
                </pt>
                <pt idx="2">
                  <v>0.08582169891633963</v>
                </pt>
                <pt idx="3">
                  <v>0.07609002088344616</v>
                </pt>
                <pt idx="4">
                  <v>0.100355930439372</v>
                </pt>
                <pt idx="5">
                  <v>0.1105970819130765</v>
                </pt>
                <pt idx="6">
                  <v>0.1083360447928771</v>
                </pt>
                <pt idx="7">
                  <v>0.1027894916780796</v>
                </pt>
              </numCache>
            </numRef>
          </val>
          <smooth val="0"/>
        </ser>
        <dLbls>
          <showLegendKey val="0"/>
          <showVal val="0"/>
          <showCatName val="0"/>
          <showSerName val="0"/>
          <showPercent val="0"/>
          <showBubbleSize val="0"/>
        </dLbls>
        <marker val="1"/>
        <smooth val="0"/>
        <axId val="1169067519"/>
        <axId val="1145145679"/>
      </lineChart>
      <catAx>
        <axId val="1169072159"/>
        <scaling>
          <orientation val="minMax"/>
        </scaling>
        <delete val="0"/>
        <axPos val="b"/>
        <title>
          <tx>
            <rich>
              <a:bodyPr/>
              <a:p>
                <a:r>
                  <a:t/>
                </a:r>
              </a:p>
            </rich>
          </tx>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157679"/>
        <crosses val="autoZero"/>
        <auto val="1"/>
        <lblAlgn val="ctr"/>
        <lblOffset val="100"/>
        <noMultiLvlLbl val="0"/>
      </catAx>
      <valAx>
        <axId val="1145157679"/>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Revenue</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69072159"/>
        <crosses val="autoZero"/>
        <crossBetween val="between"/>
      </valAx>
      <catAx>
        <axId val="1169067519"/>
        <scaling>
          <orientation val="minMax"/>
        </scaling>
        <delete val="1"/>
        <axPos val="b"/>
        <numFmt formatCode="General" sourceLinked="1"/>
        <majorTickMark val="none"/>
        <minorTickMark val="none"/>
        <tickLblPos val="nextTo"/>
        <crossAx val="1145145679"/>
        <crosses val="autoZero"/>
        <auto val="1"/>
        <lblAlgn val="ctr"/>
        <lblOffset val="100"/>
        <noMultiLvlLbl val="0"/>
      </catAx>
      <valAx>
        <axId val="1145145679"/>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Revenue</a:t>
                </a:r>
                <a:r>
                  <a:rPr lang="en-US" baseline="0"/>
                  <a:t xml:space="preserve"> Growth</a:t>
                </a:r>
                <a:endParaRPr lang="en-US"/>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69067519"/>
        <crosses val="max"/>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Industry Revenue</a:t>
            </a:r>
            <a:r>
              <a:rPr lang="en-US" baseline="0"/>
              <a:t xml:space="preserve"> by Scenarios</a:t>
            </a:r>
            <a:endParaRPr lang="en-US"/>
          </a:p>
        </rich>
      </tx>
      <layout>
        <manualLayout>
          <xMode val="edge"/>
          <yMode val="edge"/>
          <wMode val="factor"/>
          <hMode val="factor"/>
          <x val="0.2508123359580052"/>
          <y val="0.01851851851851852"/>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'Revenue Forecast'!$B$81</f>
              <strCache>
                <ptCount val="1"/>
                <pt idx="0">
                  <v>Base</v>
                </pt>
              </strCache>
            </strRef>
          </tx>
          <spPr>
            <a:ln w="28575" cap="rnd">
              <a:solidFill>
                <a:schemeClr val="accent1"/>
              </a:solidFill>
              <a:prstDash val="solid"/>
              <a:round/>
            </a:ln>
          </spPr>
          <marker>
            <symbol val="none"/>
            <spPr>
              <a:ln>
                <a:prstDash val="solid"/>
              </a:ln>
            </spPr>
          </marker>
          <cat>
            <strRef>
              <f>'Revenue Forecast'!$A$82:$A$88</f>
              <strCache>
                <ptCount val="7"/>
                <pt idx="0">
                  <v>FY27</v>
                </pt>
                <pt idx="1">
                  <v>FY28</v>
                </pt>
                <pt idx="2">
                  <v>FY29</v>
                </pt>
                <pt idx="3">
                  <v>FY30</v>
                </pt>
                <pt idx="4">
                  <v>FY31</v>
                </pt>
                <pt idx="5">
                  <v>FY32</v>
                </pt>
                <pt idx="6">
                  <v>FY33</v>
                </pt>
              </strCache>
            </strRef>
          </cat>
          <val>
            <numRef>
              <f>'Revenue Forecast'!$B$82:$B$88</f>
              <numCache>
                <formatCode>#,##0;\(#,##0\)</formatCode>
                <ptCount val="7"/>
              </numCache>
            </numRef>
          </val>
          <smooth val="0"/>
        </ser>
        <ser>
          <idx val="1"/>
          <order val="1"/>
          <tx>
            <strRef>
              <f>'Revenue Forecast'!$C$81</f>
              <strCache>
                <ptCount val="1"/>
                <pt idx="0">
                  <v>Bull</v>
                </pt>
              </strCache>
            </strRef>
          </tx>
          <spPr>
            <a:ln w="28575" cap="rnd">
              <a:solidFill>
                <a:schemeClr val="accent2"/>
              </a:solidFill>
              <a:prstDash val="solid"/>
              <a:round/>
            </a:ln>
          </spPr>
          <marker>
            <symbol val="none"/>
            <spPr>
              <a:ln>
                <a:prstDash val="solid"/>
              </a:ln>
            </spPr>
          </marker>
          <cat>
            <strRef>
              <f>'Revenue Forecast'!$A$82:$A$88</f>
              <strCache>
                <ptCount val="7"/>
                <pt idx="0">
                  <v>FY27</v>
                </pt>
                <pt idx="1">
                  <v>FY28</v>
                </pt>
                <pt idx="2">
                  <v>FY29</v>
                </pt>
                <pt idx="3">
                  <v>FY30</v>
                </pt>
                <pt idx="4">
                  <v>FY31</v>
                </pt>
                <pt idx="5">
                  <v>FY32</v>
                </pt>
                <pt idx="6">
                  <v>FY33</v>
                </pt>
              </strCache>
            </strRef>
          </cat>
          <val>
            <numRef>
              <f>'Revenue Forecast'!$C$82:$C$88</f>
              <numCache>
                <formatCode>#,##0;\(#,##0\)</formatCode>
                <ptCount val="7"/>
              </numCache>
            </numRef>
          </val>
          <smooth val="0"/>
        </ser>
        <ser>
          <idx val="2"/>
          <order val="2"/>
          <tx>
            <strRef>
              <f>'Revenue Forecast'!$D$81</f>
              <strCache>
                <ptCount val="1"/>
                <pt idx="0">
                  <v>Bear</v>
                </pt>
              </strCache>
            </strRef>
          </tx>
          <spPr>
            <a:ln w="28575" cap="rnd">
              <a:solidFill>
                <a:schemeClr val="accent3"/>
              </a:solidFill>
              <a:prstDash val="solid"/>
              <a:round/>
            </a:ln>
          </spPr>
          <marker>
            <symbol val="none"/>
            <spPr>
              <a:ln>
                <a:prstDash val="solid"/>
              </a:ln>
            </spPr>
          </marker>
          <cat>
            <strRef>
              <f>'Revenue Forecast'!$A$82:$A$88</f>
              <strCache>
                <ptCount val="7"/>
                <pt idx="0">
                  <v>FY27</v>
                </pt>
                <pt idx="1">
                  <v>FY28</v>
                </pt>
                <pt idx="2">
                  <v>FY29</v>
                </pt>
                <pt idx="3">
                  <v>FY30</v>
                </pt>
                <pt idx="4">
                  <v>FY31</v>
                </pt>
                <pt idx="5">
                  <v>FY32</v>
                </pt>
                <pt idx="6">
                  <v>FY33</v>
                </pt>
              </strCache>
            </strRef>
          </cat>
          <val>
            <numRef>
              <f>'Revenue Forecast'!$D$82:$D$88</f>
              <numCache>
                <formatCode>#,##0;\(#,##0\)</formatCode>
                <ptCount val="7"/>
              </numCache>
            </numRef>
          </val>
          <smooth val="0"/>
        </ser>
        <ser>
          <idx val="3"/>
          <order val="3"/>
          <tx>
            <strRef>
              <f>'Revenue Forecast'!$E$81</f>
              <strCache>
                <ptCount val="1"/>
                <pt idx="0">
                  <v>Stress</v>
                </pt>
              </strCache>
            </strRef>
          </tx>
          <spPr>
            <a:ln w="28575" cap="rnd">
              <a:solidFill>
                <a:schemeClr val="accent4"/>
              </a:solidFill>
              <a:prstDash val="solid"/>
              <a:round/>
            </a:ln>
          </spPr>
          <marker>
            <symbol val="none"/>
            <spPr>
              <a:ln>
                <a:prstDash val="solid"/>
              </a:ln>
            </spPr>
          </marker>
          <cat>
            <strRef>
              <f>'Revenue Forecast'!$A$82:$A$88</f>
              <strCache>
                <ptCount val="7"/>
                <pt idx="0">
                  <v>FY27</v>
                </pt>
                <pt idx="1">
                  <v>FY28</v>
                </pt>
                <pt idx="2">
                  <v>FY29</v>
                </pt>
                <pt idx="3">
                  <v>FY30</v>
                </pt>
                <pt idx="4">
                  <v>FY31</v>
                </pt>
                <pt idx="5">
                  <v>FY32</v>
                </pt>
                <pt idx="6">
                  <v>FY33</v>
                </pt>
              </strCache>
            </strRef>
          </cat>
          <val>
            <numRef>
              <f>'Revenue Forecast'!$E$82:$E$88</f>
              <numCache>
                <formatCode>#,##0;\(#,##0\)</formatCode>
                <ptCount val="7"/>
              </numCache>
            </numRef>
          </val>
          <smooth val="0"/>
        </ser>
        <dLbls>
          <showLegendKey val="0"/>
          <showVal val="0"/>
          <showCatName val="0"/>
          <showSerName val="0"/>
          <showPercent val="0"/>
          <showBubbleSize val="0"/>
        </dLbls>
        <smooth val="0"/>
        <axId val="1169037823"/>
        <axId val="1145087119"/>
      </lineChart>
      <catAx>
        <axId val="1169037823"/>
        <scaling>
          <orientation val="minMax"/>
        </scaling>
        <delete val="0"/>
        <axPos val="b"/>
        <title>
          <tx>
            <rich>
              <a:bodyPr/>
              <a:p>
                <a:r>
                  <a:t/>
                </a:r>
              </a:p>
            </rich>
          </tx>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087119"/>
        <crosses val="autoZero"/>
        <auto val="1"/>
        <lblAlgn val="ctr"/>
        <lblOffset val="100"/>
        <noMultiLvlLbl val="0"/>
      </catAx>
      <valAx>
        <axId val="1145087119"/>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Rs Crore</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69037823"/>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9.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Industry</a:t>
            </a:r>
            <a:r>
              <a:rPr lang="en-US" baseline="0"/>
              <a:t xml:space="preserve"> EBITDA &amp; Margin</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'EBITDA Model'!$A$10</f>
              <strCache>
                <ptCount val="1"/>
                <pt idx="0">
                  <v>EBITDA (₹ Cr)</v>
                </pt>
              </strCache>
            </strRef>
          </tx>
          <spPr>
            <a:solidFill>
              <a:srgbClr val="002060"/>
            </a:solidFill>
            <a:ln>
              <a:solidFill>
                <a:srgbClr val="002060"/>
              </a:solidFill>
              <a:prstDash val="solid"/>
            </a:ln>
          </spPr>
          <invertIfNegative val="0"/>
          <cat>
            <strRef>
              <f>'EBITDA Model'!$B$8:$I$8</f>
              <strCache>
                <ptCount val="8"/>
                <pt idx="0">
                  <v>FY26A</v>
                </pt>
                <pt idx="1">
                  <v>FY27E</v>
                </pt>
                <pt idx="2">
                  <v>FY28E</v>
                </pt>
                <pt idx="3">
                  <v>FY29E</v>
                </pt>
                <pt idx="4">
                  <v>FY30E</v>
                </pt>
                <pt idx="5">
                  <v>FY31E</v>
                </pt>
                <pt idx="6">
                  <v>FY32E</v>
                </pt>
                <pt idx="7">
                  <v>FY33E</v>
                </pt>
              </strCache>
            </strRef>
          </cat>
          <val>
            <numRef>
              <f>'EBITDA Model'!$B$10:$I$10</f>
              <numCache>
                <formatCode>#,##0;\(#,##0\)</formatCode>
                <ptCount val="8"/>
                <pt idx="0">
                  <v>173595.542</v>
                </pt>
                <pt idx="1">
                  <v>168001.8384340448</v>
                </pt>
                <pt idx="2">
                  <v>183101.5415827456</v>
                </pt>
                <pt idx="3">
                  <v>184892.5696517408</v>
                </pt>
                <pt idx="4">
                  <v>218820.020396576</v>
                </pt>
                <pt idx="5">
                  <v>254336.4386343429</v>
                </pt>
                <pt idx="6">
                  <v>283473.2886409689</v>
                </pt>
                <pt idx="7">
                  <v>303773.7782577336</v>
                </pt>
              </numCache>
            </numRef>
          </val>
        </ser>
        <dLbls>
          <showLegendKey val="0"/>
          <showVal val="0"/>
          <showCatName val="0"/>
          <showSerName val="0"/>
          <showPercent val="0"/>
          <showBubbleSize val="0"/>
        </dLbls>
        <gapWidth val="219"/>
        <overlap val="-27"/>
        <axId val="313846943"/>
        <axId val="2002886480"/>
      </barChart>
      <lineChart>
        <grouping val="standard"/>
        <varyColors val="0"/>
        <ser>
          <idx val="1"/>
          <order val="1"/>
          <tx>
            <strRef>
              <f>'EBITDA Model'!$A$11</f>
              <strCache>
                <ptCount val="1"/>
                <pt idx="0">
                  <v>EBITDA Margin (%)</v>
                </pt>
              </strCache>
            </strRef>
          </tx>
          <spPr>
            <a:ln w="28575" cap="rnd">
              <a:solidFill>
                <a:schemeClr val="accent2"/>
              </a:solidFill>
              <a:prstDash val="solid"/>
              <a:round/>
            </a:ln>
          </spPr>
          <marker>
            <symbol val="none"/>
            <spPr>
              <a:ln>
                <a:prstDash val="solid"/>
              </a:ln>
            </spPr>
          </marker>
          <cat>
            <strRef>
              <f>'EBITDA Model'!$B$8:$I$8</f>
              <strCache>
                <ptCount val="8"/>
                <pt idx="0">
                  <v>FY26A</v>
                </pt>
                <pt idx="1">
                  <v>FY27E</v>
                </pt>
                <pt idx="2">
                  <v>FY28E</v>
                </pt>
                <pt idx="3">
                  <v>FY29E</v>
                </pt>
                <pt idx="4">
                  <v>FY30E</v>
                </pt>
                <pt idx="5">
                  <v>FY31E</v>
                </pt>
                <pt idx="6">
                  <v>FY32E</v>
                </pt>
                <pt idx="7">
                  <v>FY33E</v>
                </pt>
              </strCache>
            </strRef>
          </cat>
          <val>
            <numRef>
              <f>'EBITDA Model'!$B$11:$I$11</f>
              <numCache>
                <formatCode>0.0%</formatCode>
                <ptCount val="8"/>
                <pt idx="0">
                  <v>0.1789608830493214</v>
                </pt>
                <pt idx="1">
                  <v>0.155072453168109</v>
                </pt>
                <pt idx="2">
                  <v>0.1556517857273834</v>
                </pt>
                <pt idx="3">
                  <v>0.1460605599066529</v>
                </pt>
                <pt idx="4">
                  <v>0.1570968107725424</v>
                </pt>
                <pt idx="5">
                  <v>0.1644115683030119</v>
                </pt>
                <pt idx="6">
                  <v>0.1653348748562971</v>
                </pt>
                <pt idx="7">
                  <v>0.1606608249577041</v>
                </pt>
              </numCache>
            </numRef>
          </val>
          <smooth val="0"/>
        </ser>
        <dLbls>
          <showLegendKey val="0"/>
          <showVal val="0"/>
          <showCatName val="0"/>
          <showSerName val="0"/>
          <showPercent val="0"/>
          <showBubbleSize val="0"/>
        </dLbls>
        <marker val="1"/>
        <smooth val="0"/>
        <axId val="313849727"/>
        <axId val="2002884080"/>
      </lineChart>
      <catAx>
        <axId val="31384694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002886480"/>
        <crosses val="autoZero"/>
        <auto val="1"/>
        <lblAlgn val="ctr"/>
        <lblOffset val="100"/>
        <noMultiLvlLbl val="0"/>
      </catAx>
      <valAx>
        <axId val="2002886480"/>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EBITDA</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13846943"/>
        <crosses val="autoZero"/>
        <crossBetween val="between"/>
      </valAx>
      <catAx>
        <axId val="313849727"/>
        <scaling>
          <orientation val="minMax"/>
        </scaling>
        <delete val="1"/>
        <axPos val="b"/>
        <numFmt formatCode="General" sourceLinked="1"/>
        <majorTickMark val="none"/>
        <minorTickMark val="none"/>
        <tickLblPos val="nextTo"/>
        <crossAx val="2002884080"/>
        <crosses val="autoZero"/>
        <auto val="1"/>
        <lblAlgn val="ctr"/>
        <lblOffset val="100"/>
        <noMultiLvlLbl val="0"/>
      </catAx>
      <valAx>
        <axId val="2002884080"/>
        <scaling>
          <orientation val="minMax"/>
        </scaling>
        <delete val="0"/>
        <axPos val="r"/>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EBITDA Margin</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
              </a:r>
              <a:endParaRPr lang="en-US"/>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13849727"/>
        <crosses val="max"/>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4.xml.rels><Relationships xmlns="http://schemas.openxmlformats.org/package/2006/relationships"><Relationship Type="http://schemas.openxmlformats.org/officeDocument/2006/relationships/chart" Target="/xl/charts/chart5.xml" Id="rId1" /></Relationships>
</file>

<file path=xl/drawings/_rels/drawing5.xml.rels><Relationships xmlns="http://schemas.openxmlformats.org/package/2006/relationships"><Relationship Type="http://schemas.openxmlformats.org/officeDocument/2006/relationships/chart" Target="/xl/charts/chart6.xml" Id="rId1" /></Relationships>
</file>

<file path=xl/drawings/_rels/drawing6.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7.xml.rels><Relationships xmlns="http://schemas.openxmlformats.org/package/2006/relationships"><Relationship Type="http://schemas.openxmlformats.org/officeDocument/2006/relationships/chart" Target="/xl/charts/chart9.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609600</colOff>
      <row>14</row>
      <rowOff>156210</rowOff>
    </from>
    <to>
      <col>15</col>
      <colOff>556260</colOff>
      <row>26</row>
      <rowOff>205740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7620</colOff>
      <row>6</row>
      <rowOff>179070</rowOff>
    </from>
    <to>
      <col>17</col>
      <colOff>419100</colOff>
      <row>20</row>
      <rowOff>87630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53340</colOff>
      <row>6</row>
      <rowOff>194310</rowOff>
    </from>
    <to>
      <col>13</col>
      <colOff>2141220</colOff>
      <row>21</row>
      <rowOff>110490</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121920</colOff>
      <row>42</row>
      <rowOff>95250</rowOff>
    </from>
    <to>
      <col>13</col>
      <colOff>2438400</colOff>
      <row>56</row>
      <rowOff>22860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175260</colOff>
      <row>47</row>
      <rowOff>140970</rowOff>
    </from>
    <to>
      <col>10</col>
      <colOff>0</colOff>
      <row>59</row>
      <rowOff>137160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68580</colOff>
      <row>6</row>
      <rowOff>163830</rowOff>
    </from>
    <to>
      <col>19</col>
      <colOff>487680</colOff>
      <row>20</row>
      <rowOff>72390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53340</colOff>
      <row>6</row>
      <rowOff>179070</rowOff>
    </from>
    <to>
      <col>16</col>
      <colOff>518160</colOff>
      <row>21</row>
      <rowOff>87630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152400</colOff>
      <row>75</row>
      <rowOff>87630</rowOff>
    </from>
    <to>
      <col>12</col>
      <colOff>22860</colOff>
      <row>90</row>
      <rowOff>72390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76200</colOff>
      <row>6</row>
      <rowOff>186690</rowOff>
    </from>
    <to>
      <col>16</col>
      <colOff>281940</colOff>
      <row>21</row>
      <rowOff>87630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01_Data/Master%20Industry%20Database.xlsx" TargetMode="External" Id="rId3" /></Relationships>
</file>

<file path=xl/externalLinks/_rels/externalLink2.xml.rels><Relationships xmlns="http://schemas.openxmlformats.org/package/2006/relationships"><Relationship Type="http://schemas.openxmlformats.org/officeDocument/2006/relationships/externalLinkPath" Target="../../../Downloads/AI%20Model.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Contents"/>
      <sheetName val="Company List"/>
      <sheetName val="Macroeconomic"/>
      <sheetName val="Production Capacity"/>
      <sheetName val="Production Volume"/>
      <sheetName val="Demand &amp; Consumption"/>
      <sheetName val="Imports &amp; Exports"/>
      <sheetName val="Raw Materials"/>
      <sheetName val="Steel Prices"/>
      <sheetName val="Revenue &amp; EBITDA"/>
      <sheetName val="Cash Cost"/>
      <sheetName val="Industry KPIs"/>
      <sheetName val="Govt Policies"/>
      <sheetName val="Sources"/>
      <sheetName val="Conflicts Log"/>
    </sheetNames>
    <sheetDataSet>
      <sheetData sheetId="0"/>
      <sheetData sheetId="1"/>
      <sheetData sheetId="2"/>
      <sheetData sheetId="3">
        <row r="6">
          <cell r="H6">
            <v>7.5999999999999998E-2</v>
          </cell>
        </row>
        <row r="7">
          <cell r="H7">
            <v>3.6999999999999998E-2</v>
          </cell>
        </row>
        <row r="8">
          <cell r="C8">
            <v>74.2</v>
          </cell>
          <cell r="D8">
            <v>74.5</v>
          </cell>
          <cell r="E8">
            <v>80.400000000000006</v>
          </cell>
          <cell r="F8">
            <v>82.8</v>
          </cell>
          <cell r="G8">
            <v>84.6</v>
          </cell>
          <cell r="H8">
            <v>86.5</v>
          </cell>
        </row>
        <row r="11">
          <cell r="H11">
            <v>1.04</v>
          </cell>
        </row>
      </sheetData>
      <sheetData sheetId="4">
        <row r="6">
          <cell r="H6">
            <v>220.4</v>
          </cell>
        </row>
        <row r="7">
          <cell r="H7">
            <v>20.07</v>
          </cell>
        </row>
        <row r="8">
          <cell r="G8">
            <v>152.18</v>
          </cell>
        </row>
        <row r="13">
          <cell r="H13">
            <v>26.6</v>
          </cell>
        </row>
        <row r="14">
          <cell r="H14">
            <v>31.9</v>
          </cell>
        </row>
        <row r="15">
          <cell r="H15">
            <v>19.7</v>
          </cell>
        </row>
        <row r="16">
          <cell r="H16">
            <v>15.6</v>
          </cell>
        </row>
        <row r="17">
          <cell r="H17">
            <v>3</v>
          </cell>
        </row>
        <row r="18">
          <cell r="H18">
            <v>123.6</v>
          </cell>
        </row>
      </sheetData>
      <sheetData sheetId="5">
        <row r="6">
          <cell r="C6">
            <v>103.54</v>
          </cell>
          <cell r="H6">
            <v>168.42</v>
          </cell>
        </row>
        <row r="7">
          <cell r="C7">
            <v>96.2</v>
          </cell>
          <cell r="D7">
            <v>113.6</v>
          </cell>
          <cell r="E7">
            <v>123.2</v>
          </cell>
          <cell r="F7">
            <v>139.15</v>
          </cell>
          <cell r="G7">
            <v>146.69</v>
          </cell>
          <cell r="H7">
            <v>161.74</v>
          </cell>
        </row>
        <row r="10">
          <cell r="H10">
            <v>0.85</v>
          </cell>
        </row>
        <row r="11">
          <cell r="H11">
            <v>1.0413008532212191</v>
          </cell>
        </row>
        <row r="15">
          <cell r="H15">
            <v>23.4</v>
          </cell>
        </row>
        <row r="16">
          <cell r="H16">
            <v>29.3</v>
          </cell>
        </row>
        <row r="17">
          <cell r="H17">
            <v>19.399999999999999</v>
          </cell>
        </row>
        <row r="18">
          <cell r="H18">
            <v>9.8000000000000007</v>
          </cell>
        </row>
        <row r="19">
          <cell r="H19">
            <v>2.6</v>
          </cell>
        </row>
        <row r="20">
          <cell r="H20">
            <v>83.9</v>
          </cell>
        </row>
        <row r="21">
          <cell r="H21">
            <v>168.39999999999998</v>
          </cell>
        </row>
      </sheetData>
      <sheetData sheetId="6">
        <row r="6">
          <cell r="C6">
            <v>94.89</v>
          </cell>
          <cell r="D6">
            <v>105.75</v>
          </cell>
          <cell r="E6">
            <v>119.86</v>
          </cell>
          <cell r="F6">
            <v>136.29</v>
          </cell>
          <cell r="G6">
            <v>152.13</v>
          </cell>
          <cell r="H6">
            <v>164.19</v>
          </cell>
        </row>
        <row r="8">
          <cell r="H8">
            <v>115.7</v>
          </cell>
        </row>
        <row r="9">
          <cell r="H9">
            <v>-2.9</v>
          </cell>
        </row>
      </sheetData>
      <sheetData sheetId="7">
        <row r="6">
          <cell r="C6">
            <v>4.75</v>
          </cell>
          <cell r="D6">
            <v>4.67</v>
          </cell>
          <cell r="E6">
            <v>6.02</v>
          </cell>
          <cell r="F6">
            <v>8.32</v>
          </cell>
          <cell r="G6">
            <v>9.5510000000000002</v>
          </cell>
          <cell r="H6">
            <v>6.524</v>
          </cell>
        </row>
        <row r="7">
          <cell r="C7">
            <v>10.78</v>
          </cell>
          <cell r="D7">
            <v>13.49</v>
          </cell>
          <cell r="E7">
            <v>6.72</v>
          </cell>
          <cell r="F7">
            <v>7.4870000000000001</v>
          </cell>
          <cell r="G7">
            <v>4.8579999999999997</v>
          </cell>
          <cell r="H7">
            <v>6.6020000000000003</v>
          </cell>
        </row>
        <row r="8">
          <cell r="H8">
            <v>7.8E-2</v>
          </cell>
        </row>
      </sheetData>
      <sheetData sheetId="8">
        <row r="6">
          <cell r="C6">
            <v>128.03</v>
          </cell>
          <cell r="D6">
            <v>155.52000000000001</v>
          </cell>
          <cell r="E6">
            <v>117.2</v>
          </cell>
          <cell r="F6">
            <v>119.91</v>
          </cell>
          <cell r="G6">
            <v>103.97</v>
          </cell>
          <cell r="H6">
            <v>100.52</v>
          </cell>
        </row>
        <row r="11">
          <cell r="C11">
            <v>130</v>
          </cell>
          <cell r="D11">
            <v>340</v>
          </cell>
          <cell r="E11">
            <v>300</v>
          </cell>
          <cell r="F11">
            <v>296</v>
          </cell>
          <cell r="G11">
            <v>240</v>
          </cell>
          <cell r="H11">
            <v>225</v>
          </cell>
        </row>
        <row r="12">
          <cell r="C12">
            <v>81</v>
          </cell>
          <cell r="D12">
            <v>211</v>
          </cell>
          <cell r="E12">
            <v>186</v>
          </cell>
          <cell r="F12">
            <v>184</v>
          </cell>
          <cell r="G12">
            <v>149</v>
          </cell>
          <cell r="H12">
            <v>127</v>
          </cell>
        </row>
        <row r="13">
          <cell r="C13">
            <v>68</v>
          </cell>
          <cell r="D13">
            <v>170</v>
          </cell>
          <cell r="E13">
            <v>330</v>
          </cell>
          <cell r="F13">
            <v>145.1</v>
          </cell>
          <cell r="G13">
            <v>131.88999999999999</v>
          </cell>
          <cell r="H13">
            <v>111.5</v>
          </cell>
        </row>
        <row r="14">
          <cell r="C14">
            <v>430</v>
          </cell>
          <cell r="D14">
            <v>530</v>
          </cell>
          <cell r="E14">
            <v>450</v>
          </cell>
          <cell r="F14">
            <v>400</v>
          </cell>
          <cell r="G14">
            <v>380</v>
          </cell>
          <cell r="H14">
            <v>365</v>
          </cell>
        </row>
        <row r="18">
          <cell r="C18">
            <v>1450</v>
          </cell>
          <cell r="D18">
            <v>1520</v>
          </cell>
          <cell r="E18">
            <v>1620</v>
          </cell>
          <cell r="F18">
            <v>1700</v>
          </cell>
          <cell r="G18">
            <v>1760</v>
          </cell>
          <cell r="H18">
            <v>1800</v>
          </cell>
        </row>
        <row r="19">
          <cell r="C19">
            <v>1668</v>
          </cell>
          <cell r="D19">
            <v>1748</v>
          </cell>
          <cell r="E19">
            <v>1863</v>
          </cell>
          <cell r="F19">
            <v>1955</v>
          </cell>
          <cell r="G19">
            <v>2024</v>
          </cell>
          <cell r="H19">
            <v>2070</v>
          </cell>
        </row>
        <row r="22">
          <cell r="C22">
            <v>100000</v>
          </cell>
          <cell r="D22">
            <v>148500</v>
          </cell>
          <cell r="E22">
            <v>130500</v>
          </cell>
          <cell r="F22">
            <v>121500</v>
          </cell>
          <cell r="G22">
            <v>119500</v>
          </cell>
          <cell r="H22">
            <v>123200</v>
          </cell>
        </row>
        <row r="29">
          <cell r="H29">
            <v>0.6</v>
          </cell>
        </row>
        <row r="30">
          <cell r="H30">
            <v>0.45</v>
          </cell>
        </row>
      </sheetData>
      <sheetData sheetId="9">
        <row r="6">
          <cell r="H6">
            <v>57700</v>
          </cell>
        </row>
        <row r="7">
          <cell r="H7">
            <v>58500</v>
          </cell>
        </row>
        <row r="8">
          <cell r="H8">
            <v>51500</v>
          </cell>
        </row>
        <row r="9">
          <cell r="H9">
            <v>53500</v>
          </cell>
        </row>
        <row r="10">
          <cell r="H10">
            <v>56000</v>
          </cell>
        </row>
        <row r="11">
          <cell r="H11">
            <v>42000</v>
          </cell>
        </row>
        <row r="12">
          <cell r="H12">
            <v>59974</v>
          </cell>
        </row>
      </sheetData>
      <sheetData sheetId="10">
        <row r="6">
          <cell r="H6">
            <v>232140</v>
          </cell>
        </row>
        <row r="7">
          <cell r="H7">
            <v>185470</v>
          </cell>
        </row>
        <row r="8">
          <cell r="H8">
            <v>110811</v>
          </cell>
        </row>
        <row r="9">
          <cell r="H9">
            <v>53225</v>
          </cell>
        </row>
        <row r="10">
          <cell r="H10">
            <v>42955</v>
          </cell>
        </row>
        <row r="11">
          <cell r="H11">
            <v>345418</v>
          </cell>
        </row>
        <row r="33">
          <cell r="H33">
            <v>0.17896144302328099</v>
          </cell>
        </row>
        <row r="43">
          <cell r="H43">
            <v>10733</v>
          </cell>
        </row>
      </sheetData>
      <sheetData sheetId="11">
        <row r="13">
          <cell r="H13">
            <v>49241</v>
          </cell>
        </row>
        <row r="17">
          <cell r="H17">
            <v>57287</v>
          </cell>
        </row>
        <row r="18">
          <cell r="H18">
            <v>52436</v>
          </cell>
        </row>
        <row r="19">
          <cell r="H19">
            <v>48904</v>
          </cell>
        </row>
        <row r="20">
          <cell r="H20">
            <v>47518</v>
          </cell>
        </row>
        <row r="21">
          <cell r="H21">
            <v>145366</v>
          </cell>
        </row>
        <row r="22">
          <cell r="H22">
            <v>39267</v>
          </cell>
        </row>
        <row r="23">
          <cell r="H23">
            <v>59974</v>
          </cell>
        </row>
      </sheetData>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over"/>
      <sheetName val="Index"/>
      <sheetName val="Database Import"/>
      <sheetName val="Forecast Horizon"/>
      <sheetName val="Control Panel"/>
      <sheetName val="Model Assumptions"/>
      <sheetName val="Model Calibration"/>
      <sheetName val="Macroeconomic Model"/>
      <sheetName val="Steel Demand Model"/>
      <sheetName val="Steel Supply Model"/>
      <sheetName val="Capacity Forecast"/>
      <sheetName val="Capacity Expansion Tracker"/>
      <sheetName val="Capacity Utilisation"/>
      <sheetName val="Steel Price Forecast"/>
      <sheetName val="Raw Material Forecast"/>
      <sheetName val="Cost Curve"/>
      <sheetName val="Revenue Forecast"/>
      <sheetName val="EBITDA Model"/>
      <sheetName val="Margin Analysis"/>
      <sheetName val="Working Capital Model"/>
      <sheetName val="Cash Flow Model"/>
      <sheetName val="Capital Allocation"/>
      <sheetName val="Industry Cycle Model"/>
      <sheetName val="Trade Model"/>
      <sheetName val="ESG Model"/>
      <sheetName val="Scenario Manager"/>
      <sheetName val="Sensitivity Analysis"/>
      <sheetName val="Comparable Valuation"/>
      <sheetName val="Industry Dashboard"/>
      <sheetName val="Audit Checks"/>
      <sheetName val="Sources"/>
    </sheetNames>
    <sheetDataSet>
      <sheetData sheetId="0"/>
      <sheetData sheetId="1"/>
      <sheetData sheetId="2"/>
      <sheetData sheetId="3"/>
      <sheetData sheetId="4"/>
      <sheetData sheetId="5">
        <row r="20">
          <cell r="D20">
            <v>0.6</v>
          </cell>
        </row>
        <row r="21">
          <cell r="D21">
            <v>0.45</v>
          </cell>
        </row>
        <row r="23">
          <cell r="D23">
            <v>55000</v>
          </cell>
        </row>
        <row r="24">
          <cell r="D24">
            <v>0.03</v>
          </cell>
        </row>
        <row r="30">
          <cell r="D30">
            <v>0.4</v>
          </cell>
        </row>
        <row r="31">
          <cell r="D31">
            <v>0.8</v>
          </cell>
        </row>
        <row r="32">
          <cell r="D32">
            <v>0.92</v>
          </cell>
        </row>
        <row r="47">
          <cell r="E47">
            <v>93</v>
          </cell>
          <cell r="F47">
            <v>93.5</v>
          </cell>
          <cell r="G47">
            <v>94</v>
          </cell>
          <cell r="H47">
            <v>94.5</v>
          </cell>
          <cell r="I47">
            <v>95</v>
          </cell>
          <cell r="J47">
            <v>95.5</v>
          </cell>
          <cell r="K47">
            <v>96</v>
          </cell>
        </row>
        <row r="48">
          <cell r="E48">
            <v>96.5</v>
          </cell>
          <cell r="F48">
            <v>98.5</v>
          </cell>
          <cell r="G48">
            <v>100</v>
          </cell>
          <cell r="H48">
            <v>101.5</v>
          </cell>
          <cell r="I48">
            <v>103</v>
          </cell>
          <cell r="J48">
            <v>104.5</v>
          </cell>
          <cell r="K48">
            <v>106</v>
          </cell>
        </row>
        <row r="49">
          <cell r="E49">
            <v>101</v>
          </cell>
          <cell r="F49">
            <v>105</v>
          </cell>
          <cell r="G49">
            <v>107</v>
          </cell>
          <cell r="H49">
            <v>108.5</v>
          </cell>
          <cell r="I49">
            <v>110</v>
          </cell>
          <cell r="J49">
            <v>111.5</v>
          </cell>
          <cell r="K49">
            <v>113</v>
          </cell>
        </row>
        <row r="55">
          <cell r="E55">
            <v>0.95</v>
          </cell>
          <cell r="F55">
            <v>0.95</v>
          </cell>
          <cell r="G55">
            <v>0.95</v>
          </cell>
          <cell r="H55">
            <v>0.95</v>
          </cell>
          <cell r="I55">
            <v>0.95</v>
          </cell>
          <cell r="J55">
            <v>0.95</v>
          </cell>
          <cell r="K55">
            <v>0.95</v>
          </cell>
        </row>
        <row r="56">
          <cell r="E56">
            <v>0.7</v>
          </cell>
          <cell r="F56">
            <v>0.7</v>
          </cell>
          <cell r="G56">
            <v>0.7</v>
          </cell>
          <cell r="H56">
            <v>0.7</v>
          </cell>
          <cell r="I56">
            <v>0.7</v>
          </cell>
          <cell r="J56">
            <v>0.7</v>
          </cell>
          <cell r="K56">
            <v>0.7</v>
          </cell>
        </row>
        <row r="57">
          <cell r="E57">
            <v>0.55000000000000004</v>
          </cell>
          <cell r="F57">
            <v>0.55000000000000004</v>
          </cell>
          <cell r="G57">
            <v>0.55000000000000004</v>
          </cell>
          <cell r="H57">
            <v>0.55000000000000004</v>
          </cell>
          <cell r="I57">
            <v>0.55000000000000004</v>
          </cell>
          <cell r="J57">
            <v>0.55000000000000004</v>
          </cell>
          <cell r="K57">
            <v>0.55000000000000004</v>
          </cell>
        </row>
        <row r="59">
          <cell r="E59">
            <v>1.0429999999999999</v>
          </cell>
          <cell r="F59">
            <v>1.0429999999999999</v>
          </cell>
          <cell r="G59">
            <v>1.0429999999999999</v>
          </cell>
          <cell r="H59">
            <v>1.0429999999999999</v>
          </cell>
          <cell r="I59">
            <v>1.0429999999999999</v>
          </cell>
          <cell r="J59">
            <v>1.0429999999999999</v>
          </cell>
          <cell r="K59">
            <v>1.0429999999999999</v>
          </cell>
        </row>
        <row r="60">
          <cell r="E60">
            <v>1.05</v>
          </cell>
          <cell r="F60">
            <v>1.05</v>
          </cell>
          <cell r="G60">
            <v>1.05</v>
          </cell>
          <cell r="H60">
            <v>1.05</v>
          </cell>
          <cell r="I60">
            <v>1.05</v>
          </cell>
          <cell r="J60">
            <v>1.05</v>
          </cell>
          <cell r="K60">
            <v>1.05</v>
          </cell>
        </row>
        <row r="61">
          <cell r="E61">
            <v>1.0529999999999999</v>
          </cell>
          <cell r="F61">
            <v>1.0529999999999999</v>
          </cell>
          <cell r="G61">
            <v>1.0529999999999999</v>
          </cell>
          <cell r="H61">
            <v>1.0529999999999999</v>
          </cell>
          <cell r="I61">
            <v>1.0529999999999999</v>
          </cell>
          <cell r="J61">
            <v>1.0529999999999999</v>
          </cell>
          <cell r="K61">
            <v>1.0529999999999999</v>
          </cell>
        </row>
        <row r="71">
          <cell r="E71">
            <v>62500</v>
          </cell>
          <cell r="F71">
            <v>63500</v>
          </cell>
          <cell r="G71">
            <v>64000</v>
          </cell>
          <cell r="H71">
            <v>65500</v>
          </cell>
          <cell r="I71">
            <v>66500</v>
          </cell>
          <cell r="J71">
            <v>67500</v>
          </cell>
          <cell r="K71">
            <v>68500</v>
          </cell>
        </row>
        <row r="72">
          <cell r="E72">
            <v>57500</v>
          </cell>
          <cell r="F72">
            <v>55000</v>
          </cell>
          <cell r="G72">
            <v>54000</v>
          </cell>
          <cell r="H72">
            <v>55000</v>
          </cell>
          <cell r="I72">
            <v>56500</v>
          </cell>
          <cell r="J72">
            <v>58000</v>
          </cell>
          <cell r="K72">
            <v>59500</v>
          </cell>
        </row>
        <row r="73">
          <cell r="E73">
            <v>59000</v>
          </cell>
          <cell r="F73">
            <v>58500</v>
          </cell>
          <cell r="G73">
            <v>60000</v>
          </cell>
          <cell r="H73">
            <v>62500</v>
          </cell>
          <cell r="I73">
            <v>65000</v>
          </cell>
          <cell r="J73">
            <v>67000</v>
          </cell>
          <cell r="K73">
            <v>69000</v>
          </cell>
        </row>
        <row r="75">
          <cell r="E75">
            <v>98</v>
          </cell>
          <cell r="F75">
            <v>92</v>
          </cell>
          <cell r="G75">
            <v>88</v>
          </cell>
          <cell r="H75">
            <v>85</v>
          </cell>
          <cell r="I75">
            <v>84</v>
          </cell>
          <cell r="J75">
            <v>84</v>
          </cell>
          <cell r="K75">
            <v>86</v>
          </cell>
        </row>
        <row r="76">
          <cell r="E76">
            <v>96</v>
          </cell>
          <cell r="F76">
            <v>90</v>
          </cell>
          <cell r="G76">
            <v>86</v>
          </cell>
          <cell r="H76">
            <v>83</v>
          </cell>
          <cell r="I76">
            <v>82</v>
          </cell>
          <cell r="J76">
            <v>82</v>
          </cell>
          <cell r="K76">
            <v>83</v>
          </cell>
        </row>
        <row r="77">
          <cell r="E77">
            <v>115</v>
          </cell>
          <cell r="F77">
            <v>112</v>
          </cell>
          <cell r="G77">
            <v>104</v>
          </cell>
          <cell r="H77">
            <v>98</v>
          </cell>
          <cell r="I77">
            <v>94</v>
          </cell>
          <cell r="J77">
            <v>92</v>
          </cell>
          <cell r="K77">
            <v>92</v>
          </cell>
        </row>
        <row r="79">
          <cell r="E79">
            <v>200</v>
          </cell>
          <cell r="F79">
            <v>188</v>
          </cell>
          <cell r="G79">
            <v>182</v>
          </cell>
          <cell r="H79">
            <v>178</v>
          </cell>
          <cell r="I79">
            <v>178</v>
          </cell>
          <cell r="J79">
            <v>180</v>
          </cell>
          <cell r="K79">
            <v>184</v>
          </cell>
        </row>
        <row r="80">
          <cell r="E80">
            <v>200</v>
          </cell>
          <cell r="F80">
            <v>185</v>
          </cell>
          <cell r="G80">
            <v>176</v>
          </cell>
          <cell r="H80">
            <v>170</v>
          </cell>
          <cell r="I80">
            <v>168</v>
          </cell>
          <cell r="J80">
            <v>168</v>
          </cell>
          <cell r="K80">
            <v>170</v>
          </cell>
        </row>
        <row r="81">
          <cell r="E81">
            <v>300</v>
          </cell>
          <cell r="F81">
            <v>285</v>
          </cell>
          <cell r="G81">
            <v>245</v>
          </cell>
          <cell r="H81">
            <v>220</v>
          </cell>
          <cell r="I81">
            <v>208</v>
          </cell>
          <cell r="J81">
            <v>202</v>
          </cell>
          <cell r="K81">
            <v>200</v>
          </cell>
        </row>
        <row r="83">
          <cell r="E83">
            <v>3.7999999999999999E-2</v>
          </cell>
          <cell r="F83">
            <v>3.5000000000000003E-2</v>
          </cell>
          <cell r="G83">
            <v>3.3000000000000002E-2</v>
          </cell>
          <cell r="H83">
            <v>3.2000000000000001E-2</v>
          </cell>
          <cell r="I83">
            <v>3.2000000000000001E-2</v>
          </cell>
          <cell r="J83">
            <v>3.2000000000000001E-2</v>
          </cell>
          <cell r="K83">
            <v>3.2000000000000001E-2</v>
          </cell>
        </row>
        <row r="84">
          <cell r="E84">
            <v>0.05</v>
          </cell>
          <cell r="F84">
            <v>4.5999999999999999E-2</v>
          </cell>
          <cell r="G84">
            <v>4.3999999999999997E-2</v>
          </cell>
          <cell r="H84">
            <v>4.2000000000000003E-2</v>
          </cell>
          <cell r="I84">
            <v>4.2000000000000003E-2</v>
          </cell>
          <cell r="J84">
            <v>4.2000000000000003E-2</v>
          </cell>
          <cell r="K84">
            <v>4.2000000000000003E-2</v>
          </cell>
        </row>
        <row r="85">
          <cell r="E85">
            <v>7.4999999999999997E-2</v>
          </cell>
          <cell r="F85">
            <v>6.8000000000000005E-2</v>
          </cell>
          <cell r="G85">
            <v>5.5E-2</v>
          </cell>
          <cell r="H85">
            <v>4.8000000000000001E-2</v>
          </cell>
          <cell r="I85">
            <v>4.3999999999999997E-2</v>
          </cell>
          <cell r="J85">
            <v>4.2000000000000003E-2</v>
          </cell>
          <cell r="K85">
            <v>4.2000000000000003E-2</v>
          </cell>
        </row>
        <row r="87">
          <cell r="E87">
            <v>0.6</v>
          </cell>
          <cell r="F87">
            <v>0.6</v>
          </cell>
          <cell r="G87">
            <v>0.6</v>
          </cell>
          <cell r="H87">
            <v>0.6</v>
          </cell>
          <cell r="I87">
            <v>0.6</v>
          </cell>
          <cell r="J87">
            <v>0.6</v>
          </cell>
          <cell r="K87">
            <v>0.6</v>
          </cell>
        </row>
        <row r="88">
          <cell r="E88">
            <v>0.6</v>
          </cell>
          <cell r="F88">
            <v>0.6</v>
          </cell>
          <cell r="G88">
            <v>0.6</v>
          </cell>
          <cell r="H88">
            <v>0.6</v>
          </cell>
          <cell r="I88">
            <v>0.6</v>
          </cell>
          <cell r="J88">
            <v>0.6</v>
          </cell>
          <cell r="K88">
            <v>0.6</v>
          </cell>
        </row>
        <row r="89">
          <cell r="E89">
            <v>0.6</v>
          </cell>
          <cell r="F89">
            <v>0.6</v>
          </cell>
          <cell r="G89">
            <v>0.6</v>
          </cell>
          <cell r="H89">
            <v>0.6</v>
          </cell>
          <cell r="I89">
            <v>0.6</v>
          </cell>
          <cell r="J89">
            <v>0.6</v>
          </cell>
          <cell r="K89">
            <v>0.6</v>
          </cell>
        </row>
        <row r="91">
          <cell r="E91">
            <v>0.45</v>
          </cell>
          <cell r="F91">
            <v>0.45</v>
          </cell>
          <cell r="G91">
            <v>0.45</v>
          </cell>
          <cell r="H91">
            <v>0.45</v>
          </cell>
          <cell r="I91">
            <v>0.45</v>
          </cell>
          <cell r="J91">
            <v>0.45</v>
          </cell>
          <cell r="K91">
            <v>0.45</v>
          </cell>
        </row>
        <row r="92">
          <cell r="E92">
            <v>0.45</v>
          </cell>
          <cell r="F92">
            <v>0.45</v>
          </cell>
          <cell r="G92">
            <v>0.45</v>
          </cell>
          <cell r="H92">
            <v>0.45</v>
          </cell>
          <cell r="I92">
            <v>0.45</v>
          </cell>
          <cell r="J92">
            <v>0.45</v>
          </cell>
          <cell r="K92">
            <v>0.45</v>
          </cell>
        </row>
        <row r="93">
          <cell r="E93">
            <v>0.45</v>
          </cell>
          <cell r="F93">
            <v>0.45</v>
          </cell>
          <cell r="G93">
            <v>0.45</v>
          </cell>
          <cell r="H93">
            <v>0.45</v>
          </cell>
          <cell r="I93">
            <v>0.45</v>
          </cell>
          <cell r="J93">
            <v>0.45</v>
          </cell>
          <cell r="K93">
            <v>0.45</v>
          </cell>
        </row>
        <row r="94">
          <cell r="E94">
            <v>0.25169999999999998</v>
          </cell>
          <cell r="F94">
            <v>0.25169999999999998</v>
          </cell>
          <cell r="G94">
            <v>0.25169999999999998</v>
          </cell>
          <cell r="H94">
            <v>0.25169999999999998</v>
          </cell>
          <cell r="I94">
            <v>0.25169999999999998</v>
          </cell>
          <cell r="J94">
            <v>0.25169999999999998</v>
          </cell>
          <cell r="K94">
            <v>0.25169999999999998</v>
          </cell>
        </row>
        <row r="95">
          <cell r="E95">
            <v>0.25169999999999998</v>
          </cell>
          <cell r="F95">
            <v>0.25169999999999998</v>
          </cell>
          <cell r="G95">
            <v>0.25169999999999998</v>
          </cell>
          <cell r="H95">
            <v>0.25169999999999998</v>
          </cell>
          <cell r="I95">
            <v>0.25169999999999998</v>
          </cell>
          <cell r="J95">
            <v>0.25169999999999998</v>
          </cell>
          <cell r="K95">
            <v>0.25169999999999998</v>
          </cell>
        </row>
        <row r="96">
          <cell r="E96">
            <v>0.25169999999999998</v>
          </cell>
          <cell r="F96">
            <v>0.25169999999999998</v>
          </cell>
          <cell r="G96">
            <v>0.25169999999999998</v>
          </cell>
          <cell r="H96">
            <v>0.25169999999999998</v>
          </cell>
          <cell r="I96">
            <v>0.25169999999999998</v>
          </cell>
          <cell r="J96">
            <v>0.25169999999999998</v>
          </cell>
          <cell r="K96">
            <v>0.25169999999999998</v>
          </cell>
        </row>
        <row r="97">
          <cell r="E97">
            <v>0.25169999999999998</v>
          </cell>
          <cell r="F97">
            <v>0.25169999999999998</v>
          </cell>
          <cell r="G97">
            <v>0.25169999999999998</v>
          </cell>
          <cell r="H97">
            <v>0.25169999999999998</v>
          </cell>
          <cell r="I97">
            <v>0.25169999999999998</v>
          </cell>
          <cell r="J97">
            <v>0.25169999999999998</v>
          </cell>
          <cell r="K97">
            <v>0.25169999999999998</v>
          </cell>
        </row>
        <row r="98">
          <cell r="E98">
            <v>55000</v>
          </cell>
          <cell r="F98">
            <v>55000</v>
          </cell>
          <cell r="G98">
            <v>55000</v>
          </cell>
          <cell r="H98">
            <v>55000</v>
          </cell>
          <cell r="I98">
            <v>55000</v>
          </cell>
          <cell r="J98">
            <v>55000</v>
          </cell>
          <cell r="K98">
            <v>55000</v>
          </cell>
        </row>
        <row r="99">
          <cell r="E99">
            <v>52000</v>
          </cell>
          <cell r="F99">
            <v>52000</v>
          </cell>
          <cell r="G99">
            <v>52000</v>
          </cell>
          <cell r="H99">
            <v>52000</v>
          </cell>
          <cell r="I99">
            <v>52000</v>
          </cell>
          <cell r="J99">
            <v>52000</v>
          </cell>
          <cell r="K99">
            <v>52000</v>
          </cell>
        </row>
        <row r="100">
          <cell r="E100">
            <v>60000</v>
          </cell>
          <cell r="F100">
            <v>60000</v>
          </cell>
          <cell r="G100">
            <v>60000</v>
          </cell>
          <cell r="H100">
            <v>60000</v>
          </cell>
          <cell r="I100">
            <v>60000</v>
          </cell>
          <cell r="J100">
            <v>60000</v>
          </cell>
          <cell r="K100">
            <v>60000</v>
          </cell>
        </row>
        <row r="101">
          <cell r="E101">
            <v>65000</v>
          </cell>
          <cell r="F101">
            <v>65000</v>
          </cell>
          <cell r="G101">
            <v>65000</v>
          </cell>
          <cell r="H101">
            <v>65000</v>
          </cell>
          <cell r="I101">
            <v>65000</v>
          </cell>
          <cell r="J101">
            <v>65000</v>
          </cell>
          <cell r="K101">
            <v>65000</v>
          </cell>
        </row>
        <row r="102">
          <cell r="E102">
            <v>0.03</v>
          </cell>
          <cell r="F102">
            <v>0.03</v>
          </cell>
          <cell r="G102">
            <v>0.03</v>
          </cell>
          <cell r="H102">
            <v>0.03</v>
          </cell>
          <cell r="I102">
            <v>0.03</v>
          </cell>
          <cell r="J102">
            <v>0.03</v>
          </cell>
          <cell r="K102">
            <v>0.03</v>
          </cell>
        </row>
        <row r="103">
          <cell r="E103">
            <v>2.8000000000000001E-2</v>
          </cell>
          <cell r="F103">
            <v>2.8000000000000001E-2</v>
          </cell>
          <cell r="G103">
            <v>2.8000000000000001E-2</v>
          </cell>
          <cell r="H103">
            <v>2.8000000000000001E-2</v>
          </cell>
          <cell r="I103">
            <v>2.8000000000000001E-2</v>
          </cell>
          <cell r="J103">
            <v>2.8000000000000001E-2</v>
          </cell>
          <cell r="K103">
            <v>2.8000000000000001E-2</v>
          </cell>
        </row>
        <row r="104">
          <cell r="E104">
            <v>3.3000000000000002E-2</v>
          </cell>
          <cell r="F104">
            <v>3.3000000000000002E-2</v>
          </cell>
          <cell r="G104">
            <v>3.3000000000000002E-2</v>
          </cell>
          <cell r="H104">
            <v>3.3000000000000002E-2</v>
          </cell>
          <cell r="I104">
            <v>3.3000000000000002E-2</v>
          </cell>
          <cell r="J104">
            <v>3.3000000000000002E-2</v>
          </cell>
          <cell r="K104">
            <v>3.3000000000000002E-2</v>
          </cell>
        </row>
        <row r="105">
          <cell r="E105">
            <v>3.5000000000000003E-2</v>
          </cell>
          <cell r="F105">
            <v>3.5000000000000003E-2</v>
          </cell>
          <cell r="G105">
            <v>3.5000000000000003E-2</v>
          </cell>
          <cell r="H105">
            <v>3.5000000000000003E-2</v>
          </cell>
          <cell r="I105">
            <v>3.5000000000000003E-2</v>
          </cell>
          <cell r="J105">
            <v>3.5000000000000003E-2</v>
          </cell>
          <cell r="K105">
            <v>3.5000000000000003E-2</v>
          </cell>
        </row>
        <row r="106">
          <cell r="E106">
            <v>45</v>
          </cell>
          <cell r="F106">
            <v>45</v>
          </cell>
          <cell r="G106">
            <v>45</v>
          </cell>
          <cell r="H106">
            <v>45</v>
          </cell>
          <cell r="I106">
            <v>45</v>
          </cell>
          <cell r="J106">
            <v>45</v>
          </cell>
          <cell r="K106">
            <v>45</v>
          </cell>
        </row>
        <row r="107">
          <cell r="E107">
            <v>40</v>
          </cell>
          <cell r="F107">
            <v>40</v>
          </cell>
          <cell r="G107">
            <v>40</v>
          </cell>
          <cell r="H107">
            <v>40</v>
          </cell>
          <cell r="I107">
            <v>40</v>
          </cell>
          <cell r="J107">
            <v>40</v>
          </cell>
          <cell r="K107">
            <v>40</v>
          </cell>
        </row>
        <row r="108">
          <cell r="E108">
            <v>52</v>
          </cell>
          <cell r="F108">
            <v>52</v>
          </cell>
          <cell r="G108">
            <v>52</v>
          </cell>
          <cell r="H108">
            <v>52</v>
          </cell>
          <cell r="I108">
            <v>52</v>
          </cell>
          <cell r="J108">
            <v>52</v>
          </cell>
          <cell r="K108">
            <v>52</v>
          </cell>
        </row>
        <row r="109">
          <cell r="E109">
            <v>62</v>
          </cell>
          <cell r="F109">
            <v>62</v>
          </cell>
          <cell r="G109">
            <v>62</v>
          </cell>
          <cell r="H109">
            <v>62</v>
          </cell>
          <cell r="I109">
            <v>62</v>
          </cell>
          <cell r="J109">
            <v>62</v>
          </cell>
          <cell r="K109">
            <v>62</v>
          </cell>
        </row>
        <row r="110">
          <cell r="E110">
            <v>6</v>
          </cell>
          <cell r="F110">
            <v>6</v>
          </cell>
          <cell r="G110">
            <v>6</v>
          </cell>
          <cell r="H110">
            <v>6</v>
          </cell>
          <cell r="I110">
            <v>6</v>
          </cell>
          <cell r="J110">
            <v>6</v>
          </cell>
          <cell r="K110">
            <v>6</v>
          </cell>
        </row>
        <row r="111">
          <cell r="E111">
            <v>7</v>
          </cell>
          <cell r="F111">
            <v>7</v>
          </cell>
          <cell r="G111">
            <v>7</v>
          </cell>
          <cell r="H111">
            <v>7</v>
          </cell>
          <cell r="I111">
            <v>7</v>
          </cell>
          <cell r="J111">
            <v>7</v>
          </cell>
          <cell r="K111">
            <v>7</v>
          </cell>
        </row>
        <row r="112">
          <cell r="E112">
            <v>5</v>
          </cell>
          <cell r="F112">
            <v>5</v>
          </cell>
          <cell r="G112">
            <v>5</v>
          </cell>
          <cell r="H112">
            <v>5</v>
          </cell>
          <cell r="I112">
            <v>5</v>
          </cell>
          <cell r="J112">
            <v>5</v>
          </cell>
          <cell r="K112">
            <v>5</v>
          </cell>
        </row>
        <row r="113">
          <cell r="E113">
            <v>4</v>
          </cell>
          <cell r="F113">
            <v>4</v>
          </cell>
          <cell r="G113">
            <v>4</v>
          </cell>
          <cell r="H113">
            <v>4</v>
          </cell>
          <cell r="I113">
            <v>4</v>
          </cell>
          <cell r="J113">
            <v>4</v>
          </cell>
          <cell r="K113">
            <v>4</v>
          </cell>
        </row>
        <row r="114">
          <cell r="E114">
            <v>0.12</v>
          </cell>
          <cell r="F114">
            <v>0.12</v>
          </cell>
          <cell r="G114">
            <v>0.12</v>
          </cell>
          <cell r="H114">
            <v>0.12</v>
          </cell>
          <cell r="I114">
            <v>0.12</v>
          </cell>
          <cell r="J114">
            <v>0.12</v>
          </cell>
          <cell r="K114">
            <v>0.12</v>
          </cell>
        </row>
        <row r="115">
          <cell r="E115">
            <v>0.112</v>
          </cell>
          <cell r="F115">
            <v>0.112</v>
          </cell>
          <cell r="G115">
            <v>0.112</v>
          </cell>
          <cell r="H115">
            <v>0.112</v>
          </cell>
          <cell r="I115">
            <v>0.112</v>
          </cell>
          <cell r="J115">
            <v>0.112</v>
          </cell>
          <cell r="K115">
            <v>0.112</v>
          </cell>
        </row>
        <row r="116">
          <cell r="E116">
            <v>0.128</v>
          </cell>
          <cell r="F116">
            <v>0.128</v>
          </cell>
          <cell r="G116">
            <v>0.128</v>
          </cell>
          <cell r="H116">
            <v>0.128</v>
          </cell>
          <cell r="I116">
            <v>0.128</v>
          </cell>
          <cell r="J116">
            <v>0.128</v>
          </cell>
          <cell r="K116">
            <v>0.128</v>
          </cell>
        </row>
        <row r="117">
          <cell r="E117">
            <v>0.14000000000000001</v>
          </cell>
          <cell r="F117">
            <v>0.14000000000000001</v>
          </cell>
          <cell r="G117">
            <v>0.14000000000000001</v>
          </cell>
          <cell r="H117">
            <v>0.14000000000000001</v>
          </cell>
          <cell r="I117">
            <v>0.14000000000000001</v>
          </cell>
          <cell r="J117">
            <v>0.14000000000000001</v>
          </cell>
          <cell r="K117">
            <v>0.14000000000000001</v>
          </cell>
        </row>
        <row r="118">
          <cell r="E118">
            <v>6.8</v>
          </cell>
          <cell r="F118">
            <v>7</v>
          </cell>
          <cell r="G118">
            <v>7.2</v>
          </cell>
          <cell r="H118">
            <v>7.5</v>
          </cell>
          <cell r="I118">
            <v>7.8</v>
          </cell>
          <cell r="J118">
            <v>8.1</v>
          </cell>
          <cell r="K118">
            <v>8.4</v>
          </cell>
        </row>
        <row r="119">
          <cell r="E119">
            <v>7.5</v>
          </cell>
          <cell r="F119">
            <v>8</v>
          </cell>
          <cell r="G119">
            <v>8.5</v>
          </cell>
          <cell r="H119">
            <v>9</v>
          </cell>
          <cell r="I119">
            <v>9.5</v>
          </cell>
          <cell r="J119">
            <v>10</v>
          </cell>
          <cell r="K119">
            <v>10.5</v>
          </cell>
        </row>
        <row r="120">
          <cell r="E120">
            <v>6</v>
          </cell>
          <cell r="F120">
            <v>5.5</v>
          </cell>
          <cell r="G120">
            <v>5.2</v>
          </cell>
          <cell r="H120">
            <v>5</v>
          </cell>
          <cell r="I120">
            <v>5</v>
          </cell>
          <cell r="J120">
            <v>5.0999999999999996</v>
          </cell>
          <cell r="K120">
            <v>5.2</v>
          </cell>
        </row>
        <row r="121">
          <cell r="E121">
            <v>8.5</v>
          </cell>
          <cell r="F121">
            <v>10</v>
          </cell>
          <cell r="G121">
            <v>11</v>
          </cell>
          <cell r="H121">
            <v>11.5</v>
          </cell>
          <cell r="I121">
            <v>12</v>
          </cell>
          <cell r="J121">
            <v>12</v>
          </cell>
          <cell r="K121">
            <v>12</v>
          </cell>
        </row>
        <row r="123">
          <cell r="E123">
            <v>13</v>
          </cell>
          <cell r="F123">
            <v>13</v>
          </cell>
          <cell r="G123">
            <v>12.5</v>
          </cell>
          <cell r="H123">
            <v>12.5</v>
          </cell>
          <cell r="I123">
            <v>12</v>
          </cell>
          <cell r="J123">
            <v>12</v>
          </cell>
          <cell r="K123">
            <v>11.5</v>
          </cell>
        </row>
        <row r="124">
          <cell r="E124">
            <v>8</v>
          </cell>
          <cell r="F124">
            <v>8</v>
          </cell>
          <cell r="G124">
            <v>7.5</v>
          </cell>
          <cell r="H124">
            <v>7</v>
          </cell>
          <cell r="I124">
            <v>7</v>
          </cell>
          <cell r="J124">
            <v>6.5</v>
          </cell>
          <cell r="K124">
            <v>6.5</v>
          </cell>
        </row>
        <row r="125">
          <cell r="E125">
            <v>5</v>
          </cell>
          <cell r="F125">
            <v>4</v>
          </cell>
          <cell r="G125">
            <v>4</v>
          </cell>
          <cell r="H125">
            <v>3.5</v>
          </cell>
          <cell r="I125">
            <v>3.5</v>
          </cell>
          <cell r="J125">
            <v>3</v>
          </cell>
          <cell r="K125">
            <v>3</v>
          </cell>
        </row>
        <row r="127">
          <cell r="E127">
            <v>0.4</v>
          </cell>
          <cell r="F127">
            <v>0.4</v>
          </cell>
          <cell r="G127">
            <v>0.4</v>
          </cell>
          <cell r="H127">
            <v>0.4</v>
          </cell>
          <cell r="I127">
            <v>0.4</v>
          </cell>
          <cell r="J127">
            <v>0.4</v>
          </cell>
          <cell r="K127">
            <v>0.4</v>
          </cell>
        </row>
        <row r="128">
          <cell r="E128">
            <v>0.4</v>
          </cell>
          <cell r="F128">
            <v>0.4</v>
          </cell>
          <cell r="G128">
            <v>0.4</v>
          </cell>
          <cell r="H128">
            <v>0.4</v>
          </cell>
          <cell r="I128">
            <v>0.4</v>
          </cell>
          <cell r="J128">
            <v>0.4</v>
          </cell>
          <cell r="K128">
            <v>0.4</v>
          </cell>
        </row>
        <row r="129">
          <cell r="E129">
            <v>0.4</v>
          </cell>
          <cell r="F129">
            <v>0.4</v>
          </cell>
          <cell r="G129">
            <v>0.4</v>
          </cell>
          <cell r="H129">
            <v>0.4</v>
          </cell>
          <cell r="I129">
            <v>0.4</v>
          </cell>
          <cell r="J129">
            <v>0.4</v>
          </cell>
          <cell r="K129">
            <v>0.4</v>
          </cell>
        </row>
        <row r="131">
          <cell r="E131">
            <v>0.8</v>
          </cell>
          <cell r="F131">
            <v>0.8</v>
          </cell>
          <cell r="G131">
            <v>0.8</v>
          </cell>
          <cell r="H131">
            <v>0.8</v>
          </cell>
          <cell r="I131">
            <v>0.8</v>
          </cell>
          <cell r="J131">
            <v>0.8</v>
          </cell>
          <cell r="K131">
            <v>0.8</v>
          </cell>
        </row>
        <row r="132">
          <cell r="E132">
            <v>0.8</v>
          </cell>
          <cell r="F132">
            <v>0.8</v>
          </cell>
          <cell r="G132">
            <v>0.8</v>
          </cell>
          <cell r="H132">
            <v>0.8</v>
          </cell>
          <cell r="I132">
            <v>0.8</v>
          </cell>
          <cell r="J132">
            <v>0.8</v>
          </cell>
          <cell r="K132">
            <v>0.8</v>
          </cell>
        </row>
        <row r="133">
          <cell r="E133">
            <v>0.8</v>
          </cell>
          <cell r="F133">
            <v>0.8</v>
          </cell>
          <cell r="G133">
            <v>0.8</v>
          </cell>
          <cell r="H133">
            <v>0.8</v>
          </cell>
          <cell r="I133">
            <v>0.8</v>
          </cell>
          <cell r="J133">
            <v>0.8</v>
          </cell>
          <cell r="K133">
            <v>0.8</v>
          </cell>
        </row>
        <row r="135">
          <cell r="E135">
            <v>0.93</v>
          </cell>
          <cell r="F135">
            <v>0.93</v>
          </cell>
          <cell r="G135">
            <v>0.93</v>
          </cell>
          <cell r="H135">
            <v>0.93</v>
          </cell>
          <cell r="I135">
            <v>0.93</v>
          </cell>
          <cell r="J135">
            <v>0.93</v>
          </cell>
          <cell r="K135">
            <v>0.93</v>
          </cell>
        </row>
        <row r="136">
          <cell r="E136">
            <v>0.92</v>
          </cell>
          <cell r="F136">
            <v>0.92</v>
          </cell>
          <cell r="G136">
            <v>0.92</v>
          </cell>
          <cell r="H136">
            <v>0.92</v>
          </cell>
          <cell r="I136">
            <v>0.92</v>
          </cell>
          <cell r="J136">
            <v>0.92</v>
          </cell>
          <cell r="K136">
            <v>0.92</v>
          </cell>
        </row>
        <row r="137">
          <cell r="E137">
            <v>0.92</v>
          </cell>
          <cell r="F137">
            <v>0.92</v>
          </cell>
          <cell r="G137">
            <v>0.92</v>
          </cell>
          <cell r="H137">
            <v>0.92</v>
          </cell>
          <cell r="I137">
            <v>0.92</v>
          </cell>
          <cell r="J137">
            <v>0.92</v>
          </cell>
          <cell r="K137">
            <v>0.92</v>
          </cell>
        </row>
        <row r="138">
          <cell r="E138">
            <v>5.2999999999999999E-2</v>
          </cell>
          <cell r="F138">
            <v>5.2999999999999999E-2</v>
          </cell>
          <cell r="G138">
            <v>5.2999999999999999E-2</v>
          </cell>
          <cell r="H138">
            <v>5.2999999999999999E-2</v>
          </cell>
          <cell r="I138">
            <v>5.2999999999999999E-2</v>
          </cell>
          <cell r="J138">
            <v>5.2999999999999999E-2</v>
          </cell>
          <cell r="K138">
            <v>5.2999999999999999E-2</v>
          </cell>
        </row>
        <row r="139">
          <cell r="E139">
            <v>5.2999999999999999E-2</v>
          </cell>
          <cell r="F139">
            <v>5.2999999999999999E-2</v>
          </cell>
          <cell r="G139">
            <v>5.2999999999999999E-2</v>
          </cell>
          <cell r="H139">
            <v>5.2999999999999999E-2</v>
          </cell>
          <cell r="I139">
            <v>5.2999999999999999E-2</v>
          </cell>
          <cell r="J139">
            <v>5.2999999999999999E-2</v>
          </cell>
          <cell r="K139">
            <v>5.2999999999999999E-2</v>
          </cell>
        </row>
        <row r="140">
          <cell r="E140">
            <v>5.5E-2</v>
          </cell>
          <cell r="F140">
            <v>5.5E-2</v>
          </cell>
          <cell r="G140">
            <v>5.5E-2</v>
          </cell>
          <cell r="H140">
            <v>5.5E-2</v>
          </cell>
          <cell r="I140">
            <v>5.5E-2</v>
          </cell>
          <cell r="J140">
            <v>5.5E-2</v>
          </cell>
          <cell r="K140">
            <v>5.5E-2</v>
          </cell>
        </row>
        <row r="141">
          <cell r="E141">
            <v>5.7000000000000002E-2</v>
          </cell>
          <cell r="F141">
            <v>5.7000000000000002E-2</v>
          </cell>
          <cell r="G141">
            <v>5.7000000000000002E-2</v>
          </cell>
          <cell r="H141">
            <v>5.7000000000000002E-2</v>
          </cell>
          <cell r="I141">
            <v>5.7000000000000002E-2</v>
          </cell>
          <cell r="J141">
            <v>5.7000000000000002E-2</v>
          </cell>
          <cell r="K141">
            <v>5.7000000000000002E-2</v>
          </cell>
        </row>
      </sheetData>
      <sheetData sheetId="6"/>
      <sheetData sheetId="7"/>
      <sheetData sheetId="8">
        <row r="119">
          <cell r="D119">
            <v>1.4311623499999999</v>
          </cell>
          <cell r="E119">
            <v>1.4433272299749997</v>
          </cell>
          <cell r="F119">
            <v>1.4555955114297872</v>
          </cell>
          <cell r="G119">
            <v>1.4679680732769402</v>
          </cell>
          <cell r="H119">
            <v>1.4804458018997941</v>
          </cell>
          <cell r="I119">
            <v>1.4930295912159424</v>
          </cell>
          <cell r="J119">
            <v>1.5057203427412778</v>
          </cell>
        </row>
        <row r="121">
          <cell r="C121">
            <v>115.7</v>
          </cell>
        </row>
      </sheetData>
      <sheetData sheetId="9">
        <row r="93">
          <cell r="C93">
            <v>1.04647</v>
          </cell>
        </row>
        <row r="99">
          <cell r="C99">
            <v>168.42</v>
          </cell>
        </row>
        <row r="101">
          <cell r="C101">
            <v>160.94</v>
          </cell>
        </row>
      </sheetData>
      <sheetData sheetId="10">
        <row r="100">
          <cell r="C100">
            <v>20.07</v>
          </cell>
        </row>
        <row r="101">
          <cell r="C101">
            <v>220.4</v>
          </cell>
        </row>
      </sheetData>
      <sheetData sheetId="11"/>
      <sheetData sheetId="12"/>
      <sheetData sheetId="13">
        <row r="97">
          <cell r="C97">
            <v>59974</v>
          </cell>
        </row>
        <row r="103">
          <cell r="C103">
            <v>59974</v>
          </cell>
        </row>
      </sheetData>
      <sheetData sheetId="14">
        <row r="85">
          <cell r="C85">
            <v>100.52</v>
          </cell>
        </row>
        <row r="86">
          <cell r="C86">
            <v>225</v>
          </cell>
        </row>
        <row r="87">
          <cell r="C87">
            <v>88.4</v>
          </cell>
        </row>
        <row r="89">
          <cell r="C89">
            <v>8885.9680000000008</v>
          </cell>
        </row>
        <row r="90">
          <cell r="C90">
            <v>19890</v>
          </cell>
        </row>
      </sheetData>
      <sheetData sheetId="15">
        <row r="80">
          <cell r="C80">
            <v>49241</v>
          </cell>
        </row>
      </sheetData>
      <sheetData sheetId="16">
        <row r="96">
          <cell r="C96">
            <v>965221.5560000001</v>
          </cell>
        </row>
      </sheetData>
      <sheetData sheetId="17"/>
      <sheetData sheetId="18"/>
      <sheetData sheetId="19">
        <row r="71">
          <cell r="C71">
            <v>45</v>
          </cell>
        </row>
        <row r="72">
          <cell r="C72">
            <v>118999.9178630137</v>
          </cell>
        </row>
      </sheetData>
      <sheetData sheetId="20">
        <row r="92">
          <cell r="C92">
            <v>5.28E-2</v>
          </cell>
        </row>
        <row r="95">
          <cell r="C95">
            <v>0.25169999999999998</v>
          </cell>
        </row>
      </sheetData>
      <sheetData sheetId="21"/>
      <sheetData sheetId="22"/>
      <sheetData sheetId="23">
        <row r="74">
          <cell r="C74">
            <v>6.524</v>
          </cell>
        </row>
        <row r="78">
          <cell r="C78">
            <v>6.6020000000000003</v>
          </cell>
        </row>
      </sheetData>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id="1" name="tbl_ActiveDrivers7" displayName="tbl_ActiveDrivers7" ref="A7:M33" headerRowCount="1" headerRowDxfId="105" dataDxfId="103" totalsRowDxfId="101" headerRowBorderDxfId="104" tableBorderDxfId="102">
  <tableColumns count="13">
    <tableColumn id="1" name="No" dataDxfId="100"/>
    <tableColumn id="2" name="Line item" dataDxfId="99"/>
    <tableColumn id="3" name="Unit" dataDxfId="98"/>
    <tableColumn id="4" name="FY2026A" dataDxfId="97">
      <calculatedColumnFormula>'Macroeconomic Model'!#REF!</calculatedColumnFormula>
    </tableColumn>
    <tableColumn id="5" name="FY2027E" dataDxfId="96"/>
    <tableColumn id="6" name="FY2028E" dataDxfId="95"/>
    <tableColumn id="7" name="FY2029E" dataDxfId="94"/>
    <tableColumn id="8" name="FY2030E" dataDxfId="93"/>
    <tableColumn id="9" name="FY2031E" dataDxfId="92"/>
    <tableColumn id="10" name="FY2032E" dataDxfId="91"/>
    <tableColumn id="11" name="FY2033E" dataDxfId="90"/>
    <tableColumn id="12" name="Source" dataDxfId="89"/>
    <tableColumn id="13" name="Conf." dataDxfId="88"/>
  </tableColumns>
  <tableStyleInfo name="TableStyleLight1" showFirstColumn="0" showLastColumn="0" showRowStripes="0" showColumnStripes="0"/>
</table>
</file>

<file path=xl/tables/table2.xml><?xml version="1.0" encoding="utf-8"?>
<table xmlns="http://schemas.openxmlformats.org/spreadsheetml/2006/main" id="2" name="tbl_Register8" displayName="tbl_Register8" ref="A145:O155" headerRowCount="1" headerRowDxfId="87" dataDxfId="85" totalsRowDxfId="83" headerRowBorderDxfId="86" tableBorderDxfId="84">
  <tableColumns count="15">
    <tableColumn id="1" name="Assumption ID" dataDxfId="82"/>
    <tableColumn id="2" name="Assumption" dataDxfId="81"/>
    <tableColumn id="3" name="Unit" dataDxfId="80"/>
    <tableColumn id="4" name="Current Value (FY2026A / spot)" dataDxfId="79"/>
    <tableColumn id="5" name="Historical Range" dataDxfId="78"/>
    <tableColumn id="6" name="Forecast Value (Base, terminal year)" dataDxfId="77"/>
    <tableColumn id="7" name="Source" dataDxfId="76"/>
    <tableColumn id="8" name="Publication Date" dataDxfId="75"/>
    <tableColumn id="9" name="Confidence Rating" dataDxfId="74"/>
    <tableColumn id="10" name="Evidence" dataDxfId="73"/>
    <tableColumn id="11" name="Reasoning" dataDxfId="72"/>
    <tableColumn id="12" name="Sensitivity (impact of a 10% adverse move)" dataDxfId="71"/>
    <tableColumn id="13" name="Dependencies" dataDxfId="70"/>
    <tableColumn id="14" name="Review Date" dataDxfId="69"/>
    <tableColumn id="15" name="Owner" dataDxfId="68"/>
  </tableColumns>
  <tableStyleInfo name="TableStyleLight1" showFirstColumn="0" showLastColumn="0" showRowStripes="0" showColumnStripes="0"/>
</table>
</file>

<file path=xl/tables/table3.xml><?xml version="1.0" encoding="utf-8"?>
<table xmlns="http://schemas.openxmlformats.org/spreadsheetml/2006/main" id="3" name="tbl_Projects" displayName="tbl_Projects" ref="A66:O86" headerRowCount="1" headerRowDxfId="67" dataDxfId="65" totalsRowDxfId="63" headerRowBorderDxfId="66" tableBorderDxfId="64">
  <tableColumns count="15">
    <tableColumn id="1" name="Project ID" dataDxfId="62"/>
    <tableColumn id="2" name="Company" dataDxfId="61"/>
    <tableColumn id="3" name="Project / Asset" dataDxfId="60"/>
    <tableColumn id="4" name="State / Country" dataDxfId="59"/>
    <tableColumn id="5" name="Type" dataDxfId="58"/>
    <tableColumn id="6" name="Capacity Added (Mtpa)" dataDxfId="57"/>
    <tableColumn id="7" name="Capacity Definition" dataDxfId="56"/>
    <tableColumn id="8" name="Status At Cutoff" dataDxfId="55"/>
    <tableColumn id="9" name="Expected Commissioning FY" dataDxfId="54"/>
    <tableColumn id="10" name="Capex (Rs cr)" dataDxfId="53"/>
    <tableColumn id="11" name="Implied Capex (Rs/t)" dataDxfId="52"/>
    <tableColumn id="12" name="Included In Forecast?" dataDxfId="51"/>
    <tableColumn id="13" name="Source ID" dataDxfId="50"/>
    <tableColumn id="14" name="Confidence" dataDxfId="49"/>
    <tableColumn id="15" name="Notes" dataDxfId="48"/>
  </tableColumns>
  <tableStyleInfo name="TableStyleLight1" showFirstColumn="0" showLastColumn="0" showRowStripes="0" showColumnStripes="0"/>
</table>
</file>

<file path=xl/tables/table4.xml><?xml version="1.0" encoding="utf-8"?>
<table xmlns="http://schemas.openxmlformats.org/spreadsheetml/2006/main" id="4" name="tbl_Scenarios" displayName="tbl_Scenarios" ref="A62:I73" headerRowCount="1" headerRowDxfId="47" dataDxfId="46" totalsRowDxfId="45">
  <tableColumns count="9">
    <tableColumn id="2" name="FY2033E metric" dataDxfId="44"/>
    <tableColumn id="3" name="Unit" dataDxfId="43"/>
    <tableColumn id="4" name="Base Case" dataDxfId="42"/>
    <tableColumn id="5" name="Bull Case" dataDxfId="41"/>
    <tableColumn id="6" name="Bear Case" dataDxfId="40"/>
    <tableColumn id="7" name="Stress Case" dataDxfId="39"/>
    <tableColumn id="8" name="Live (active scenario)" dataDxfId="38"/>
    <tableColumn id="9" name="Tie-out" dataDxfId="37">
      <calculatedColumnFormula array="1">IF(ABS(G63-_xlfn.SINGLE(INDEX(C63:F63,ScenID)))&lt;=ABS(G63)*0.005+0.01,"OK","FAIL")</calculatedColumnFormula>
    </tableColumn>
    <tableColumn id="1" name="Audit Code" dataDxfId="36" totalsRowDxfId="35"/>
  </tableColumns>
  <tableStyleInfo name="TableStyleLight1" showFirstColumn="0" showLastColumn="0" showRowStripes="0" showColumnStripes="0"/>
</table>
</file>

<file path=xl/tables/table5.xml><?xml version="1.0" encoding="utf-8"?>
<table xmlns="http://schemas.openxmlformats.org/spreadsheetml/2006/main" id="5" name="tbl_Comps" displayName="tbl_Comps" ref="A107:N114" headerRowCount="1" headerRowDxfId="34" dataDxfId="32" totalsRowDxfId="30" headerRowBorderDxfId="33" tableBorderDxfId="31">
  <tableColumns count="14">
    <tableColumn id="2" name="Company" dataDxfId="29"/>
    <tableColumn id="3" name="FY2026 EBITDA (Rs cr)" dataDxfId="28"/>
    <tableColumn id="4" name="Net debt (Rs cr)" dataDxfId="27"/>
    <tableColumn id="5" name="PAT (Rs cr)" dataDxfId="26"/>
    <tableColumn id="6" name="EPS (Rs)" dataDxfId="25"/>
    <tableColumn id="7" name="Shares (cr) - derived" dataDxfId="24"/>
    <tableColumn id="8" name="Share price (Rs) - USER INPUT" dataDxfId="23"/>
    <tableColumn id="9" name="Market cap (Rs cr)" dataDxfId="22"/>
    <tableColumn id="10" name="EV (Rs cr)" dataDxfId="21"/>
    <tableColumn id="11" name="EV/EBITDA (x)" dataDxfId="20"/>
    <tableColumn id="12" name="Capacity (Mtpa)" dataDxfId="19"/>
    <tableColumn id="13" name="EV per tonne (Rs/t)" dataDxfId="18"/>
    <tableColumn id="14" name="Conf." dataDxfId="17"/>
    <tableColumn id="15" name="Notes" dataDxfId="16"/>
  </tableColumns>
  <tableStyleInfo name="TableStyleLight1" showFirstColumn="0" showLastColumn="0" showRowStripes="0" showColumnStripes="0"/>
</table>
</file>

<file path=xl/tables/table6.xml><?xml version="1.0" encoding="utf-8"?>
<table xmlns="http://schemas.openxmlformats.org/spreadsheetml/2006/main" id="6" name="tbl_ModelSources" displayName="tbl_ModelSources" ref="A13:H22" headerRowCount="1" headerRowDxfId="15" dataDxfId="13" totalsRowDxfId="11" headerRowBorderDxfId="14" tableBorderDxfId="12">
  <tableColumns count="8">
    <tableColumn id="2" name="Ref" dataDxfId="10"/>
    <tableColumn id="3" name="Level" dataDxfId="9"/>
    <tableColumn id="4" name="Publisher" dataDxfId="8"/>
    <tableColumn id="5" name="Publication" dataDxfId="7"/>
    <tableColumn id="6" name="Date" dataDxfId="6"/>
    <tableColumn id="7" name="Used for" dataDxfId="5"/>
    <tableColumn id="8" name="Verification" dataDxfId="4"/>
    <tableColumn id="9" name="Notes" dataDxfId="3"/>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01_Data\Master%20Industry%20Database.xlsx" TargetMode="External" Id="rId1" /></Relationships>
</file>

<file path=xl/worksheets/_rels/sheet6.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2.xml.rels><Relationships xmlns="http://schemas.openxmlformats.org/package/2006/relationships"><Relationship Type="http://schemas.openxmlformats.org/officeDocument/2006/relationships/table" Target="/xl/tables/table3.xml" Id="rId1" /></Relationships>
</file>

<file path=xl/worksheets/_rels/sheet13.xml.rels><Relationships xmlns="http://schemas.openxmlformats.org/package/2006/relationships"><Relationship Type="http://schemas.openxmlformats.org/officeDocument/2006/relationships/drawing" Target="/xl/drawings/drawing4.xml" Id="rId1" /></Relationships>
</file>

<file path=xl/worksheets/_rels/sheet14.xml.rels><Relationships xmlns="http://schemas.openxmlformats.org/package/2006/relationships"><Relationship Type="http://schemas.openxmlformats.org/officeDocument/2006/relationships/drawing" Target="/xl/drawings/drawing5.xml" Id="rId1" /></Relationships>
</file>

<file path=xl/worksheets/_rels/sheet17.xml.rels><Relationships xmlns="http://schemas.openxmlformats.org/package/2006/relationships"><Relationship Type="http://schemas.openxmlformats.org/officeDocument/2006/relationships/drawing" Target="/xl/drawings/drawing6.xml" Id="rId1" /></Relationships>
</file>

<file path=xl/worksheets/_rels/sheet18.xml.rels><Relationships xmlns="http://schemas.openxmlformats.org/package/2006/relationships"><Relationship Type="http://schemas.openxmlformats.org/officeDocument/2006/relationships/drawing" Target="/xl/drawings/drawing7.xml" Id="rId1" /></Relationships>
</file>

<file path=xl/worksheets/_rels/sheet26.xml.rels><Relationships xmlns="http://schemas.openxmlformats.org/package/2006/relationships"><Relationship Type="http://schemas.openxmlformats.org/officeDocument/2006/relationships/table" Target="/xl/tables/table4.xml" Id="rId1" /></Relationships>
</file>

<file path=xl/worksheets/_rels/sheet28.xml.rels><Relationships xmlns="http://schemas.openxmlformats.org/package/2006/relationships"><Relationship Type="http://schemas.openxmlformats.org/officeDocument/2006/relationships/table" Target="/xl/tables/table5.xml" Id="rId1" /></Relationships>
</file>

<file path=xl/worksheets/_rels/sheet29.xml.rels><Relationships xmlns="http://schemas.openxmlformats.org/package/2006/relationships"><Relationship Type="http://schemas.openxmlformats.org/officeDocument/2006/relationships/hyperlink" Target="..\01_Data\Master%20Industry%20Database.xlsx" TargetMode="External" Id="rId1" /></Relationships>
</file>

<file path=xl/worksheets/_rels/sheet31.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tabColor rgb="FF002060"/>
    <outlinePr summaryBelow="1" summaryRight="1"/>
    <pageSetUpPr/>
  </sheetPr>
  <dimension ref="A1:Y1014"/>
  <sheetViews>
    <sheetView showGridLines="0" zoomScaleNormal="100" workbookViewId="0">
      <selection activeCell="B21" sqref="B21"/>
    </sheetView>
  </sheetViews>
  <sheetFormatPr baseColWidth="8" defaultRowHeight="14.4"/>
  <cols>
    <col width="33.33203125" customWidth="1" style="1262" min="1" max="1"/>
    <col width="37.88671875" customWidth="1" style="1262" min="2" max="2"/>
    <col width="8.88671875" customWidth="1" style="1262" min="3" max="3"/>
    <col width="22.21875" customWidth="1" style="1262" min="4" max="4"/>
    <col width="22.5546875" customWidth="1" style="1262" min="5" max="5"/>
    <col width="8.88671875" customWidth="1" style="1262" min="6" max="6"/>
    <col width="19.5546875" customWidth="1" style="1262" min="7" max="7"/>
    <col width="25.77734375" customWidth="1" style="1262" min="8" max="8"/>
    <col width="8.88671875" customWidth="1" style="1262" min="9" max="9"/>
    <col width="14.6640625" customWidth="1" style="1262" min="10" max="10"/>
    <col width="8.88671875" customWidth="1" style="1262" min="11" max="16384"/>
  </cols>
  <sheetData>
    <row r="1" ht="25.8" customHeight="1">
      <c r="A1" s="1133" t="inlineStr">
        <is>
          <t>INDUSTRY FINANCIAL MODEL</t>
        </is>
      </c>
      <c r="K1" s="177" t="n"/>
      <c r="L1" s="177" t="n"/>
      <c r="M1" s="177" t="n"/>
      <c r="N1" s="177" t="n"/>
      <c r="O1" s="177" t="n"/>
      <c r="P1" s="177" t="n"/>
      <c r="Q1" s="177" t="n"/>
      <c r="R1" s="177" t="n"/>
      <c r="S1" s="177" t="n"/>
      <c r="T1" s="177" t="n"/>
      <c r="U1" s="177" t="n"/>
      <c r="V1" s="177" t="n"/>
      <c r="W1" s="177" t="n"/>
      <c r="X1" s="177" t="n"/>
      <c r="Y1" s="177" t="n"/>
    </row>
    <row r="2">
      <c r="A2" s="164" t="inlineStr">
        <is>
          <t>INDIAN STEEL INDUSTRY</t>
        </is>
      </c>
      <c r="B2" s="177" t="n"/>
      <c r="C2" s="177" t="n"/>
      <c r="D2" s="177" t="n"/>
      <c r="E2" s="177" t="n"/>
      <c r="F2" s="177" t="n"/>
      <c r="G2" s="177" t="n"/>
      <c r="H2" s="177" t="n"/>
      <c r="I2" s="177" t="n"/>
      <c r="J2" s="177" t="n"/>
      <c r="K2" s="177" t="n"/>
      <c r="L2" s="177" t="n"/>
      <c r="M2" s="177" t="n"/>
      <c r="N2" s="177" t="n"/>
      <c r="O2" s="177" t="n"/>
      <c r="P2" s="177" t="n"/>
      <c r="Q2" s="177" t="n"/>
      <c r="R2" s="177" t="n"/>
      <c r="S2" s="177" t="n"/>
      <c r="T2" s="177" t="n"/>
      <c r="U2" s="177" t="n"/>
      <c r="V2" s="177" t="n"/>
      <c r="W2" s="177" t="n"/>
      <c r="X2" s="177" t="n"/>
      <c r="Y2" s="177" t="n"/>
    </row>
    <row r="3">
      <c r="A3" s="1167" t="n"/>
      <c r="B3" s="177" t="n"/>
      <c r="C3" s="177" t="n"/>
      <c r="D3" s="177" t="n"/>
      <c r="E3" s="177" t="n"/>
      <c r="F3" s="177" t="n"/>
      <c r="G3" s="177" t="n"/>
      <c r="H3" s="177" t="n"/>
      <c r="I3" s="177" t="n"/>
      <c r="J3" s="177" t="n"/>
      <c r="K3" s="177" t="n"/>
      <c r="L3" s="177" t="n"/>
      <c r="M3" s="177" t="n"/>
      <c r="N3" s="177" t="n"/>
      <c r="O3" s="177" t="n"/>
      <c r="P3" s="177" t="n"/>
      <c r="Q3" s="177" t="n"/>
      <c r="R3" s="177" t="n"/>
      <c r="S3" s="177" t="n"/>
      <c r="T3" s="177" t="n"/>
      <c r="U3" s="177" t="n"/>
      <c r="V3" s="177" t="n"/>
      <c r="W3" s="177" t="n"/>
      <c r="X3" s="177" t="n"/>
      <c r="Y3" s="177" t="n"/>
    </row>
    <row r="4">
      <c r="A4" s="1145" t="inlineStr">
        <is>
          <t>Indian Steel Industry Research &amp; Valuation Model</t>
        </is>
      </c>
      <c r="D4" s="177" t="n"/>
      <c r="E4" s="177" t="n"/>
      <c r="F4" s="177" t="n"/>
      <c r="G4" s="177" t="n"/>
      <c r="H4" s="177" t="n"/>
      <c r="I4" s="177" t="n"/>
      <c r="J4" s="177" t="n"/>
      <c r="K4" s="177" t="n"/>
      <c r="L4" s="177" t="n"/>
      <c r="M4" s="177" t="n"/>
      <c r="N4" s="177" t="n"/>
      <c r="O4" s="177" t="n"/>
      <c r="P4" s="177" t="n"/>
      <c r="Q4" s="177" t="n"/>
      <c r="R4" s="177" t="n"/>
      <c r="S4" s="177" t="n"/>
      <c r="T4" s="177" t="n"/>
      <c r="U4" s="177" t="n"/>
      <c r="V4" s="177" t="n"/>
      <c r="W4" s="177" t="n"/>
      <c r="X4" s="177" t="n"/>
      <c r="Y4" s="177" t="n"/>
    </row>
    <row r="5">
      <c r="A5" s="1144" t="inlineStr">
        <is>
          <t>Forecast horizon FY2027E-FY2033E (7 years)  |  Base year FY2026A</t>
        </is>
      </c>
      <c r="K5" s="177" t="n"/>
      <c r="L5" s="177" t="n"/>
      <c r="M5" s="177" t="n"/>
      <c r="N5" s="177" t="n"/>
      <c r="O5" s="177" t="n"/>
      <c r="P5" s="177" t="n"/>
      <c r="Q5" s="177" t="n"/>
      <c r="R5" s="177" t="n"/>
      <c r="S5" s="177" t="n"/>
      <c r="T5" s="177" t="n"/>
      <c r="U5" s="177" t="n"/>
      <c r="V5" s="177" t="n"/>
      <c r="W5" s="177" t="n"/>
      <c r="X5" s="177" t="n"/>
      <c r="Y5" s="177" t="n"/>
    </row>
    <row r="6">
      <c r="A6" s="1167" t="n"/>
      <c r="B6" s="177" t="n"/>
      <c r="C6" s="177" t="n"/>
      <c r="D6" s="177" t="n"/>
      <c r="E6" s="177" t="n"/>
      <c r="F6" s="177" t="n"/>
      <c r="G6" s="177" t="n"/>
      <c r="H6" s="177" t="n"/>
      <c r="I6" s="177" t="n"/>
      <c r="J6" s="177" t="n"/>
      <c r="K6" s="177" t="n"/>
      <c r="L6" s="177" t="n"/>
      <c r="M6" s="177" t="n"/>
      <c r="N6" s="177" t="n"/>
      <c r="O6" s="177" t="n"/>
      <c r="P6" s="177" t="n"/>
      <c r="Q6" s="177" t="n"/>
      <c r="R6" s="177" t="n"/>
      <c r="S6" s="177" t="n"/>
      <c r="T6" s="177" t="n"/>
      <c r="U6" s="177" t="n"/>
      <c r="V6" s="177" t="n"/>
      <c r="W6" s="177" t="n"/>
      <c r="X6" s="177" t="n"/>
      <c r="Y6" s="177" t="n"/>
    </row>
    <row r="7">
      <c r="A7" s="1141" t="inlineStr">
        <is>
          <t>An integrated financial modelling platform for analysing the Indian steel industry.</t>
        </is>
      </c>
      <c r="K7" s="177" t="n"/>
      <c r="L7" s="177" t="n"/>
      <c r="M7" s="177" t="n"/>
      <c r="N7" s="177" t="n"/>
      <c r="O7" s="177" t="n"/>
      <c r="P7" s="177" t="n"/>
      <c r="Q7" s="177" t="n"/>
      <c r="R7" s="177" t="n"/>
      <c r="S7" s="177" t="n"/>
      <c r="T7" s="177" t="n"/>
      <c r="U7" s="177" t="n"/>
      <c r="V7" s="177" t="n"/>
      <c r="W7" s="177" t="n"/>
      <c r="X7" s="177" t="n"/>
      <c r="Y7" s="177" t="n"/>
    </row>
    <row r="8" ht="28.8" customHeight="1">
      <c r="A8" s="1142" t="inlineStr">
        <is>
          <t>This workbook integrates macroeconomic forecasting, industry demand and supply modelling, capacity expansion, pricing, raw material economics, profitability, cash flow, valuation and scenario analysis into a single dynamic platform designed for institutional investment research and company valuation.</t>
        </is>
      </c>
      <c r="K8" s="177" t="n"/>
      <c r="L8" s="177" t="n"/>
      <c r="M8" s="177" t="n"/>
      <c r="N8" s="177" t="n"/>
      <c r="O8" s="177" t="n"/>
      <c r="P8" s="177" t="n"/>
      <c r="Q8" s="177" t="n"/>
      <c r="R8" s="177" t="n"/>
      <c r="S8" s="177" t="n"/>
      <c r="T8" s="177" t="n"/>
      <c r="U8" s="177" t="n"/>
      <c r="V8" s="177" t="n"/>
      <c r="W8" s="177" t="n"/>
      <c r="X8" s="177" t="n"/>
      <c r="Y8" s="177" t="n"/>
    </row>
    <row r="9">
      <c r="A9" s="1143" t="inlineStr">
        <is>
          <t>Designed to support equity research, investment banking, corporate finance, private equity and individual company valuation.</t>
        </is>
      </c>
      <c r="K9" s="177" t="n"/>
      <c r="L9" s="177" t="n"/>
      <c r="M9" s="177" t="n"/>
      <c r="N9" s="177" t="n"/>
      <c r="O9" s="177" t="n"/>
      <c r="P9" s="177" t="n"/>
      <c r="Q9" s="177" t="n"/>
      <c r="R9" s="177" t="n"/>
      <c r="S9" s="177" t="n"/>
      <c r="T9" s="177" t="n"/>
      <c r="U9" s="177" t="n"/>
      <c r="V9" s="177" t="n"/>
      <c r="W9" s="177" t="n"/>
      <c r="X9" s="177" t="n"/>
      <c r="Y9" s="177" t="n"/>
    </row>
    <row r="10" ht="15" customHeight="1" thickBot="1">
      <c r="A10" s="178" t="n"/>
      <c r="B10" s="177" t="n"/>
      <c r="C10" s="177" t="n"/>
      <c r="D10" s="177" t="n"/>
      <c r="E10" s="177" t="n"/>
      <c r="F10" s="177" t="n"/>
      <c r="G10" s="177" t="n"/>
      <c r="H10" s="177" t="n"/>
      <c r="I10" s="177" t="n"/>
      <c r="J10" s="177" t="n"/>
      <c r="K10" s="177" t="n"/>
      <c r="L10" s="177" t="n"/>
      <c r="M10" s="177" t="n"/>
      <c r="N10" s="177" t="n"/>
      <c r="O10" s="177" t="n"/>
      <c r="P10" s="177" t="n"/>
      <c r="Q10" s="177" t="n"/>
      <c r="R10" s="177" t="n"/>
      <c r="S10" s="177" t="n"/>
      <c r="T10" s="177" t="n"/>
      <c r="U10" s="177" t="n"/>
      <c r="V10" s="177" t="n"/>
      <c r="W10" s="177" t="n"/>
      <c r="X10" s="177" t="n"/>
      <c r="Y10" s="177" t="n"/>
    </row>
    <row r="11" ht="16.2" customHeight="1" thickBot="1">
      <c r="A11" s="1139" t="inlineStr">
        <is>
          <t>Coverage Universe</t>
        </is>
      </c>
      <c r="B11" s="1336" t="n"/>
      <c r="C11" s="177" t="n"/>
      <c r="D11" s="1139" t="inlineStr">
        <is>
          <t>Model Information</t>
        </is>
      </c>
      <c r="E11" s="1336" t="n"/>
      <c r="F11" s="177" t="n"/>
      <c r="G11" s="1139" t="inlineStr">
        <is>
          <t>Data Sources</t>
        </is>
      </c>
      <c r="H11" s="1336" t="n"/>
      <c r="I11" s="177" t="n"/>
      <c r="J11" s="177" t="n"/>
      <c r="K11" s="177" t="n"/>
      <c r="L11" s="177" t="n"/>
      <c r="M11" s="177" t="n"/>
      <c r="N11" s="177" t="n"/>
      <c r="O11" s="177" t="n"/>
      <c r="P11" s="177" t="n"/>
      <c r="Q11" s="177" t="n"/>
      <c r="R11" s="177" t="n"/>
      <c r="S11" s="177" t="n"/>
      <c r="T11" s="177" t="n"/>
      <c r="U11" s="177" t="n"/>
      <c r="V11" s="177" t="n"/>
      <c r="W11" s="177" t="n"/>
      <c r="X11" s="177" t="n"/>
      <c r="Y11" s="177" t="n"/>
    </row>
    <row r="12" ht="15" customFormat="1" customHeight="1" s="180" thickBot="1" thickTop="1">
      <c r="A12" s="579" t="inlineStr">
        <is>
          <t>Core Coverage</t>
        </is>
      </c>
      <c r="B12" s="580" t="inlineStr">
        <is>
          <t>Supporting Coverage</t>
        </is>
      </c>
      <c r="C12" s="179" t="n"/>
      <c r="D12" s="315" t="inlineStr">
        <is>
          <t>Field</t>
        </is>
      </c>
      <c r="E12" s="315" t="inlineStr">
        <is>
          <t>Value</t>
        </is>
      </c>
      <c r="F12" s="179" t="n"/>
      <c r="G12" s="315" t="inlineStr">
        <is>
          <t>Primary Sources</t>
        </is>
      </c>
      <c r="H12" s="315" t="inlineStr">
        <is>
          <t>Industry Sources</t>
        </is>
      </c>
      <c r="I12" s="179" t="n"/>
      <c r="J12" s="179" t="n"/>
      <c r="K12" s="179" t="n"/>
      <c r="L12" s="179" t="n"/>
      <c r="M12" s="179" t="n"/>
      <c r="N12" s="179" t="n"/>
      <c r="O12" s="179" t="n"/>
      <c r="P12" s="179" t="n"/>
      <c r="Q12" s="179" t="n"/>
      <c r="R12" s="179" t="n"/>
      <c r="S12" s="179" t="n"/>
      <c r="T12" s="179" t="n"/>
      <c r="U12" s="179" t="n"/>
      <c r="V12" s="179" t="n"/>
      <c r="W12" s="179" t="n"/>
      <c r="X12" s="179" t="n"/>
      <c r="Y12" s="179" t="n"/>
    </row>
    <row r="13" ht="15" customHeight="1" thickTop="1">
      <c r="A13" s="581" t="inlineStr">
        <is>
          <t>Tata Steel</t>
        </is>
      </c>
      <c r="B13" s="582" t="inlineStr">
        <is>
          <t>AM/NS India</t>
        </is>
      </c>
      <c r="C13" s="177" t="n"/>
      <c r="D13" s="186" t="inlineStr">
        <is>
          <t xml:space="preserve">Industry </t>
        </is>
      </c>
      <c r="E13" s="1337" t="inlineStr">
        <is>
          <t>Steel</t>
        </is>
      </c>
      <c r="F13" s="177" t="n"/>
      <c r="G13" s="197" t="inlineStr">
        <is>
          <t>Annual Reports</t>
        </is>
      </c>
      <c r="H13" s="187" t="inlineStr">
        <is>
          <t>World Steel Association</t>
        </is>
      </c>
      <c r="I13" s="177" t="n"/>
      <c r="J13" s="177" t="n"/>
      <c r="K13" s="177" t="n"/>
      <c r="L13" s="177" t="n"/>
      <c r="M13" s="177" t="n"/>
      <c r="N13" s="177" t="n"/>
      <c r="O13" s="177" t="n"/>
      <c r="P13" s="177" t="n"/>
      <c r="Q13" s="177" t="n"/>
      <c r="R13" s="177" t="n"/>
      <c r="S13" s="177" t="n"/>
      <c r="T13" s="177" t="n"/>
      <c r="U13" s="177" t="n"/>
      <c r="V13" s="177" t="n"/>
      <c r="W13" s="177" t="n"/>
      <c r="X13" s="177" t="n"/>
      <c r="Y13" s="177" t="n"/>
    </row>
    <row r="14">
      <c r="A14" s="583" t="inlineStr">
        <is>
          <t>JSW Steel</t>
        </is>
      </c>
      <c r="B14" s="584" t="inlineStr">
        <is>
          <t>RINL (Vizag Steel)</t>
        </is>
      </c>
      <c r="C14" s="177" t="n"/>
      <c r="D14" s="186" t="inlineStr">
        <is>
          <t>Version</t>
        </is>
      </c>
      <c r="E14" s="1337" t="n">
        <v>1</v>
      </c>
      <c r="F14" s="177" t="n"/>
      <c r="G14" s="192" t="inlineStr">
        <is>
          <t>Quarterly Results</t>
        </is>
      </c>
      <c r="H14" s="181" t="inlineStr">
        <is>
          <t>Joint Plant Committee</t>
        </is>
      </c>
      <c r="I14" s="177" t="n"/>
      <c r="J14" s="177" t="n"/>
      <c r="K14" s="177" t="n"/>
      <c r="L14" s="177" t="n"/>
      <c r="M14" s="177" t="n"/>
      <c r="N14" s="177" t="n"/>
      <c r="O14" s="177" t="n"/>
      <c r="P14" s="177" t="n"/>
      <c r="Q14" s="177" t="n"/>
      <c r="R14" s="177" t="n"/>
      <c r="S14" s="177" t="n"/>
      <c r="T14" s="177" t="n"/>
      <c r="U14" s="177" t="n"/>
      <c r="V14" s="177" t="n"/>
      <c r="W14" s="177" t="n"/>
      <c r="X14" s="177" t="n"/>
      <c r="Y14" s="177" t="n"/>
    </row>
    <row r="15">
      <c r="A15" s="585" t="inlineStr">
        <is>
          <t>SAIL</t>
        </is>
      </c>
      <c r="B15" s="586" t="inlineStr">
        <is>
          <t>Shyam Metalics</t>
        </is>
      </c>
      <c r="C15" s="177" t="n"/>
      <c r="D15" s="184" t="inlineStr">
        <is>
          <t>Base Year</t>
        </is>
      </c>
      <c r="E15" s="189" t="inlineStr">
        <is>
          <t>FY2026A</t>
        </is>
      </c>
      <c r="F15" s="177" t="n"/>
      <c r="G15" s="192" t="inlineStr">
        <is>
          <t>Investor Presentations</t>
        </is>
      </c>
      <c r="H15" s="181" t="inlineStr">
        <is>
          <t>Ministry of Steel</t>
        </is>
      </c>
      <c r="I15" s="177" t="n"/>
      <c r="J15" s="177" t="n"/>
      <c r="K15" s="177" t="n"/>
      <c r="L15" s="177" t="n"/>
      <c r="M15" s="177" t="n"/>
      <c r="N15" s="177" t="n"/>
      <c r="O15" s="177" t="n"/>
      <c r="P15" s="177" t="n"/>
      <c r="Q15" s="177" t="n"/>
      <c r="R15" s="177" t="n"/>
      <c r="S15" s="177" t="n"/>
      <c r="T15" s="177" t="n"/>
      <c r="U15" s="177" t="n"/>
      <c r="V15" s="177" t="n"/>
      <c r="W15" s="177" t="n"/>
      <c r="X15" s="177" t="n"/>
      <c r="Y15" s="177" t="n"/>
    </row>
    <row r="16" ht="15" customHeight="1" thickBot="1">
      <c r="A16" s="583" t="inlineStr">
        <is>
          <t>Jindal Steel</t>
        </is>
      </c>
      <c r="B16" s="584" t="inlineStr">
        <is>
          <t>Godawari Power</t>
        </is>
      </c>
      <c r="C16" s="177" t="n"/>
      <c r="D16" s="184" t="inlineStr">
        <is>
          <t>Forecast</t>
        </is>
      </c>
      <c r="E16" s="190" t="inlineStr">
        <is>
          <t>FY2027E–FY2033E</t>
        </is>
      </c>
      <c r="F16" s="177" t="n"/>
      <c r="G16" s="193" t="inlineStr">
        <is>
          <t>Exchange Filings</t>
        </is>
      </c>
      <c r="H16" s="181" t="inlineStr">
        <is>
          <t>OECD</t>
        </is>
      </c>
      <c r="I16" s="177" t="n"/>
      <c r="J16" s="177" t="n"/>
      <c r="K16" s="177" t="n"/>
      <c r="L16" s="177" t="n"/>
      <c r="M16" s="177" t="n"/>
      <c r="N16" s="177" t="n"/>
      <c r="O16" s="177" t="n"/>
      <c r="P16" s="177" t="n"/>
      <c r="Q16" s="177" t="n"/>
      <c r="R16" s="177" t="n"/>
      <c r="S16" s="177" t="n"/>
      <c r="T16" s="177" t="n"/>
      <c r="U16" s="177" t="n"/>
      <c r="V16" s="177" t="n"/>
      <c r="W16" s="177" t="n"/>
      <c r="X16" s="177" t="n"/>
      <c r="Y16" s="177" t="n"/>
    </row>
    <row r="17" ht="15" customHeight="1" thickBot="1">
      <c r="A17" s="588" t="inlineStr">
        <is>
          <t>Jindal Stainless</t>
        </is>
      </c>
      <c r="B17" s="586" t="inlineStr">
        <is>
          <t>APL Apollo</t>
        </is>
      </c>
      <c r="C17" s="177" t="n"/>
      <c r="D17" s="184" t="inlineStr">
        <is>
          <t>Forecast Horizon</t>
        </is>
      </c>
      <c r="E17" s="190" t="inlineStr">
        <is>
          <t>7 Years</t>
        </is>
      </c>
      <c r="F17" s="177" t="n"/>
      <c r="H17" s="196" t="inlineStr">
        <is>
          <t>DGFT</t>
        </is>
      </c>
      <c r="I17" s="177" t="n"/>
      <c r="J17" s="177" t="n"/>
      <c r="K17" s="177" t="n"/>
      <c r="L17" s="177" t="n"/>
      <c r="M17" s="177" t="n"/>
      <c r="N17" s="177" t="n"/>
      <c r="O17" s="177" t="n"/>
      <c r="P17" s="177" t="n"/>
      <c r="Q17" s="177" t="n"/>
      <c r="R17" s="177" t="n"/>
      <c r="S17" s="177" t="n"/>
      <c r="T17" s="177" t="n"/>
      <c r="U17" s="177" t="n"/>
      <c r="V17" s="177" t="n"/>
      <c r="W17" s="177" t="n"/>
      <c r="X17" s="177" t="n"/>
      <c r="Y17" s="177" t="n"/>
    </row>
    <row r="18">
      <c r="A18" s="587" t="n"/>
      <c r="B18" s="590" t="inlineStr">
        <is>
          <t>Kirloskar Ferrous</t>
        </is>
      </c>
      <c r="C18" s="177" t="n"/>
      <c r="D18" s="184" t="inlineStr">
        <is>
          <t>Currency</t>
        </is>
      </c>
      <c r="E18" s="190" t="inlineStr">
        <is>
          <t>INR</t>
        </is>
      </c>
      <c r="F18" s="177" t="n"/>
      <c r="H18" s="194" t="inlineStr">
        <is>
          <t>RBI</t>
        </is>
      </c>
      <c r="I18" s="177" t="n"/>
      <c r="J18" s="177" t="n"/>
      <c r="K18" s="177" t="n"/>
      <c r="L18" s="177" t="n"/>
      <c r="M18" s="177" t="n"/>
      <c r="N18" s="177" t="n"/>
      <c r="O18" s="177" t="n"/>
      <c r="P18" s="177" t="n"/>
      <c r="Q18" s="177" t="n"/>
      <c r="R18" s="177" t="n"/>
      <c r="S18" s="177" t="n"/>
      <c r="T18" s="177" t="n"/>
      <c r="U18" s="177" t="n"/>
      <c r="V18" s="177" t="n"/>
      <c r="W18" s="177" t="n"/>
      <c r="X18" s="177" t="n"/>
      <c r="Y18" s="177" t="n"/>
    </row>
    <row r="19" ht="15" customHeight="1" thickBot="1">
      <c r="A19" s="587" t="n"/>
      <c r="B19" s="589" t="inlineStr">
        <is>
          <t>Others - secondary</t>
        </is>
      </c>
      <c r="C19" s="177" t="n"/>
      <c r="D19" s="184" t="inlineStr">
        <is>
          <t>Reporting Basis</t>
        </is>
      </c>
      <c r="E19" s="190" t="inlineStr">
        <is>
          <t>Consolidated</t>
        </is>
      </c>
      <c r="F19" s="177" t="n"/>
      <c r="H19" s="194" t="inlineStr">
        <is>
          <t>IMF</t>
        </is>
      </c>
      <c r="I19" s="177" t="n"/>
      <c r="J19" s="177" t="n"/>
      <c r="K19" s="177" t="n"/>
      <c r="L19" s="177" t="n"/>
      <c r="M19" s="177" t="n"/>
      <c r="N19" s="177" t="n"/>
      <c r="O19" s="177" t="n"/>
      <c r="P19" s="177" t="n"/>
      <c r="Q19" s="177" t="n"/>
      <c r="R19" s="177" t="n"/>
      <c r="S19" s="177" t="n"/>
      <c r="T19" s="177" t="n"/>
      <c r="U19" s="177" t="n"/>
      <c r="V19" s="177" t="n"/>
      <c r="W19" s="177" t="n"/>
      <c r="X19" s="177" t="n"/>
      <c r="Y19" s="177" t="n"/>
    </row>
    <row r="20" ht="15" customHeight="1" thickBot="1">
      <c r="B20" s="178" t="n"/>
      <c r="C20" s="177" t="n"/>
      <c r="D20" s="185" t="inlineStr">
        <is>
          <t>Last Upload</t>
        </is>
      </c>
      <c r="E20" s="191" t="n">
        <v>46237</v>
      </c>
      <c r="F20" s="177" t="n"/>
      <c r="H20" s="195" t="inlineStr">
        <is>
          <t>World Bank</t>
        </is>
      </c>
      <c r="I20" s="177" t="n"/>
      <c r="J20" s="177" t="n"/>
      <c r="K20" s="177" t="n"/>
      <c r="L20" s="177" t="n"/>
      <c r="M20" s="177" t="n"/>
      <c r="N20" s="177" t="n"/>
      <c r="O20" s="177" t="n"/>
      <c r="P20" s="177" t="n"/>
      <c r="Q20" s="177" t="n"/>
      <c r="R20" s="177" t="n"/>
      <c r="S20" s="177" t="n"/>
      <c r="T20" s="177" t="n"/>
      <c r="U20" s="177" t="n"/>
      <c r="V20" s="177" t="n"/>
      <c r="W20" s="177" t="n"/>
      <c r="X20" s="177" t="n"/>
      <c r="Y20" s="177" t="n"/>
    </row>
    <row r="21">
      <c r="B21" s="178" t="n"/>
      <c r="C21" s="177" t="n"/>
      <c r="D21" s="177" t="n"/>
      <c r="E21" s="177" t="n"/>
      <c r="F21" s="177" t="n"/>
      <c r="G21" s="177" t="n"/>
      <c r="H21" s="177" t="n"/>
      <c r="I21" s="177" t="n"/>
      <c r="J21" s="177" t="n"/>
      <c r="K21" s="177" t="n"/>
      <c r="L21" s="177" t="n"/>
      <c r="M21" s="177" t="n"/>
      <c r="N21" s="177" t="n"/>
      <c r="O21" s="177" t="n"/>
      <c r="P21" s="177" t="n"/>
      <c r="Q21" s="177" t="n"/>
      <c r="R21" s="177" t="n"/>
      <c r="S21" s="177" t="n"/>
      <c r="T21" s="177" t="n"/>
      <c r="U21" s="177" t="n"/>
      <c r="V21" s="177" t="n"/>
      <c r="W21" s="177" t="n"/>
      <c r="X21" s="177" t="n"/>
      <c r="Y21" s="177" t="n"/>
    </row>
    <row r="22">
      <c r="C22" s="177" t="n"/>
      <c r="D22" s="177" t="n"/>
      <c r="E22" s="177" t="n"/>
      <c r="F22" s="177" t="n"/>
      <c r="G22" s="177" t="n"/>
      <c r="H22" s="177" t="n"/>
      <c r="I22" s="177" t="n"/>
      <c r="J22" s="177" t="n"/>
      <c r="K22" s="177" t="n"/>
      <c r="L22" s="177" t="n"/>
      <c r="M22" s="177" t="n"/>
      <c r="N22" s="177" t="n"/>
      <c r="O22" s="177" t="n"/>
      <c r="P22" s="177" t="n"/>
      <c r="Q22" s="177" t="n"/>
      <c r="R22" s="177" t="n"/>
      <c r="S22" s="177" t="n"/>
      <c r="T22" s="177" t="n"/>
      <c r="U22" s="177" t="n"/>
      <c r="V22" s="177" t="n"/>
      <c r="W22" s="177" t="n"/>
      <c r="X22" s="177" t="n"/>
      <c r="Y22" s="177" t="n"/>
    </row>
    <row r="23">
      <c r="C23" s="177" t="n"/>
      <c r="D23" s="177" t="n"/>
      <c r="E23" s="177" t="n"/>
      <c r="F23" s="177" t="n"/>
      <c r="G23" s="177" t="n"/>
      <c r="H23" s="177" t="n"/>
      <c r="I23" s="177" t="n"/>
      <c r="J23" s="177" t="n"/>
      <c r="K23" s="177" t="n"/>
      <c r="L23" s="177" t="n"/>
      <c r="M23" s="177" t="n"/>
      <c r="N23" s="177" t="n"/>
      <c r="O23" s="177" t="n"/>
      <c r="P23" s="177" t="n"/>
      <c r="Q23" s="177" t="n"/>
      <c r="R23" s="177" t="n"/>
      <c r="S23" s="177" t="n"/>
      <c r="T23" s="177" t="n"/>
      <c r="U23" s="177" t="n"/>
      <c r="V23" s="177" t="n"/>
      <c r="W23" s="177" t="n"/>
      <c r="X23" s="177" t="n"/>
      <c r="Y23" s="177" t="n"/>
    </row>
    <row r="24">
      <c r="B24" s="177" t="n"/>
      <c r="C24" s="177" t="n"/>
      <c r="D24" s="177" t="n"/>
      <c r="E24" s="177" t="n"/>
      <c r="F24" s="177" t="n"/>
      <c r="G24" s="177" t="n"/>
      <c r="H24" s="177" t="n"/>
      <c r="I24" s="177" t="n"/>
      <c r="J24" s="177" t="n"/>
      <c r="K24" s="177" t="n"/>
      <c r="L24" s="177" t="n"/>
      <c r="M24" s="177" t="n"/>
      <c r="N24" s="177" t="n"/>
      <c r="O24" s="177" t="n"/>
      <c r="P24" s="177" t="n"/>
      <c r="Q24" s="177" t="n"/>
      <c r="R24" s="177" t="n"/>
      <c r="S24" s="177" t="n"/>
      <c r="T24" s="177" t="n"/>
      <c r="U24" s="177" t="n"/>
      <c r="V24" s="177" t="n"/>
      <c r="W24" s="177" t="n"/>
      <c r="X24" s="177" t="n"/>
      <c r="Y24" s="177" t="n"/>
    </row>
    <row r="25">
      <c r="A25" s="1138" t="inlineStr">
        <is>
          <t>Prepared By : Om Prakash Panda</t>
        </is>
      </c>
      <c r="C25" s="177" t="n"/>
      <c r="D25" s="177" t="n"/>
      <c r="E25" s="177" t="n"/>
      <c r="F25" s="177" t="n"/>
      <c r="G25" s="177" t="n"/>
      <c r="H25" s="177" t="n"/>
      <c r="I25" s="177" t="n"/>
      <c r="J25" s="177" t="n"/>
      <c r="K25" s="177" t="n"/>
      <c r="L25" s="177" t="n"/>
      <c r="M25" s="177" t="n"/>
      <c r="N25" s="177" t="n"/>
      <c r="O25" s="177" t="n"/>
      <c r="P25" s="177" t="n"/>
      <c r="Q25" s="177" t="n"/>
      <c r="R25" s="177" t="n"/>
      <c r="S25" s="177" t="n"/>
      <c r="T25" s="177" t="n"/>
      <c r="U25" s="177" t="n"/>
      <c r="V25" s="177" t="n"/>
      <c r="W25" s="177" t="n"/>
      <c r="X25" s="177" t="n"/>
      <c r="Y25" s="177" t="n"/>
    </row>
    <row r="26">
      <c r="A26" s="1138" t="inlineStr">
        <is>
          <t>Confidential For Educational &amp; Research Purposes</t>
        </is>
      </c>
      <c r="C26" s="177" t="n"/>
      <c r="D26" s="177" t="n"/>
      <c r="E26" s="177" t="n"/>
      <c r="F26" s="177" t="n"/>
      <c r="G26" s="177" t="n"/>
      <c r="H26" s="177" t="n"/>
      <c r="I26" s="177" t="n"/>
      <c r="J26" s="177" t="n"/>
      <c r="K26" s="177" t="n"/>
      <c r="L26" s="177" t="n"/>
      <c r="M26" s="177" t="n"/>
      <c r="N26" s="177" t="n"/>
      <c r="O26" s="177" t="n"/>
      <c r="P26" s="177" t="n"/>
      <c r="Q26" s="177" t="n"/>
      <c r="R26" s="177" t="n"/>
      <c r="S26" s="177" t="n"/>
      <c r="T26" s="177" t="n"/>
      <c r="U26" s="177" t="n"/>
      <c r="V26" s="177" t="n"/>
      <c r="W26" s="177" t="n"/>
      <c r="X26" s="177" t="n"/>
      <c r="Y26" s="177" t="n"/>
    </row>
    <row r="27">
      <c r="A27" s="178" t="n"/>
      <c r="B27" s="177" t="n"/>
      <c r="C27" s="177" t="n"/>
      <c r="D27" s="177" t="n"/>
      <c r="E27" s="177" t="n"/>
      <c r="F27" s="177" t="n"/>
      <c r="G27" s="177" t="n"/>
      <c r="H27" s="177" t="n"/>
      <c r="I27" s="177" t="n"/>
      <c r="J27" s="177" t="n"/>
      <c r="K27" s="177" t="n"/>
      <c r="L27" s="177" t="n"/>
      <c r="M27" s="177" t="n"/>
      <c r="N27" s="177" t="n"/>
      <c r="O27" s="177" t="n"/>
      <c r="P27" s="177" t="n"/>
      <c r="Q27" s="177" t="n"/>
      <c r="R27" s="177" t="n"/>
      <c r="S27" s="177" t="n"/>
      <c r="T27" s="177" t="n"/>
      <c r="U27" s="177" t="n"/>
      <c r="V27" s="177" t="n"/>
      <c r="W27" s="177" t="n"/>
      <c r="X27" s="177" t="n"/>
      <c r="Y27" s="177" t="n"/>
    </row>
    <row r="28">
      <c r="A28" s="1138" t="inlineStr">
        <is>
          <t>Internal analytical model prepared solely for research and valuation purposes. Figures are derived from publicly available information and analyst assumptions. Not intended for public distribution.</t>
        </is>
      </c>
      <c r="J28" s="177" t="n"/>
      <c r="K28" s="177" t="n"/>
      <c r="L28" s="177" t="n"/>
      <c r="M28" s="177" t="n"/>
      <c r="N28" s="177" t="n"/>
      <c r="O28" s="177" t="n"/>
      <c r="P28" s="177" t="n"/>
      <c r="Q28" s="177" t="n"/>
      <c r="R28" s="177" t="n"/>
      <c r="S28" s="177" t="n"/>
      <c r="T28" s="177" t="n"/>
      <c r="U28" s="177" t="n"/>
      <c r="V28" s="177" t="n"/>
      <c r="W28" s="177" t="n"/>
      <c r="X28" s="177" t="n"/>
      <c r="Y28" s="177" t="n"/>
    </row>
    <row r="29">
      <c r="A29" s="178" t="n"/>
      <c r="B29" s="177" t="n"/>
      <c r="C29" s="177" t="n"/>
      <c r="D29" s="177" t="n"/>
      <c r="E29" s="177" t="n"/>
      <c r="F29" s="177" t="n"/>
      <c r="G29" s="177" t="n"/>
      <c r="H29" s="177" t="n"/>
      <c r="I29" s="177" t="n"/>
      <c r="J29" s="177" t="n"/>
      <c r="K29" s="177" t="n"/>
      <c r="L29" s="177" t="n"/>
      <c r="M29" s="177" t="n"/>
      <c r="N29" s="177" t="n"/>
      <c r="O29" s="177" t="n"/>
      <c r="P29" s="177" t="n"/>
      <c r="Q29" s="177" t="n"/>
      <c r="R29" s="177" t="n"/>
      <c r="S29" s="177" t="n"/>
      <c r="T29" s="177" t="n"/>
      <c r="U29" s="177" t="n"/>
      <c r="V29" s="177" t="n"/>
      <c r="W29" s="177" t="n"/>
      <c r="X29" s="177" t="n"/>
      <c r="Y29" s="177" t="n"/>
    </row>
    <row r="30">
      <c r="A30" s="178" t="n"/>
      <c r="B30" s="177" t="n"/>
      <c r="C30" s="177" t="n"/>
      <c r="D30" s="177" t="n"/>
      <c r="E30" s="177" t="n"/>
      <c r="F30" s="177" t="n"/>
      <c r="G30" s="177" t="n"/>
      <c r="H30" s="177" t="n"/>
      <c r="I30" s="177" t="n"/>
      <c r="J30" s="177" t="n"/>
      <c r="K30" s="177" t="n"/>
      <c r="L30" s="177" t="n"/>
      <c r="M30" s="177" t="n"/>
      <c r="N30" s="177" t="n"/>
      <c r="O30" s="177" t="n"/>
      <c r="P30" s="177" t="n"/>
      <c r="Q30" s="177" t="n"/>
      <c r="R30" s="177" t="n"/>
      <c r="S30" s="177" t="n"/>
      <c r="T30" s="177" t="n"/>
      <c r="U30" s="177" t="n"/>
      <c r="V30" s="177" t="n"/>
      <c r="W30" s="177" t="n"/>
      <c r="X30" s="177" t="n"/>
      <c r="Y30" s="177" t="n"/>
    </row>
    <row r="31">
      <c r="A31" s="178" t="n"/>
      <c r="B31" s="177" t="n"/>
      <c r="C31" s="177" t="n"/>
      <c r="D31" s="177" t="n"/>
      <c r="E31" s="177" t="n"/>
      <c r="F31" s="177" t="n"/>
      <c r="G31" s="177" t="n"/>
      <c r="H31" s="177" t="n"/>
      <c r="I31" s="177" t="n"/>
      <c r="J31" s="177" t="n"/>
      <c r="K31" s="177" t="n"/>
      <c r="L31" s="177" t="n"/>
      <c r="M31" s="177" t="n"/>
      <c r="N31" s="177" t="n"/>
      <c r="O31" s="177" t="n"/>
      <c r="P31" s="177" t="n"/>
      <c r="Q31" s="177" t="n"/>
      <c r="R31" s="177" t="n"/>
      <c r="S31" s="177" t="n"/>
      <c r="T31" s="177" t="n"/>
      <c r="U31" s="177" t="n"/>
      <c r="V31" s="177" t="n"/>
      <c r="W31" s="177" t="n"/>
      <c r="X31" s="177" t="n"/>
      <c r="Y31" s="177" t="n"/>
    </row>
    <row r="32">
      <c r="A32" s="178" t="n"/>
      <c r="B32" s="177" t="n"/>
      <c r="C32" s="177" t="n"/>
      <c r="D32" s="177" t="n"/>
      <c r="E32" s="177" t="n"/>
      <c r="F32" s="177" t="n"/>
      <c r="G32" s="177" t="n"/>
      <c r="H32" s="177" t="n"/>
      <c r="I32" s="177" t="n"/>
      <c r="J32" s="177" t="n"/>
      <c r="K32" s="177" t="n"/>
      <c r="L32" s="177" t="n"/>
      <c r="M32" s="177" t="n"/>
      <c r="N32" s="177" t="n"/>
      <c r="O32" s="177" t="n"/>
      <c r="P32" s="177" t="n"/>
      <c r="Q32" s="177" t="n"/>
      <c r="R32" s="177" t="n"/>
      <c r="S32" s="177" t="n"/>
      <c r="T32" s="177" t="n"/>
      <c r="U32" s="177" t="n"/>
      <c r="V32" s="177" t="n"/>
      <c r="W32" s="177" t="n"/>
      <c r="X32" s="177" t="n"/>
      <c r="Y32" s="177" t="n"/>
    </row>
    <row r="33">
      <c r="A33" s="178" t="n"/>
      <c r="B33" s="177" t="n"/>
      <c r="C33" s="177" t="n"/>
      <c r="D33" s="177" t="n"/>
      <c r="E33" s="177" t="n"/>
      <c r="F33" s="177" t="n"/>
      <c r="G33" s="177" t="n"/>
      <c r="H33" s="177" t="n"/>
      <c r="I33" s="177" t="n"/>
      <c r="J33" s="177" t="n"/>
      <c r="K33" s="177" t="n"/>
      <c r="L33" s="177" t="n"/>
      <c r="M33" s="177" t="n"/>
      <c r="N33" s="177" t="n"/>
      <c r="O33" s="177" t="n"/>
      <c r="P33" s="177" t="n"/>
      <c r="Q33" s="177" t="n"/>
      <c r="R33" s="177" t="n"/>
      <c r="S33" s="177" t="n"/>
      <c r="T33" s="177" t="n"/>
      <c r="U33" s="177" t="n"/>
      <c r="V33" s="177" t="n"/>
      <c r="W33" s="177" t="n"/>
      <c r="X33" s="177" t="n"/>
      <c r="Y33" s="177" t="n"/>
    </row>
    <row r="34">
      <c r="A34" s="178" t="n"/>
      <c r="B34" s="177" t="n"/>
      <c r="C34" s="177" t="n"/>
      <c r="D34" s="177" t="n"/>
      <c r="E34" s="177" t="n"/>
      <c r="F34" s="177" t="n"/>
      <c r="G34" s="177" t="n"/>
      <c r="H34" s="177" t="n"/>
      <c r="I34" s="177" t="n"/>
      <c r="J34" s="177" t="n"/>
      <c r="K34" s="177" t="n"/>
      <c r="L34" s="177" t="n"/>
      <c r="M34" s="177" t="n"/>
      <c r="N34" s="177" t="n"/>
      <c r="O34" s="177" t="n"/>
      <c r="P34" s="177" t="n"/>
      <c r="Q34" s="177" t="n"/>
      <c r="R34" s="177" t="n"/>
      <c r="S34" s="177" t="n"/>
      <c r="T34" s="177" t="n"/>
      <c r="U34" s="177" t="n"/>
      <c r="V34" s="177" t="n"/>
      <c r="W34" s="177" t="n"/>
      <c r="X34" s="177" t="n"/>
      <c r="Y34" s="177" t="n"/>
    </row>
    <row r="35">
      <c r="A35" s="178" t="n"/>
      <c r="B35" s="177" t="n"/>
      <c r="C35" s="177" t="n"/>
      <c r="D35" s="177" t="n"/>
      <c r="E35" s="177" t="n"/>
      <c r="F35" s="177" t="n"/>
      <c r="G35" s="177" t="n"/>
      <c r="H35" s="177" t="n"/>
      <c r="I35" s="177" t="n"/>
      <c r="J35" s="177" t="n"/>
      <c r="K35" s="177" t="n"/>
      <c r="L35" s="177" t="n"/>
      <c r="M35" s="177" t="n"/>
      <c r="N35" s="177" t="n"/>
      <c r="O35" s="177" t="n"/>
      <c r="P35" s="177" t="n"/>
      <c r="Q35" s="177" t="n"/>
      <c r="R35" s="177" t="n"/>
      <c r="S35" s="177" t="n"/>
      <c r="T35" s="177" t="n"/>
      <c r="U35" s="177" t="n"/>
      <c r="V35" s="177" t="n"/>
      <c r="W35" s="177" t="n"/>
      <c r="X35" s="177" t="n"/>
      <c r="Y35" s="177" t="n"/>
    </row>
    <row r="36">
      <c r="A36" s="178" t="n"/>
      <c r="B36" s="177" t="n"/>
      <c r="C36" s="177" t="n"/>
      <c r="D36" s="177" t="n"/>
      <c r="E36" s="177" t="n"/>
      <c r="F36" s="177" t="n"/>
      <c r="G36" s="177" t="n"/>
      <c r="H36" s="177" t="n"/>
      <c r="I36" s="177" t="n"/>
      <c r="J36" s="177" t="n"/>
      <c r="K36" s="177" t="n"/>
      <c r="L36" s="177" t="n"/>
      <c r="M36" s="177" t="n"/>
      <c r="N36" s="177" t="n"/>
      <c r="O36" s="177" t="n"/>
      <c r="P36" s="177" t="n"/>
      <c r="Q36" s="177" t="n"/>
      <c r="R36" s="177" t="n"/>
      <c r="S36" s="177" t="n"/>
      <c r="T36" s="177" t="n"/>
      <c r="U36" s="177" t="n"/>
      <c r="V36" s="177" t="n"/>
      <c r="W36" s="177" t="n"/>
      <c r="X36" s="177" t="n"/>
      <c r="Y36" s="177" t="n"/>
    </row>
    <row r="37">
      <c r="A37" s="1166" t="n"/>
      <c r="B37" s="177" t="n"/>
      <c r="C37" s="177" t="n"/>
      <c r="D37" s="177" t="n"/>
      <c r="E37" s="177" t="n"/>
      <c r="F37" s="177" t="n"/>
      <c r="G37" s="177" t="n"/>
      <c r="H37" s="177" t="n"/>
      <c r="I37" s="177" t="n"/>
      <c r="J37" s="177" t="n"/>
      <c r="K37" s="177" t="n"/>
      <c r="L37" s="177" t="n"/>
      <c r="M37" s="177" t="n"/>
      <c r="N37" s="177" t="n"/>
      <c r="O37" s="177" t="n"/>
      <c r="P37" s="177" t="n"/>
      <c r="Q37" s="177" t="n"/>
      <c r="R37" s="177" t="n"/>
      <c r="S37" s="177" t="n"/>
      <c r="T37" s="177" t="n"/>
      <c r="U37" s="177" t="n"/>
      <c r="V37" s="177" t="n"/>
      <c r="W37" s="177" t="n"/>
      <c r="X37" s="177" t="n"/>
      <c r="Y37" s="177" t="n"/>
    </row>
    <row r="38">
      <c r="A38" s="1134" t="n"/>
      <c r="B38" s="177" t="n"/>
      <c r="C38" s="177" t="n"/>
      <c r="D38" s="177" t="n"/>
      <c r="E38" s="177" t="n"/>
      <c r="F38" s="177" t="n"/>
      <c r="G38" s="177" t="n"/>
      <c r="H38" s="177" t="n"/>
      <c r="I38" s="177" t="n"/>
      <c r="J38" s="177" t="n"/>
      <c r="K38" s="177" t="n"/>
      <c r="L38" s="177" t="n"/>
      <c r="M38" s="177" t="n"/>
      <c r="N38" s="177" t="n"/>
      <c r="O38" s="177" t="n"/>
      <c r="P38" s="177" t="n"/>
      <c r="Q38" s="177" t="n"/>
      <c r="R38" s="177" t="n"/>
      <c r="S38" s="177" t="n"/>
      <c r="T38" s="177" t="n"/>
      <c r="U38" s="177" t="n"/>
      <c r="V38" s="177" t="n"/>
      <c r="W38" s="177" t="n"/>
      <c r="X38" s="177" t="n"/>
      <c r="Y38" s="177" t="n"/>
    </row>
    <row r="39">
      <c r="A39" s="178" t="n"/>
      <c r="B39" s="177" t="n"/>
      <c r="C39" s="177" t="n"/>
      <c r="D39" s="177" t="n"/>
      <c r="E39" s="177" t="n"/>
      <c r="F39" s="177" t="n"/>
      <c r="G39" s="177" t="n"/>
      <c r="H39" s="177" t="n"/>
      <c r="I39" s="177" t="n"/>
      <c r="J39" s="177" t="n"/>
      <c r="K39" s="177" t="n"/>
      <c r="L39" s="177" t="n"/>
      <c r="M39" s="177" t="n"/>
      <c r="N39" s="177" t="n"/>
      <c r="O39" s="177" t="n"/>
      <c r="P39" s="177" t="n"/>
      <c r="Q39" s="177" t="n"/>
      <c r="R39" s="177" t="n"/>
      <c r="S39" s="177" t="n"/>
      <c r="T39" s="177" t="n"/>
      <c r="U39" s="177" t="n"/>
      <c r="V39" s="177" t="n"/>
      <c r="W39" s="177" t="n"/>
      <c r="X39" s="177" t="n"/>
      <c r="Y39" s="177" t="n"/>
    </row>
    <row r="40">
      <c r="A40" s="1166" t="n"/>
      <c r="B40" s="177" t="n"/>
      <c r="C40" s="177" t="n"/>
      <c r="D40" s="177" t="n"/>
      <c r="E40" s="177" t="n"/>
      <c r="F40" s="177" t="n"/>
      <c r="G40" s="177" t="n"/>
      <c r="H40" s="177" t="n"/>
      <c r="I40" s="177" t="n"/>
      <c r="J40" s="177" t="n"/>
      <c r="K40" s="177" t="n"/>
      <c r="L40" s="177" t="n"/>
      <c r="M40" s="177" t="n"/>
      <c r="N40" s="177" t="n"/>
      <c r="O40" s="177" t="n"/>
      <c r="P40" s="177" t="n"/>
      <c r="Q40" s="177" t="n"/>
      <c r="R40" s="177" t="n"/>
      <c r="S40" s="177" t="n"/>
      <c r="T40" s="177" t="n"/>
      <c r="U40" s="177" t="n"/>
      <c r="V40" s="177" t="n"/>
      <c r="W40" s="177" t="n"/>
      <c r="X40" s="177" t="n"/>
      <c r="Y40" s="177" t="n"/>
    </row>
    <row r="41">
      <c r="A41" s="1134" t="n"/>
      <c r="B41" s="177" t="n"/>
      <c r="C41" s="177" t="n"/>
      <c r="D41" s="177" t="n"/>
      <c r="E41" s="177" t="n"/>
      <c r="F41" s="177" t="n"/>
      <c r="G41" s="177" t="n"/>
      <c r="H41" s="177" t="n"/>
      <c r="I41" s="177" t="n"/>
      <c r="J41" s="177" t="n"/>
      <c r="K41" s="177" t="n"/>
      <c r="L41" s="177" t="n"/>
      <c r="M41" s="177" t="n"/>
      <c r="N41" s="177" t="n"/>
      <c r="O41" s="177" t="n"/>
      <c r="P41" s="177" t="n"/>
      <c r="Q41" s="177" t="n"/>
      <c r="R41" s="177" t="n"/>
      <c r="S41" s="177" t="n"/>
      <c r="T41" s="177" t="n"/>
      <c r="U41" s="177" t="n"/>
      <c r="V41" s="177" t="n"/>
      <c r="W41" s="177" t="n"/>
      <c r="X41" s="177" t="n"/>
      <c r="Y41" s="177" t="n"/>
    </row>
    <row r="42">
      <c r="A42" s="177" t="n"/>
      <c r="B42" s="177" t="n"/>
      <c r="C42" s="177" t="n"/>
      <c r="D42" s="177" t="n"/>
      <c r="E42" s="177" t="n"/>
      <c r="F42" s="177" t="n"/>
      <c r="G42" s="177" t="n"/>
      <c r="H42" s="177" t="n"/>
      <c r="I42" s="177" t="n"/>
      <c r="J42" s="177" t="n"/>
      <c r="K42" s="177" t="n"/>
      <c r="L42" s="177" t="n"/>
      <c r="M42" s="177" t="n"/>
      <c r="N42" s="177" t="n"/>
      <c r="O42" s="177" t="n"/>
      <c r="P42" s="177" t="n"/>
      <c r="Q42" s="177" t="n"/>
      <c r="R42" s="177" t="n"/>
      <c r="S42" s="177" t="n"/>
      <c r="T42" s="177" t="n"/>
      <c r="U42" s="177" t="n"/>
      <c r="V42" s="177" t="n"/>
      <c r="W42" s="177" t="n"/>
      <c r="X42" s="177" t="n"/>
      <c r="Y42" s="177" t="n"/>
    </row>
    <row r="43">
      <c r="A43" s="1132" t="n"/>
      <c r="B43" s="177" t="n"/>
      <c r="C43" s="177" t="n"/>
      <c r="D43" s="177" t="n"/>
      <c r="E43" s="177" t="n"/>
      <c r="F43" s="177" t="n"/>
      <c r="G43" s="177" t="n"/>
      <c r="H43" s="177" t="n"/>
      <c r="I43" s="177" t="n"/>
      <c r="J43" s="177" t="n"/>
      <c r="K43" s="177" t="n"/>
      <c r="L43" s="177" t="n"/>
      <c r="M43" s="177" t="n"/>
      <c r="N43" s="177" t="n"/>
      <c r="O43" s="177" t="n"/>
      <c r="P43" s="177" t="n"/>
      <c r="Q43" s="177" t="n"/>
      <c r="R43" s="177" t="n"/>
      <c r="S43" s="177" t="n"/>
      <c r="T43" s="177" t="n"/>
      <c r="U43" s="177" t="n"/>
      <c r="V43" s="177" t="n"/>
      <c r="W43" s="177" t="n"/>
      <c r="X43" s="177" t="n"/>
      <c r="Y43" s="177" t="n"/>
    </row>
    <row r="44">
      <c r="A44" s="177" t="n"/>
      <c r="B44" s="177" t="n"/>
      <c r="C44" s="177" t="n"/>
      <c r="D44" s="177" t="n"/>
      <c r="E44" s="177" t="n"/>
      <c r="F44" s="177" t="n"/>
      <c r="G44" s="177" t="n"/>
      <c r="H44" s="177" t="n"/>
      <c r="I44" s="177" t="n"/>
      <c r="J44" s="177" t="n"/>
      <c r="K44" s="177" t="n"/>
      <c r="L44" s="177" t="n"/>
      <c r="M44" s="177" t="n"/>
      <c r="N44" s="177" t="n"/>
      <c r="O44" s="177" t="n"/>
      <c r="P44" s="177" t="n"/>
      <c r="Q44" s="177" t="n"/>
      <c r="R44" s="177" t="n"/>
      <c r="S44" s="177" t="n"/>
      <c r="T44" s="177" t="n"/>
      <c r="U44" s="177" t="n"/>
      <c r="V44" s="177" t="n"/>
      <c r="W44" s="177" t="n"/>
      <c r="X44" s="177" t="n"/>
      <c r="Y44" s="177" t="n"/>
    </row>
    <row r="45">
      <c r="A45" s="177" t="n"/>
      <c r="B45" s="177" t="n"/>
      <c r="C45" s="177" t="n"/>
      <c r="D45" s="177" t="n"/>
      <c r="E45" s="177" t="n"/>
      <c r="F45" s="177" t="n"/>
      <c r="G45" s="177" t="n"/>
      <c r="H45" s="177" t="n"/>
      <c r="I45" s="177" t="n"/>
      <c r="J45" s="177" t="n"/>
      <c r="K45" s="177" t="n"/>
      <c r="L45" s="177" t="n"/>
      <c r="M45" s="177" t="n"/>
      <c r="N45" s="177" t="n"/>
      <c r="O45" s="177" t="n"/>
      <c r="P45" s="177" t="n"/>
      <c r="Q45" s="177" t="n"/>
      <c r="R45" s="177" t="n"/>
      <c r="S45" s="177" t="n"/>
      <c r="T45" s="177" t="n"/>
      <c r="U45" s="177" t="n"/>
      <c r="V45" s="177" t="n"/>
      <c r="W45" s="177" t="n"/>
      <c r="X45" s="177" t="n"/>
      <c r="Y45" s="177" t="n"/>
    </row>
    <row r="46">
      <c r="A46" s="177" t="n"/>
      <c r="B46" s="177" t="n"/>
      <c r="C46" s="177" t="n"/>
      <c r="D46" s="177" t="n"/>
      <c r="E46" s="177" t="n"/>
      <c r="F46" s="177" t="n"/>
      <c r="G46" s="177" t="n"/>
      <c r="H46" s="177" t="n"/>
      <c r="I46" s="177" t="n"/>
      <c r="J46" s="177" t="n"/>
      <c r="K46" s="177" t="n"/>
      <c r="L46" s="177" t="n"/>
      <c r="M46" s="177" t="n"/>
      <c r="N46" s="177" t="n"/>
      <c r="O46" s="177" t="n"/>
      <c r="P46" s="177" t="n"/>
      <c r="Q46" s="177" t="n"/>
      <c r="R46" s="177" t="n"/>
      <c r="S46" s="177" t="n"/>
      <c r="T46" s="177" t="n"/>
      <c r="U46" s="177" t="n"/>
      <c r="V46" s="177" t="n"/>
      <c r="W46" s="177" t="n"/>
      <c r="X46" s="177" t="n"/>
      <c r="Y46" s="177" t="n"/>
    </row>
    <row r="47">
      <c r="A47" s="177" t="n"/>
      <c r="B47" s="177" t="n"/>
      <c r="C47" s="177" t="n"/>
      <c r="D47" s="177" t="n"/>
      <c r="E47" s="177" t="n"/>
      <c r="F47" s="177" t="n"/>
      <c r="G47" s="177" t="n"/>
      <c r="H47" s="177" t="n"/>
      <c r="I47" s="177" t="n"/>
      <c r="J47" s="177" t="n"/>
      <c r="K47" s="177" t="n"/>
      <c r="L47" s="177" t="n"/>
      <c r="M47" s="177" t="n"/>
      <c r="N47" s="177" t="n"/>
      <c r="O47" s="177" t="n"/>
      <c r="P47" s="177" t="n"/>
      <c r="Q47" s="177" t="n"/>
      <c r="R47" s="177" t="n"/>
      <c r="S47" s="177" t="n"/>
      <c r="T47" s="177" t="n"/>
      <c r="U47" s="177" t="n"/>
      <c r="V47" s="177" t="n"/>
      <c r="W47" s="177" t="n"/>
      <c r="X47" s="177" t="n"/>
      <c r="Y47" s="177" t="n"/>
    </row>
    <row r="48">
      <c r="A48" s="177" t="n"/>
      <c r="B48" s="177" t="n"/>
      <c r="C48" s="177" t="n"/>
      <c r="D48" s="177" t="n"/>
      <c r="E48" s="177" t="n"/>
      <c r="F48" s="177" t="n"/>
      <c r="G48" s="177" t="n"/>
      <c r="H48" s="177" t="n"/>
      <c r="I48" s="177" t="n"/>
      <c r="J48" s="177" t="n"/>
      <c r="K48" s="177" t="n"/>
      <c r="L48" s="177" t="n"/>
      <c r="M48" s="177" t="n"/>
      <c r="N48" s="177" t="n"/>
      <c r="O48" s="177" t="n"/>
      <c r="P48" s="177" t="n"/>
      <c r="Q48" s="177" t="n"/>
      <c r="R48" s="177" t="n"/>
      <c r="S48" s="177" t="n"/>
      <c r="T48" s="177" t="n"/>
      <c r="U48" s="177" t="n"/>
      <c r="V48" s="177" t="n"/>
      <c r="W48" s="177" t="n"/>
      <c r="X48" s="177" t="n"/>
      <c r="Y48" s="177" t="n"/>
    </row>
    <row r="49">
      <c r="A49" s="177" t="n"/>
      <c r="B49" s="177" t="n"/>
      <c r="C49" s="177" t="n"/>
      <c r="D49" s="177" t="n"/>
      <c r="E49" s="177" t="n"/>
      <c r="F49" s="177" t="n"/>
      <c r="G49" s="177" t="n"/>
      <c r="H49" s="177" t="n"/>
      <c r="I49" s="177" t="n"/>
      <c r="J49" s="177" t="n"/>
      <c r="K49" s="177" t="n"/>
      <c r="L49" s="177" t="n"/>
      <c r="M49" s="177" t="n"/>
      <c r="N49" s="177" t="n"/>
      <c r="O49" s="177" t="n"/>
      <c r="P49" s="177" t="n"/>
      <c r="Q49" s="177" t="n"/>
      <c r="R49" s="177" t="n"/>
      <c r="S49" s="177" t="n"/>
      <c r="T49" s="177" t="n"/>
      <c r="U49" s="177" t="n"/>
      <c r="V49" s="177" t="n"/>
      <c r="W49" s="177" t="n"/>
      <c r="X49" s="177" t="n"/>
      <c r="Y49" s="177" t="n"/>
    </row>
    <row r="50">
      <c r="A50" s="177" t="n"/>
      <c r="B50" s="177" t="n"/>
      <c r="C50" s="177" t="n"/>
      <c r="D50" s="177" t="n"/>
      <c r="E50" s="177" t="n"/>
      <c r="F50" s="177" t="n"/>
      <c r="G50" s="177" t="n"/>
      <c r="H50" s="177" t="n"/>
      <c r="I50" s="177" t="n"/>
      <c r="J50" s="177" t="n"/>
      <c r="K50" s="177" t="n"/>
      <c r="L50" s="177" t="n"/>
      <c r="M50" s="177" t="n"/>
      <c r="N50" s="177" t="n"/>
      <c r="O50" s="177" t="n"/>
      <c r="P50" s="177" t="n"/>
      <c r="Q50" s="177" t="n"/>
      <c r="R50" s="177" t="n"/>
      <c r="S50" s="177" t="n"/>
      <c r="T50" s="177" t="n"/>
      <c r="U50" s="177" t="n"/>
      <c r="V50" s="177" t="n"/>
      <c r="W50" s="177" t="n"/>
      <c r="X50" s="177" t="n"/>
      <c r="Y50" s="177" t="n"/>
    </row>
    <row r="51">
      <c r="A51" s="177" t="n"/>
      <c r="B51" s="177" t="n"/>
      <c r="C51" s="177" t="n"/>
      <c r="D51" s="177" t="n"/>
      <c r="E51" s="177" t="n"/>
      <c r="F51" s="177" t="n"/>
      <c r="G51" s="177" t="n"/>
      <c r="H51" s="177" t="n"/>
      <c r="I51" s="177" t="n"/>
      <c r="J51" s="177" t="n"/>
      <c r="K51" s="177" t="n"/>
      <c r="L51" s="177" t="n"/>
      <c r="M51" s="177" t="n"/>
      <c r="N51" s="177" t="n"/>
      <c r="O51" s="177" t="n"/>
      <c r="P51" s="177" t="n"/>
      <c r="Q51" s="177" t="n"/>
      <c r="R51" s="177" t="n"/>
      <c r="S51" s="177" t="n"/>
      <c r="T51" s="177" t="n"/>
      <c r="U51" s="177" t="n"/>
      <c r="V51" s="177" t="n"/>
      <c r="W51" s="177" t="n"/>
      <c r="X51" s="177" t="n"/>
      <c r="Y51" s="177" t="n"/>
    </row>
    <row r="52">
      <c r="A52" s="177" t="n"/>
      <c r="B52" s="177" t="n"/>
      <c r="C52" s="177" t="n"/>
      <c r="D52" s="177" t="n"/>
      <c r="E52" s="177" t="n"/>
      <c r="F52" s="177" t="n"/>
      <c r="G52" s="177" t="n"/>
      <c r="H52" s="177" t="n"/>
      <c r="I52" s="177" t="n"/>
      <c r="J52" s="177" t="n"/>
      <c r="K52" s="177" t="n"/>
      <c r="L52" s="177" t="n"/>
      <c r="M52" s="177" t="n"/>
      <c r="N52" s="177" t="n"/>
      <c r="O52" s="177" t="n"/>
      <c r="P52" s="177" t="n"/>
      <c r="Q52" s="177" t="n"/>
      <c r="R52" s="177" t="n"/>
      <c r="S52" s="177" t="n"/>
      <c r="T52" s="177" t="n"/>
      <c r="U52" s="177" t="n"/>
      <c r="V52" s="177" t="n"/>
      <c r="W52" s="177" t="n"/>
      <c r="X52" s="177" t="n"/>
      <c r="Y52" s="177" t="n"/>
    </row>
    <row r="53">
      <c r="A53" s="177" t="n"/>
      <c r="B53" s="177" t="n"/>
      <c r="C53" s="177" t="n"/>
      <c r="D53" s="177" t="n"/>
      <c r="E53" s="177" t="n"/>
      <c r="F53" s="177" t="n"/>
      <c r="G53" s="177" t="n"/>
      <c r="H53" s="177" t="n"/>
      <c r="I53" s="177" t="n"/>
      <c r="J53" s="177" t="n"/>
      <c r="K53" s="177" t="n"/>
      <c r="L53" s="177" t="n"/>
      <c r="M53" s="177" t="n"/>
      <c r="N53" s="177" t="n"/>
      <c r="O53" s="177" t="n"/>
      <c r="P53" s="177" t="n"/>
      <c r="Q53" s="177" t="n"/>
      <c r="R53" s="177" t="n"/>
      <c r="S53" s="177" t="n"/>
      <c r="T53" s="177" t="n"/>
      <c r="U53" s="177" t="n"/>
      <c r="V53" s="177" t="n"/>
      <c r="W53" s="177" t="n"/>
      <c r="X53" s="177" t="n"/>
      <c r="Y53" s="177" t="n"/>
    </row>
    <row r="54">
      <c r="A54" s="177" t="n"/>
      <c r="B54" s="177" t="n"/>
      <c r="C54" s="177" t="n"/>
      <c r="D54" s="177" t="n"/>
      <c r="E54" s="177" t="n"/>
      <c r="F54" s="177" t="n"/>
      <c r="G54" s="177" t="n"/>
      <c r="H54" s="177" t="n"/>
      <c r="I54" s="177" t="n"/>
      <c r="J54" s="177" t="n"/>
      <c r="K54" s="177" t="n"/>
      <c r="L54" s="177" t="n"/>
      <c r="M54" s="177" t="n"/>
      <c r="N54" s="177" t="n"/>
      <c r="O54" s="177" t="n"/>
      <c r="P54" s="177" t="n"/>
      <c r="Q54" s="177" t="n"/>
      <c r="R54" s="177" t="n"/>
      <c r="S54" s="177" t="n"/>
      <c r="T54" s="177" t="n"/>
      <c r="U54" s="177" t="n"/>
      <c r="V54" s="177" t="n"/>
      <c r="W54" s="177" t="n"/>
      <c r="X54" s="177" t="n"/>
      <c r="Y54" s="177" t="n"/>
    </row>
    <row r="55">
      <c r="A55" s="177" t="n"/>
      <c r="B55" s="177" t="n"/>
      <c r="C55" s="177" t="n"/>
      <c r="D55" s="177" t="n"/>
      <c r="E55" s="177" t="n"/>
      <c r="F55" s="177" t="n"/>
      <c r="G55" s="177" t="n"/>
      <c r="H55" s="177" t="n"/>
      <c r="I55" s="177" t="n"/>
      <c r="J55" s="177" t="n"/>
      <c r="K55" s="177" t="n"/>
      <c r="L55" s="177" t="n"/>
      <c r="M55" s="177" t="n"/>
      <c r="N55" s="177" t="n"/>
      <c r="O55" s="177" t="n"/>
      <c r="P55" s="177" t="n"/>
      <c r="Q55" s="177" t="n"/>
      <c r="R55" s="177" t="n"/>
      <c r="S55" s="177" t="n"/>
      <c r="T55" s="177" t="n"/>
      <c r="U55" s="177" t="n"/>
      <c r="V55" s="177" t="n"/>
      <c r="W55" s="177" t="n"/>
      <c r="X55" s="177" t="n"/>
      <c r="Y55" s="177" t="n"/>
    </row>
    <row r="56">
      <c r="A56" s="177" t="n"/>
      <c r="B56" s="177" t="n"/>
      <c r="C56" s="177" t="n"/>
      <c r="D56" s="177" t="n"/>
      <c r="E56" s="177" t="n"/>
      <c r="F56" s="177" t="n"/>
      <c r="G56" s="177" t="n"/>
      <c r="H56" s="177" t="n"/>
      <c r="I56" s="177" t="n"/>
      <c r="J56" s="177" t="n"/>
      <c r="K56" s="177" t="n"/>
      <c r="L56" s="177" t="n"/>
      <c r="M56" s="177" t="n"/>
      <c r="N56" s="177" t="n"/>
      <c r="O56" s="177" t="n"/>
      <c r="P56" s="177" t="n"/>
      <c r="Q56" s="177" t="n"/>
      <c r="R56" s="177" t="n"/>
      <c r="S56" s="177" t="n"/>
      <c r="T56" s="177" t="n"/>
      <c r="U56" s="177" t="n"/>
      <c r="V56" s="177" t="n"/>
      <c r="W56" s="177" t="n"/>
      <c r="X56" s="177" t="n"/>
      <c r="Y56" s="177" t="n"/>
    </row>
    <row r="57">
      <c r="A57" s="177" t="n"/>
      <c r="B57" s="177" t="n"/>
      <c r="C57" s="177" t="n"/>
      <c r="D57" s="177" t="n"/>
      <c r="E57" s="177" t="n"/>
      <c r="F57" s="177" t="n"/>
      <c r="G57" s="177" t="n"/>
      <c r="H57" s="177" t="n"/>
      <c r="I57" s="177" t="n"/>
      <c r="J57" s="177" t="n"/>
      <c r="K57" s="177" t="n"/>
      <c r="L57" s="177" t="n"/>
      <c r="M57" s="177" t="n"/>
      <c r="N57" s="177" t="n"/>
      <c r="O57" s="177" t="n"/>
      <c r="P57" s="177" t="n"/>
      <c r="Q57" s="177" t="n"/>
      <c r="R57" s="177" t="n"/>
      <c r="S57" s="177" t="n"/>
      <c r="T57" s="177" t="n"/>
      <c r="U57" s="177" t="n"/>
      <c r="V57" s="177" t="n"/>
      <c r="W57" s="177" t="n"/>
      <c r="X57" s="177" t="n"/>
      <c r="Y57" s="177" t="n"/>
    </row>
    <row r="58">
      <c r="A58" s="177" t="n"/>
      <c r="B58" s="177" t="n"/>
      <c r="C58" s="177" t="n"/>
      <c r="D58" s="177" t="n"/>
      <c r="E58" s="177" t="n"/>
      <c r="F58" s="177" t="n"/>
      <c r="G58" s="177" t="n"/>
      <c r="H58" s="177" t="n"/>
      <c r="I58" s="177" t="n"/>
      <c r="J58" s="177" t="n"/>
      <c r="K58" s="177" t="n"/>
      <c r="L58" s="177" t="n"/>
      <c r="M58" s="177" t="n"/>
      <c r="N58" s="177" t="n"/>
      <c r="O58" s="177" t="n"/>
      <c r="P58" s="177" t="n"/>
      <c r="Q58" s="177" t="n"/>
      <c r="R58" s="177" t="n"/>
      <c r="S58" s="177" t="n"/>
      <c r="T58" s="177" t="n"/>
      <c r="U58" s="177" t="n"/>
      <c r="V58" s="177" t="n"/>
      <c r="W58" s="177" t="n"/>
      <c r="X58" s="177" t="n"/>
      <c r="Y58" s="177" t="n"/>
    </row>
    <row r="59">
      <c r="A59" s="177" t="n"/>
      <c r="B59" s="177" t="n"/>
      <c r="C59" s="177" t="n"/>
      <c r="D59" s="177" t="n"/>
      <c r="E59" s="177" t="n"/>
      <c r="F59" s="177" t="n"/>
      <c r="G59" s="177" t="n"/>
      <c r="H59" s="177" t="n"/>
      <c r="I59" s="177" t="n"/>
      <c r="J59" s="177" t="n"/>
      <c r="K59" s="177" t="n"/>
      <c r="L59" s="177" t="n"/>
      <c r="M59" s="177" t="n"/>
      <c r="N59" s="177" t="n"/>
      <c r="O59" s="177" t="n"/>
      <c r="P59" s="177" t="n"/>
      <c r="Q59" s="177" t="n"/>
      <c r="R59" s="177" t="n"/>
      <c r="S59" s="177" t="n"/>
      <c r="T59" s="177" t="n"/>
      <c r="U59" s="177" t="n"/>
      <c r="V59" s="177" t="n"/>
      <c r="W59" s="177" t="n"/>
      <c r="X59" s="177" t="n"/>
      <c r="Y59" s="177" t="n"/>
    </row>
    <row r="60">
      <c r="A60" s="177" t="n"/>
      <c r="B60" s="177" t="n"/>
      <c r="C60" s="177" t="n"/>
      <c r="D60" s="177" t="n"/>
      <c r="E60" s="177" t="n"/>
      <c r="F60" s="177" t="n"/>
      <c r="G60" s="177" t="n"/>
      <c r="H60" s="177" t="n"/>
      <c r="I60" s="177" t="n"/>
      <c r="J60" s="177" t="n"/>
      <c r="K60" s="177" t="n"/>
      <c r="L60" s="177" t="n"/>
      <c r="M60" s="177" t="n"/>
      <c r="N60" s="177" t="n"/>
      <c r="O60" s="177" t="n"/>
      <c r="P60" s="177" t="n"/>
      <c r="Q60" s="177" t="n"/>
      <c r="R60" s="177" t="n"/>
      <c r="S60" s="177" t="n"/>
      <c r="T60" s="177" t="n"/>
      <c r="U60" s="177" t="n"/>
      <c r="V60" s="177" t="n"/>
      <c r="W60" s="177" t="n"/>
      <c r="X60" s="177" t="n"/>
      <c r="Y60" s="177" t="n"/>
    </row>
    <row r="61">
      <c r="A61" s="177" t="n"/>
      <c r="B61" s="177" t="n"/>
      <c r="C61" s="177" t="n"/>
      <c r="D61" s="177" t="n"/>
      <c r="E61" s="177" t="n"/>
      <c r="F61" s="177" t="n"/>
      <c r="G61" s="177" t="n"/>
      <c r="H61" s="177" t="n"/>
      <c r="I61" s="177" t="n"/>
      <c r="J61" s="177" t="n"/>
      <c r="K61" s="177" t="n"/>
      <c r="L61" s="177" t="n"/>
      <c r="M61" s="177" t="n"/>
      <c r="N61" s="177" t="n"/>
      <c r="O61" s="177" t="n"/>
      <c r="P61" s="177" t="n"/>
      <c r="Q61" s="177" t="n"/>
      <c r="R61" s="177" t="n"/>
      <c r="S61" s="177" t="n"/>
      <c r="T61" s="177" t="n"/>
      <c r="U61" s="177" t="n"/>
      <c r="V61" s="177" t="n"/>
      <c r="W61" s="177" t="n"/>
      <c r="X61" s="177" t="n"/>
      <c r="Y61" s="177" t="n"/>
    </row>
    <row r="62">
      <c r="A62" s="177" t="n"/>
      <c r="B62" s="177" t="n"/>
      <c r="C62" s="177" t="n"/>
      <c r="D62" s="177" t="n"/>
      <c r="E62" s="177" t="n"/>
      <c r="F62" s="177" t="n"/>
      <c r="G62" s="177" t="n"/>
      <c r="H62" s="177" t="n"/>
      <c r="I62" s="177" t="n"/>
      <c r="J62" s="177" t="n"/>
      <c r="K62" s="177" t="n"/>
      <c r="L62" s="177" t="n"/>
      <c r="M62" s="177" t="n"/>
      <c r="N62" s="177" t="n"/>
      <c r="O62" s="177" t="n"/>
      <c r="P62" s="177" t="n"/>
      <c r="Q62" s="177" t="n"/>
      <c r="R62" s="177" t="n"/>
      <c r="S62" s="177" t="n"/>
      <c r="T62" s="177" t="n"/>
      <c r="U62" s="177" t="n"/>
      <c r="V62" s="177" t="n"/>
      <c r="W62" s="177" t="n"/>
      <c r="X62" s="177" t="n"/>
      <c r="Y62" s="177" t="n"/>
    </row>
    <row r="63">
      <c r="A63" s="177" t="n"/>
      <c r="B63" s="177" t="n"/>
      <c r="C63" s="177" t="n"/>
      <c r="D63" s="177" t="n"/>
      <c r="E63" s="177" t="n"/>
      <c r="F63" s="177" t="n"/>
      <c r="G63" s="177" t="n"/>
      <c r="H63" s="177" t="n"/>
      <c r="I63" s="177" t="n"/>
      <c r="J63" s="177" t="n"/>
      <c r="K63" s="177" t="n"/>
      <c r="L63" s="177" t="n"/>
      <c r="M63" s="177" t="n"/>
      <c r="N63" s="177" t="n"/>
      <c r="O63" s="177" t="n"/>
      <c r="P63" s="177" t="n"/>
      <c r="Q63" s="177" t="n"/>
      <c r="R63" s="177" t="n"/>
      <c r="S63" s="177" t="n"/>
      <c r="T63" s="177" t="n"/>
      <c r="U63" s="177" t="n"/>
      <c r="V63" s="177" t="n"/>
      <c r="W63" s="177" t="n"/>
      <c r="X63" s="177" t="n"/>
      <c r="Y63" s="177" t="n"/>
    </row>
    <row r="64">
      <c r="A64" s="177" t="n"/>
      <c r="B64" s="177" t="n"/>
      <c r="C64" s="177" t="n"/>
      <c r="D64" s="177" t="n"/>
      <c r="E64" s="177" t="n"/>
      <c r="F64" s="177" t="n"/>
      <c r="G64" s="177" t="n"/>
      <c r="H64" s="177" t="n"/>
      <c r="I64" s="177" t="n"/>
      <c r="J64" s="177" t="n"/>
      <c r="K64" s="177" t="n"/>
      <c r="L64" s="177" t="n"/>
      <c r="M64" s="177" t="n"/>
      <c r="N64" s="177" t="n"/>
      <c r="O64" s="177" t="n"/>
      <c r="P64" s="177" t="n"/>
      <c r="Q64" s="177" t="n"/>
      <c r="R64" s="177" t="n"/>
      <c r="S64" s="177" t="n"/>
      <c r="T64" s="177" t="n"/>
      <c r="U64" s="177" t="n"/>
      <c r="V64" s="177" t="n"/>
      <c r="W64" s="177" t="n"/>
      <c r="X64" s="177" t="n"/>
      <c r="Y64" s="177" t="n"/>
    </row>
    <row r="65">
      <c r="A65" s="177" t="n"/>
      <c r="B65" s="177" t="n"/>
      <c r="C65" s="177" t="n"/>
      <c r="D65" s="177" t="n"/>
      <c r="E65" s="177" t="n"/>
      <c r="F65" s="177" t="n"/>
      <c r="G65" s="177" t="n"/>
      <c r="H65" s="177" t="n"/>
      <c r="I65" s="177" t="n"/>
      <c r="J65" s="177" t="n"/>
      <c r="K65" s="177" t="n"/>
      <c r="L65" s="177" t="n"/>
      <c r="M65" s="177" t="n"/>
      <c r="N65" s="177" t="n"/>
      <c r="O65" s="177" t="n"/>
      <c r="P65" s="177" t="n"/>
      <c r="Q65" s="177" t="n"/>
      <c r="R65" s="177" t="n"/>
      <c r="S65" s="177" t="n"/>
      <c r="T65" s="177" t="n"/>
      <c r="U65" s="177" t="n"/>
      <c r="V65" s="177" t="n"/>
      <c r="W65" s="177" t="n"/>
      <c r="X65" s="177" t="n"/>
      <c r="Y65" s="177" t="n"/>
    </row>
    <row r="66">
      <c r="A66" s="177" t="n"/>
      <c r="B66" s="177" t="n"/>
      <c r="C66" s="177" t="n"/>
      <c r="D66" s="177" t="n"/>
      <c r="E66" s="177" t="n"/>
      <c r="F66" s="177" t="n"/>
      <c r="G66" s="177" t="n"/>
      <c r="H66" s="177" t="n"/>
      <c r="I66" s="177" t="n"/>
      <c r="J66" s="177" t="n"/>
      <c r="K66" s="177" t="n"/>
      <c r="L66" s="177" t="n"/>
      <c r="M66" s="177" t="n"/>
      <c r="N66" s="177" t="n"/>
      <c r="O66" s="177" t="n"/>
      <c r="P66" s="177" t="n"/>
      <c r="Q66" s="177" t="n"/>
      <c r="R66" s="177" t="n"/>
      <c r="S66" s="177" t="n"/>
      <c r="T66" s="177" t="n"/>
      <c r="U66" s="177" t="n"/>
      <c r="V66" s="177" t="n"/>
      <c r="W66" s="177" t="n"/>
      <c r="X66" s="177" t="n"/>
      <c r="Y66" s="177" t="n"/>
    </row>
    <row r="67">
      <c r="A67" s="177" t="n"/>
      <c r="B67" s="177" t="n"/>
      <c r="C67" s="177" t="n"/>
      <c r="D67" s="177" t="n"/>
      <c r="E67" s="177" t="n"/>
      <c r="F67" s="177" t="n"/>
      <c r="G67" s="177" t="n"/>
      <c r="H67" s="177" t="n"/>
      <c r="I67" s="177" t="n"/>
      <c r="J67" s="177" t="n"/>
      <c r="K67" s="177" t="n"/>
      <c r="L67" s="177" t="n"/>
      <c r="M67" s="177" t="n"/>
      <c r="N67" s="177" t="n"/>
      <c r="O67" s="177" t="n"/>
      <c r="P67" s="177" t="n"/>
      <c r="Q67" s="177" t="n"/>
      <c r="R67" s="177" t="n"/>
      <c r="S67" s="177" t="n"/>
      <c r="T67" s="177" t="n"/>
      <c r="U67" s="177" t="n"/>
      <c r="V67" s="177" t="n"/>
      <c r="W67" s="177" t="n"/>
      <c r="X67" s="177" t="n"/>
      <c r="Y67" s="177" t="n"/>
    </row>
    <row r="68">
      <c r="A68" s="177" t="n"/>
      <c r="B68" s="177" t="n"/>
      <c r="C68" s="177" t="n"/>
      <c r="D68" s="177" t="n"/>
      <c r="E68" s="177" t="n"/>
      <c r="F68" s="177" t="n"/>
      <c r="G68" s="177" t="n"/>
      <c r="H68" s="177" t="n"/>
      <c r="I68" s="177" t="n"/>
      <c r="J68" s="177" t="n"/>
      <c r="K68" s="177" t="n"/>
      <c r="L68" s="177" t="n"/>
      <c r="M68" s="177" t="n"/>
      <c r="N68" s="177" t="n"/>
      <c r="O68" s="177" t="n"/>
      <c r="P68" s="177" t="n"/>
      <c r="Q68" s="177" t="n"/>
      <c r="R68" s="177" t="n"/>
      <c r="S68" s="177" t="n"/>
      <c r="T68" s="177" t="n"/>
      <c r="U68" s="177" t="n"/>
      <c r="V68" s="177" t="n"/>
      <c r="W68" s="177" t="n"/>
      <c r="X68" s="177" t="n"/>
      <c r="Y68" s="177" t="n"/>
    </row>
    <row r="69">
      <c r="A69" s="177" t="n"/>
      <c r="B69" s="177" t="n"/>
      <c r="C69" s="177" t="n"/>
      <c r="D69" s="177" t="n"/>
      <c r="E69" s="177" t="n"/>
      <c r="F69" s="177" t="n"/>
      <c r="G69" s="177" t="n"/>
      <c r="H69" s="177" t="n"/>
      <c r="I69" s="177" t="n"/>
      <c r="J69" s="177" t="n"/>
      <c r="K69" s="177" t="n"/>
      <c r="L69" s="177" t="n"/>
      <c r="M69" s="177" t="n"/>
      <c r="N69" s="177" t="n"/>
      <c r="O69" s="177" t="n"/>
      <c r="P69" s="177" t="n"/>
      <c r="Q69" s="177" t="n"/>
      <c r="R69" s="177" t="n"/>
      <c r="S69" s="177" t="n"/>
      <c r="T69" s="177" t="n"/>
      <c r="U69" s="177" t="n"/>
      <c r="V69" s="177" t="n"/>
      <c r="W69" s="177" t="n"/>
      <c r="X69" s="177" t="n"/>
      <c r="Y69" s="177" t="n"/>
    </row>
    <row r="70">
      <c r="A70" s="177" t="n"/>
      <c r="B70" s="177" t="n"/>
      <c r="C70" s="177" t="n"/>
      <c r="D70" s="177" t="n"/>
      <c r="E70" s="177" t="n"/>
      <c r="F70" s="177" t="n"/>
      <c r="G70" s="177" t="n"/>
      <c r="H70" s="177" t="n"/>
      <c r="I70" s="177" t="n"/>
      <c r="J70" s="177" t="n"/>
      <c r="K70" s="177" t="n"/>
      <c r="L70" s="177" t="n"/>
      <c r="M70" s="177" t="n"/>
      <c r="N70" s="177" t="n"/>
      <c r="O70" s="177" t="n"/>
      <c r="P70" s="177" t="n"/>
      <c r="Q70" s="177" t="n"/>
      <c r="R70" s="177" t="n"/>
      <c r="S70" s="177" t="n"/>
      <c r="T70" s="177" t="n"/>
      <c r="U70" s="177" t="n"/>
      <c r="V70" s="177" t="n"/>
      <c r="W70" s="177" t="n"/>
      <c r="X70" s="177" t="n"/>
      <c r="Y70" s="177" t="n"/>
    </row>
    <row r="71">
      <c r="A71" s="177" t="n"/>
      <c r="B71" s="177" t="n"/>
      <c r="C71" s="177" t="n"/>
      <c r="D71" s="177" t="n"/>
      <c r="E71" s="177" t="n"/>
      <c r="F71" s="177" t="n"/>
      <c r="G71" s="177" t="n"/>
      <c r="H71" s="177" t="n"/>
      <c r="I71" s="177" t="n"/>
      <c r="J71" s="177" t="n"/>
      <c r="K71" s="177" t="n"/>
      <c r="L71" s="177" t="n"/>
      <c r="M71" s="177" t="n"/>
      <c r="N71" s="177" t="n"/>
      <c r="O71" s="177" t="n"/>
      <c r="P71" s="177" t="n"/>
      <c r="Q71" s="177" t="n"/>
      <c r="R71" s="177" t="n"/>
      <c r="S71" s="177" t="n"/>
      <c r="T71" s="177" t="n"/>
      <c r="U71" s="177" t="n"/>
      <c r="V71" s="177" t="n"/>
      <c r="W71" s="177" t="n"/>
      <c r="X71" s="177" t="n"/>
      <c r="Y71" s="177" t="n"/>
    </row>
    <row r="72">
      <c r="A72" s="177" t="n"/>
      <c r="B72" s="177" t="n"/>
      <c r="C72" s="177" t="n"/>
      <c r="D72" s="177" t="n"/>
      <c r="E72" s="177" t="n"/>
      <c r="F72" s="177" t="n"/>
      <c r="G72" s="177" t="n"/>
      <c r="H72" s="177" t="n"/>
      <c r="I72" s="177" t="n"/>
      <c r="J72" s="177" t="n"/>
      <c r="K72" s="177" t="n"/>
      <c r="L72" s="177" t="n"/>
      <c r="M72" s="177" t="n"/>
      <c r="N72" s="177" t="n"/>
      <c r="O72" s="177" t="n"/>
      <c r="P72" s="177" t="n"/>
      <c r="Q72" s="177" t="n"/>
      <c r="R72" s="177" t="n"/>
      <c r="S72" s="177" t="n"/>
      <c r="T72" s="177" t="n"/>
      <c r="U72" s="177" t="n"/>
      <c r="V72" s="177" t="n"/>
      <c r="W72" s="177" t="n"/>
      <c r="X72" s="177" t="n"/>
      <c r="Y72" s="177" t="n"/>
    </row>
    <row r="73">
      <c r="A73" s="177" t="n"/>
      <c r="B73" s="177" t="n"/>
      <c r="C73" s="177" t="n"/>
      <c r="D73" s="177" t="n"/>
      <c r="E73" s="177" t="n"/>
      <c r="F73" s="177" t="n"/>
      <c r="G73" s="177" t="n"/>
      <c r="H73" s="177" t="n"/>
      <c r="I73" s="177" t="n"/>
      <c r="J73" s="177" t="n"/>
      <c r="K73" s="177" t="n"/>
      <c r="L73" s="177" t="n"/>
      <c r="M73" s="177" t="n"/>
      <c r="N73" s="177" t="n"/>
      <c r="O73" s="177" t="n"/>
      <c r="P73" s="177" t="n"/>
      <c r="Q73" s="177" t="n"/>
      <c r="R73" s="177" t="n"/>
      <c r="S73" s="177" t="n"/>
      <c r="T73" s="177" t="n"/>
      <c r="U73" s="177" t="n"/>
      <c r="V73" s="177" t="n"/>
      <c r="W73" s="177" t="n"/>
      <c r="X73" s="177" t="n"/>
      <c r="Y73" s="177" t="n"/>
    </row>
    <row r="74">
      <c r="A74" s="177" t="n"/>
      <c r="B74" s="177" t="n"/>
      <c r="C74" s="177" t="n"/>
      <c r="D74" s="177" t="n"/>
      <c r="E74" s="177" t="n"/>
      <c r="F74" s="177" t="n"/>
      <c r="G74" s="177" t="n"/>
      <c r="H74" s="177" t="n"/>
      <c r="I74" s="177" t="n"/>
      <c r="J74" s="177" t="n"/>
      <c r="K74" s="177" t="n"/>
      <c r="L74" s="177" t="n"/>
      <c r="M74" s="177" t="n"/>
      <c r="N74" s="177" t="n"/>
      <c r="O74" s="177" t="n"/>
      <c r="P74" s="177" t="n"/>
      <c r="Q74" s="177" t="n"/>
      <c r="R74" s="177" t="n"/>
      <c r="S74" s="177" t="n"/>
      <c r="T74" s="177" t="n"/>
      <c r="U74" s="177" t="n"/>
      <c r="V74" s="177" t="n"/>
      <c r="W74" s="177" t="n"/>
      <c r="X74" s="177" t="n"/>
      <c r="Y74" s="177" t="n"/>
    </row>
    <row r="75">
      <c r="A75" s="177" t="n"/>
      <c r="B75" s="177" t="n"/>
      <c r="C75" s="177" t="n"/>
      <c r="D75" s="177" t="n"/>
      <c r="E75" s="177" t="n"/>
      <c r="F75" s="177" t="n"/>
      <c r="G75" s="177" t="n"/>
      <c r="H75" s="177" t="n"/>
      <c r="I75" s="177" t="n"/>
      <c r="J75" s="177" t="n"/>
      <c r="K75" s="177" t="n"/>
      <c r="L75" s="177" t="n"/>
      <c r="M75" s="177" t="n"/>
      <c r="N75" s="177" t="n"/>
      <c r="O75" s="177" t="n"/>
      <c r="P75" s="177" t="n"/>
      <c r="Q75" s="177" t="n"/>
      <c r="R75" s="177" t="n"/>
      <c r="S75" s="177" t="n"/>
      <c r="T75" s="177" t="n"/>
      <c r="U75" s="177" t="n"/>
      <c r="V75" s="177" t="n"/>
      <c r="W75" s="177" t="n"/>
      <c r="X75" s="177" t="n"/>
      <c r="Y75" s="177" t="n"/>
    </row>
    <row r="76">
      <c r="A76" s="177" t="n"/>
      <c r="B76" s="177" t="n"/>
      <c r="C76" s="177" t="n"/>
      <c r="D76" s="177" t="n"/>
      <c r="E76" s="177" t="n"/>
      <c r="F76" s="177" t="n"/>
      <c r="G76" s="177" t="n"/>
      <c r="H76" s="177" t="n"/>
      <c r="I76" s="177" t="n"/>
      <c r="J76" s="177" t="n"/>
      <c r="K76" s="177" t="n"/>
      <c r="L76" s="177" t="n"/>
      <c r="M76" s="177" t="n"/>
      <c r="N76" s="177" t="n"/>
      <c r="O76" s="177" t="n"/>
      <c r="P76" s="177" t="n"/>
      <c r="Q76" s="177" t="n"/>
      <c r="R76" s="177" t="n"/>
      <c r="S76" s="177" t="n"/>
      <c r="T76" s="177" t="n"/>
      <c r="U76" s="177" t="n"/>
      <c r="V76" s="177" t="n"/>
      <c r="W76" s="177" t="n"/>
      <c r="X76" s="177" t="n"/>
      <c r="Y76" s="177" t="n"/>
    </row>
    <row r="77">
      <c r="A77" s="177" t="n"/>
      <c r="B77" s="177" t="n"/>
      <c r="C77" s="177" t="n"/>
      <c r="D77" s="177" t="n"/>
      <c r="E77" s="177" t="n"/>
      <c r="F77" s="177" t="n"/>
      <c r="G77" s="177" t="n"/>
      <c r="H77" s="177" t="n"/>
      <c r="I77" s="177" t="n"/>
      <c r="J77" s="177" t="n"/>
      <c r="K77" s="177" t="n"/>
      <c r="L77" s="177" t="n"/>
      <c r="M77" s="177" t="n"/>
      <c r="N77" s="177" t="n"/>
      <c r="O77" s="177" t="n"/>
      <c r="P77" s="177" t="n"/>
      <c r="Q77" s="177" t="n"/>
      <c r="R77" s="177" t="n"/>
      <c r="S77" s="177" t="n"/>
      <c r="T77" s="177" t="n"/>
      <c r="U77" s="177" t="n"/>
      <c r="V77" s="177" t="n"/>
      <c r="W77" s="177" t="n"/>
      <c r="X77" s="177" t="n"/>
      <c r="Y77" s="177" t="n"/>
    </row>
    <row r="78">
      <c r="A78" s="177" t="n"/>
      <c r="B78" s="177" t="n"/>
      <c r="C78" s="177" t="n"/>
      <c r="D78" s="177" t="n"/>
      <c r="E78" s="177" t="n"/>
      <c r="F78" s="177" t="n"/>
      <c r="G78" s="177" t="n"/>
      <c r="H78" s="177" t="n"/>
      <c r="I78" s="177" t="n"/>
      <c r="J78" s="177" t="n"/>
      <c r="K78" s="177" t="n"/>
      <c r="L78" s="177" t="n"/>
      <c r="M78" s="177" t="n"/>
      <c r="N78" s="177" t="n"/>
      <c r="O78" s="177" t="n"/>
      <c r="P78" s="177" t="n"/>
      <c r="Q78" s="177" t="n"/>
      <c r="R78" s="177" t="n"/>
      <c r="S78" s="177" t="n"/>
      <c r="T78" s="177" t="n"/>
      <c r="U78" s="177" t="n"/>
      <c r="V78" s="177" t="n"/>
      <c r="W78" s="177" t="n"/>
      <c r="X78" s="177" t="n"/>
      <c r="Y78" s="177" t="n"/>
    </row>
    <row r="79">
      <c r="A79" s="177" t="n"/>
      <c r="B79" s="177" t="n"/>
      <c r="C79" s="177" t="n"/>
      <c r="D79" s="177" t="n"/>
      <c r="E79" s="177" t="n"/>
      <c r="F79" s="177" t="n"/>
      <c r="G79" s="177" t="n"/>
      <c r="H79" s="177" t="n"/>
      <c r="I79" s="177" t="n"/>
      <c r="J79" s="177" t="n"/>
      <c r="K79" s="177" t="n"/>
      <c r="L79" s="177" t="n"/>
      <c r="M79" s="177" t="n"/>
      <c r="N79" s="177" t="n"/>
      <c r="O79" s="177" t="n"/>
      <c r="P79" s="177" t="n"/>
      <c r="Q79" s="177" t="n"/>
      <c r="R79" s="177" t="n"/>
      <c r="S79" s="177" t="n"/>
      <c r="T79" s="177" t="n"/>
      <c r="U79" s="177" t="n"/>
      <c r="V79" s="177" t="n"/>
      <c r="W79" s="177" t="n"/>
      <c r="X79" s="177" t="n"/>
      <c r="Y79" s="177" t="n"/>
    </row>
    <row r="80">
      <c r="A80" s="177" t="n"/>
      <c r="B80" s="177" t="n"/>
      <c r="C80" s="177" t="n"/>
      <c r="D80" s="177" t="n"/>
      <c r="E80" s="177" t="n"/>
      <c r="F80" s="177" t="n"/>
      <c r="G80" s="177" t="n"/>
      <c r="H80" s="177" t="n"/>
      <c r="I80" s="177" t="n"/>
      <c r="J80" s="177" t="n"/>
      <c r="K80" s="177" t="n"/>
      <c r="L80" s="177" t="n"/>
      <c r="M80" s="177" t="n"/>
      <c r="N80" s="177" t="n"/>
      <c r="O80" s="177" t="n"/>
      <c r="P80" s="177" t="n"/>
      <c r="Q80" s="177" t="n"/>
      <c r="R80" s="177" t="n"/>
      <c r="S80" s="177" t="n"/>
      <c r="T80" s="177" t="n"/>
      <c r="U80" s="177" t="n"/>
      <c r="V80" s="177" t="n"/>
      <c r="W80" s="177" t="n"/>
      <c r="X80" s="177" t="n"/>
      <c r="Y80" s="177" t="n"/>
    </row>
    <row r="81">
      <c r="A81" s="177" t="n"/>
      <c r="B81" s="177" t="n"/>
      <c r="C81" s="177" t="n"/>
      <c r="D81" s="177" t="n"/>
      <c r="E81" s="177" t="n"/>
      <c r="F81" s="177" t="n"/>
      <c r="G81" s="177" t="n"/>
      <c r="H81" s="177" t="n"/>
      <c r="I81" s="177" t="n"/>
      <c r="J81" s="177" t="n"/>
      <c r="K81" s="177" t="n"/>
      <c r="L81" s="177" t="n"/>
      <c r="M81" s="177" t="n"/>
      <c r="N81" s="177" t="n"/>
      <c r="O81" s="177" t="n"/>
      <c r="P81" s="177" t="n"/>
      <c r="Q81" s="177" t="n"/>
      <c r="R81" s="177" t="n"/>
      <c r="S81" s="177" t="n"/>
      <c r="T81" s="177" t="n"/>
      <c r="U81" s="177" t="n"/>
      <c r="V81" s="177" t="n"/>
      <c r="W81" s="177" t="n"/>
      <c r="X81" s="177" t="n"/>
      <c r="Y81" s="177" t="n"/>
    </row>
    <row r="82">
      <c r="A82" s="177" t="n"/>
      <c r="B82" s="177" t="n"/>
      <c r="C82" s="177" t="n"/>
      <c r="D82" s="177" t="n"/>
      <c r="E82" s="177" t="n"/>
      <c r="F82" s="177" t="n"/>
      <c r="G82" s="177" t="n"/>
      <c r="H82" s="177" t="n"/>
      <c r="I82" s="177" t="n"/>
      <c r="J82" s="177" t="n"/>
      <c r="K82" s="177" t="n"/>
      <c r="L82" s="177" t="n"/>
      <c r="M82" s="177" t="n"/>
      <c r="N82" s="177" t="n"/>
      <c r="O82" s="177" t="n"/>
      <c r="P82" s="177" t="n"/>
      <c r="Q82" s="177" t="n"/>
      <c r="R82" s="177" t="n"/>
      <c r="S82" s="177" t="n"/>
      <c r="T82" s="177" t="n"/>
      <c r="U82" s="177" t="n"/>
      <c r="V82" s="177" t="n"/>
      <c r="W82" s="177" t="n"/>
      <c r="X82" s="177" t="n"/>
      <c r="Y82" s="177" t="n"/>
    </row>
    <row r="83">
      <c r="A83" s="177" t="n"/>
      <c r="B83" s="177" t="n"/>
      <c r="C83" s="177" t="n"/>
      <c r="D83" s="177" t="n"/>
      <c r="E83" s="177" t="n"/>
      <c r="F83" s="177" t="n"/>
      <c r="G83" s="177" t="n"/>
      <c r="H83" s="177" t="n"/>
      <c r="I83" s="177" t="n"/>
      <c r="J83" s="177" t="n"/>
      <c r="K83" s="177" t="n"/>
      <c r="L83" s="177" t="n"/>
      <c r="M83" s="177" t="n"/>
      <c r="N83" s="177" t="n"/>
      <c r="O83" s="177" t="n"/>
      <c r="P83" s="177" t="n"/>
      <c r="Q83" s="177" t="n"/>
      <c r="R83" s="177" t="n"/>
      <c r="S83" s="177" t="n"/>
      <c r="T83" s="177" t="n"/>
      <c r="U83" s="177" t="n"/>
      <c r="V83" s="177" t="n"/>
      <c r="W83" s="177" t="n"/>
      <c r="X83" s="177" t="n"/>
      <c r="Y83" s="177" t="n"/>
    </row>
    <row r="84">
      <c r="A84" s="177" t="n"/>
      <c r="B84" s="177" t="n"/>
      <c r="C84" s="177" t="n"/>
      <c r="D84" s="177" t="n"/>
      <c r="E84" s="177" t="n"/>
      <c r="F84" s="177" t="n"/>
      <c r="G84" s="177" t="n"/>
      <c r="H84" s="177" t="n"/>
      <c r="I84" s="177" t="n"/>
      <c r="J84" s="177" t="n"/>
      <c r="K84" s="177" t="n"/>
      <c r="L84" s="177" t="n"/>
      <c r="M84" s="177" t="n"/>
      <c r="N84" s="177" t="n"/>
      <c r="O84" s="177" t="n"/>
      <c r="P84" s="177" t="n"/>
      <c r="Q84" s="177" t="n"/>
      <c r="R84" s="177" t="n"/>
      <c r="S84" s="177" t="n"/>
      <c r="T84" s="177" t="n"/>
      <c r="U84" s="177" t="n"/>
      <c r="V84" s="177" t="n"/>
      <c r="W84" s="177" t="n"/>
      <c r="X84" s="177" t="n"/>
      <c r="Y84" s="177" t="n"/>
    </row>
    <row r="85">
      <c r="A85" s="177" t="n"/>
      <c r="B85" s="177" t="n"/>
      <c r="C85" s="177" t="n"/>
      <c r="D85" s="177" t="n"/>
      <c r="E85" s="177" t="n"/>
      <c r="F85" s="177" t="n"/>
      <c r="G85" s="177" t="n"/>
      <c r="H85" s="177" t="n"/>
      <c r="I85" s="177" t="n"/>
      <c r="J85" s="177" t="n"/>
      <c r="K85" s="177" t="n"/>
      <c r="L85" s="177" t="n"/>
      <c r="M85" s="177" t="n"/>
      <c r="N85" s="177" t="n"/>
      <c r="O85" s="177" t="n"/>
      <c r="P85" s="177" t="n"/>
      <c r="Q85" s="177" t="n"/>
      <c r="R85" s="177" t="n"/>
      <c r="S85" s="177" t="n"/>
      <c r="T85" s="177" t="n"/>
      <c r="U85" s="177" t="n"/>
      <c r="V85" s="177" t="n"/>
      <c r="W85" s="177" t="n"/>
      <c r="X85" s="177" t="n"/>
      <c r="Y85" s="177" t="n"/>
    </row>
    <row r="86">
      <c r="A86" s="177" t="n"/>
      <c r="B86" s="177" t="n"/>
      <c r="C86" s="177" t="n"/>
      <c r="D86" s="177" t="n"/>
      <c r="E86" s="177" t="n"/>
      <c r="F86" s="177" t="n"/>
      <c r="G86" s="177" t="n"/>
      <c r="H86" s="177" t="n"/>
      <c r="I86" s="177" t="n"/>
      <c r="J86" s="177" t="n"/>
      <c r="K86" s="177" t="n"/>
      <c r="L86" s="177" t="n"/>
      <c r="M86" s="177" t="n"/>
      <c r="N86" s="177" t="n"/>
      <c r="O86" s="177" t="n"/>
      <c r="P86" s="177" t="n"/>
      <c r="Q86" s="177" t="n"/>
      <c r="R86" s="177" t="n"/>
      <c r="S86" s="177" t="n"/>
      <c r="T86" s="177" t="n"/>
      <c r="U86" s="177" t="n"/>
      <c r="V86" s="177" t="n"/>
      <c r="W86" s="177" t="n"/>
      <c r="X86" s="177" t="n"/>
      <c r="Y86" s="177" t="n"/>
    </row>
    <row r="87">
      <c r="A87" s="177" t="n"/>
      <c r="B87" s="177" t="n"/>
      <c r="C87" s="177" t="n"/>
      <c r="D87" s="177" t="n"/>
      <c r="E87" s="177" t="n"/>
      <c r="F87" s="177" t="n"/>
      <c r="G87" s="177" t="n"/>
      <c r="H87" s="177" t="n"/>
      <c r="I87" s="177" t="n"/>
      <c r="J87" s="177" t="n"/>
      <c r="K87" s="177" t="n"/>
      <c r="L87" s="177" t="n"/>
      <c r="M87" s="177" t="n"/>
      <c r="N87" s="177" t="n"/>
      <c r="O87" s="177" t="n"/>
      <c r="P87" s="177" t="n"/>
      <c r="Q87" s="177" t="n"/>
      <c r="R87" s="177" t="n"/>
      <c r="S87" s="177" t="n"/>
      <c r="T87" s="177" t="n"/>
      <c r="U87" s="177" t="n"/>
      <c r="V87" s="177" t="n"/>
      <c r="W87" s="177" t="n"/>
      <c r="X87" s="177" t="n"/>
      <c r="Y87" s="177" t="n"/>
    </row>
    <row r="88">
      <c r="A88" s="177" t="n"/>
      <c r="B88" s="177" t="n"/>
      <c r="C88" s="177" t="n"/>
      <c r="D88" s="177" t="n"/>
      <c r="E88" s="177" t="n"/>
      <c r="F88" s="177" t="n"/>
      <c r="G88" s="177" t="n"/>
      <c r="H88" s="177" t="n"/>
      <c r="I88" s="177" t="n"/>
      <c r="J88" s="177" t="n"/>
      <c r="K88" s="177" t="n"/>
      <c r="L88" s="177" t="n"/>
      <c r="M88" s="177" t="n"/>
      <c r="N88" s="177" t="n"/>
      <c r="O88" s="177" t="n"/>
      <c r="P88" s="177" t="n"/>
      <c r="Q88" s="177" t="n"/>
      <c r="R88" s="177" t="n"/>
      <c r="S88" s="177" t="n"/>
      <c r="T88" s="177" t="n"/>
      <c r="U88" s="177" t="n"/>
      <c r="V88" s="177" t="n"/>
      <c r="W88" s="177" t="n"/>
      <c r="X88" s="177" t="n"/>
      <c r="Y88" s="177" t="n"/>
    </row>
    <row r="89">
      <c r="A89" s="177" t="n"/>
      <c r="B89" s="177" t="n"/>
      <c r="C89" s="177" t="n"/>
      <c r="D89" s="177" t="n"/>
      <c r="E89" s="177" t="n"/>
      <c r="F89" s="177" t="n"/>
      <c r="G89" s="177" t="n"/>
      <c r="H89" s="177" t="n"/>
      <c r="I89" s="177" t="n"/>
      <c r="J89" s="177" t="n"/>
      <c r="K89" s="177" t="n"/>
      <c r="L89" s="177" t="n"/>
      <c r="M89" s="177" t="n"/>
      <c r="N89" s="177" t="n"/>
      <c r="O89" s="177" t="n"/>
      <c r="P89" s="177" t="n"/>
      <c r="Q89" s="177" t="n"/>
      <c r="R89" s="177" t="n"/>
      <c r="S89" s="177" t="n"/>
      <c r="T89" s="177" t="n"/>
      <c r="U89" s="177" t="n"/>
      <c r="V89" s="177" t="n"/>
      <c r="W89" s="177" t="n"/>
      <c r="X89" s="177" t="n"/>
      <c r="Y89" s="177" t="n"/>
    </row>
    <row r="90">
      <c r="A90" s="177" t="n"/>
      <c r="B90" s="177" t="n"/>
      <c r="C90" s="177" t="n"/>
      <c r="D90" s="177" t="n"/>
      <c r="E90" s="177" t="n"/>
      <c r="F90" s="177" t="n"/>
      <c r="G90" s="177" t="n"/>
      <c r="H90" s="177" t="n"/>
      <c r="I90" s="177" t="n"/>
      <c r="J90" s="177" t="n"/>
      <c r="K90" s="177" t="n"/>
      <c r="L90" s="177" t="n"/>
      <c r="M90" s="177" t="n"/>
      <c r="N90" s="177" t="n"/>
      <c r="O90" s="177" t="n"/>
      <c r="P90" s="177" t="n"/>
      <c r="Q90" s="177" t="n"/>
      <c r="R90" s="177" t="n"/>
      <c r="S90" s="177" t="n"/>
      <c r="T90" s="177" t="n"/>
      <c r="U90" s="177" t="n"/>
      <c r="V90" s="177" t="n"/>
      <c r="W90" s="177" t="n"/>
      <c r="X90" s="177" t="n"/>
      <c r="Y90" s="177" t="n"/>
    </row>
    <row r="91">
      <c r="A91" s="177" t="n"/>
      <c r="B91" s="177" t="n"/>
      <c r="C91" s="177" t="n"/>
      <c r="D91" s="177" t="n"/>
      <c r="E91" s="177" t="n"/>
      <c r="F91" s="177" t="n"/>
      <c r="G91" s="177" t="n"/>
      <c r="H91" s="177" t="n"/>
      <c r="I91" s="177" t="n"/>
      <c r="J91" s="177" t="n"/>
      <c r="K91" s="177" t="n"/>
      <c r="L91" s="177" t="n"/>
      <c r="M91" s="177" t="n"/>
      <c r="N91" s="177" t="n"/>
      <c r="O91" s="177" t="n"/>
      <c r="P91" s="177" t="n"/>
      <c r="Q91" s="177" t="n"/>
      <c r="R91" s="177" t="n"/>
      <c r="S91" s="177" t="n"/>
      <c r="T91" s="177" t="n"/>
      <c r="U91" s="177" t="n"/>
      <c r="V91" s="177" t="n"/>
      <c r="W91" s="177" t="n"/>
      <c r="X91" s="177" t="n"/>
      <c r="Y91" s="177" t="n"/>
    </row>
    <row r="92">
      <c r="A92" s="177" t="n"/>
      <c r="B92" s="177" t="n"/>
      <c r="C92" s="177" t="n"/>
      <c r="D92" s="177" t="n"/>
      <c r="E92" s="177" t="n"/>
      <c r="F92" s="177" t="n"/>
      <c r="G92" s="177" t="n"/>
      <c r="H92" s="177" t="n"/>
      <c r="I92" s="177" t="n"/>
      <c r="J92" s="177" t="n"/>
      <c r="K92" s="177" t="n"/>
      <c r="L92" s="177" t="n"/>
      <c r="M92" s="177" t="n"/>
      <c r="N92" s="177" t="n"/>
      <c r="O92" s="177" t="n"/>
      <c r="P92" s="177" t="n"/>
      <c r="Q92" s="177" t="n"/>
      <c r="R92" s="177" t="n"/>
      <c r="S92" s="177" t="n"/>
      <c r="T92" s="177" t="n"/>
      <c r="U92" s="177" t="n"/>
      <c r="V92" s="177" t="n"/>
      <c r="W92" s="177" t="n"/>
      <c r="X92" s="177" t="n"/>
      <c r="Y92" s="177" t="n"/>
    </row>
    <row r="93">
      <c r="A93" s="177" t="n"/>
      <c r="B93" s="177" t="n"/>
      <c r="C93" s="177" t="n"/>
      <c r="D93" s="177" t="n"/>
      <c r="E93" s="177" t="n"/>
      <c r="F93" s="177" t="n"/>
      <c r="G93" s="177" t="n"/>
      <c r="H93" s="177" t="n"/>
      <c r="I93" s="177" t="n"/>
      <c r="J93" s="177" t="n"/>
      <c r="K93" s="177" t="n"/>
      <c r="L93" s="177" t="n"/>
      <c r="M93" s="177" t="n"/>
      <c r="N93" s="177" t="n"/>
      <c r="O93" s="177" t="n"/>
      <c r="P93" s="177" t="n"/>
      <c r="Q93" s="177" t="n"/>
      <c r="R93" s="177" t="n"/>
      <c r="S93" s="177" t="n"/>
      <c r="T93" s="177" t="n"/>
      <c r="U93" s="177" t="n"/>
      <c r="V93" s="177" t="n"/>
      <c r="W93" s="177" t="n"/>
      <c r="X93" s="177" t="n"/>
      <c r="Y93" s="177" t="n"/>
    </row>
    <row r="94">
      <c r="A94" s="177" t="n"/>
      <c r="B94" s="177" t="n"/>
      <c r="C94" s="177" t="n"/>
      <c r="D94" s="177" t="n"/>
      <c r="E94" s="177" t="n"/>
      <c r="F94" s="177" t="n"/>
      <c r="G94" s="177" t="n"/>
      <c r="H94" s="177" t="n"/>
      <c r="I94" s="177" t="n"/>
      <c r="J94" s="177" t="n"/>
      <c r="K94" s="177" t="n"/>
      <c r="L94" s="177" t="n"/>
      <c r="M94" s="177" t="n"/>
      <c r="N94" s="177" t="n"/>
      <c r="O94" s="177" t="n"/>
      <c r="P94" s="177" t="n"/>
      <c r="Q94" s="177" t="n"/>
      <c r="R94" s="177" t="n"/>
      <c r="S94" s="177" t="n"/>
      <c r="T94" s="177" t="n"/>
      <c r="U94" s="177" t="n"/>
      <c r="V94" s="177" t="n"/>
      <c r="W94" s="177" t="n"/>
      <c r="X94" s="177" t="n"/>
      <c r="Y94" s="177" t="n"/>
    </row>
    <row r="95">
      <c r="A95" s="177" t="n"/>
      <c r="B95" s="177" t="n"/>
      <c r="C95" s="177" t="n"/>
      <c r="D95" s="177" t="n"/>
      <c r="E95" s="177" t="n"/>
      <c r="F95" s="177" t="n"/>
      <c r="G95" s="177" t="n"/>
      <c r="H95" s="177" t="n"/>
      <c r="I95" s="177" t="n"/>
      <c r="J95" s="177" t="n"/>
      <c r="K95" s="177" t="n"/>
      <c r="L95" s="177" t="n"/>
      <c r="M95" s="177" t="n"/>
      <c r="N95" s="177" t="n"/>
      <c r="O95" s="177" t="n"/>
      <c r="P95" s="177" t="n"/>
      <c r="Q95" s="177" t="n"/>
      <c r="R95" s="177" t="n"/>
      <c r="S95" s="177" t="n"/>
      <c r="T95" s="177" t="n"/>
      <c r="U95" s="177" t="n"/>
      <c r="V95" s="177" t="n"/>
      <c r="W95" s="177" t="n"/>
      <c r="X95" s="177" t="n"/>
      <c r="Y95" s="177" t="n"/>
    </row>
    <row r="96">
      <c r="A96" s="177" t="n"/>
      <c r="B96" s="177" t="n"/>
      <c r="C96" s="177" t="n"/>
      <c r="D96" s="177" t="n"/>
      <c r="E96" s="177" t="n"/>
      <c r="F96" s="177" t="n"/>
      <c r="G96" s="177" t="n"/>
      <c r="H96" s="177" t="n"/>
      <c r="I96" s="177" t="n"/>
      <c r="J96" s="177" t="n"/>
      <c r="K96" s="177" t="n"/>
      <c r="L96" s="177" t="n"/>
      <c r="M96" s="177" t="n"/>
      <c r="N96" s="177" t="n"/>
      <c r="O96" s="177" t="n"/>
      <c r="P96" s="177" t="n"/>
      <c r="Q96" s="177" t="n"/>
      <c r="R96" s="177" t="n"/>
      <c r="S96" s="177" t="n"/>
      <c r="T96" s="177" t="n"/>
      <c r="U96" s="177" t="n"/>
      <c r="V96" s="177" t="n"/>
      <c r="W96" s="177" t="n"/>
      <c r="X96" s="177" t="n"/>
      <c r="Y96" s="177" t="n"/>
    </row>
    <row r="97">
      <c r="A97" s="177" t="n"/>
      <c r="B97" s="177" t="n"/>
      <c r="C97" s="177" t="n"/>
      <c r="D97" s="177" t="n"/>
      <c r="E97" s="177" t="n"/>
      <c r="F97" s="177" t="n"/>
      <c r="G97" s="177" t="n"/>
      <c r="H97" s="177" t="n"/>
      <c r="I97" s="177" t="n"/>
      <c r="J97" s="177" t="n"/>
      <c r="K97" s="177" t="n"/>
      <c r="L97" s="177" t="n"/>
      <c r="M97" s="177" t="n"/>
      <c r="N97" s="177" t="n"/>
      <c r="O97" s="177" t="n"/>
      <c r="P97" s="177" t="n"/>
      <c r="Q97" s="177" t="n"/>
      <c r="R97" s="177" t="n"/>
      <c r="S97" s="177" t="n"/>
      <c r="T97" s="177" t="n"/>
      <c r="U97" s="177" t="n"/>
      <c r="V97" s="177" t="n"/>
      <c r="W97" s="177" t="n"/>
      <c r="X97" s="177" t="n"/>
      <c r="Y97" s="177" t="n"/>
    </row>
    <row r="98">
      <c r="A98" s="177" t="n"/>
      <c r="B98" s="177" t="n"/>
      <c r="C98" s="177" t="n"/>
      <c r="D98" s="177" t="n"/>
      <c r="E98" s="177" t="n"/>
      <c r="F98" s="177" t="n"/>
      <c r="G98" s="177" t="n"/>
      <c r="H98" s="177" t="n"/>
      <c r="I98" s="177" t="n"/>
      <c r="J98" s="177" t="n"/>
      <c r="K98" s="177" t="n"/>
      <c r="L98" s="177" t="n"/>
      <c r="M98" s="177" t="n"/>
      <c r="N98" s="177" t="n"/>
      <c r="O98" s="177" t="n"/>
      <c r="P98" s="177" t="n"/>
      <c r="Q98" s="177" t="n"/>
      <c r="R98" s="177" t="n"/>
      <c r="S98" s="177" t="n"/>
      <c r="T98" s="177" t="n"/>
      <c r="U98" s="177" t="n"/>
      <c r="V98" s="177" t="n"/>
      <c r="W98" s="177" t="n"/>
      <c r="X98" s="177" t="n"/>
      <c r="Y98" s="177" t="n"/>
    </row>
    <row r="99">
      <c r="A99" s="177" t="n"/>
      <c r="B99" s="177" t="n"/>
      <c r="C99" s="177" t="n"/>
      <c r="D99" s="177" t="n"/>
      <c r="E99" s="177" t="n"/>
      <c r="F99" s="177" t="n"/>
      <c r="G99" s="177" t="n"/>
      <c r="H99" s="177" t="n"/>
      <c r="I99" s="177" t="n"/>
      <c r="J99" s="177" t="n"/>
      <c r="K99" s="177" t="n"/>
      <c r="L99" s="177" t="n"/>
      <c r="M99" s="177" t="n"/>
      <c r="N99" s="177" t="n"/>
      <c r="O99" s="177" t="n"/>
      <c r="P99" s="177" t="n"/>
      <c r="Q99" s="177" t="n"/>
      <c r="R99" s="177" t="n"/>
      <c r="S99" s="177" t="n"/>
      <c r="T99" s="177" t="n"/>
      <c r="U99" s="177" t="n"/>
      <c r="V99" s="177" t="n"/>
      <c r="W99" s="177" t="n"/>
      <c r="X99" s="177" t="n"/>
      <c r="Y99" s="177" t="n"/>
    </row>
    <row r="100">
      <c r="A100" s="177" t="n"/>
      <c r="B100" s="177" t="n"/>
      <c r="C100" s="177" t="n"/>
      <c r="D100" s="177" t="n"/>
      <c r="E100" s="177" t="n"/>
      <c r="F100" s="177" t="n"/>
      <c r="G100" s="177" t="n"/>
      <c r="H100" s="177" t="n"/>
      <c r="I100" s="177" t="n"/>
      <c r="J100" s="177" t="n"/>
      <c r="K100" s="177" t="n"/>
      <c r="L100" s="177" t="n"/>
      <c r="M100" s="177" t="n"/>
      <c r="N100" s="177" t="n"/>
      <c r="O100" s="177" t="n"/>
      <c r="P100" s="177" t="n"/>
      <c r="Q100" s="177" t="n"/>
      <c r="R100" s="177" t="n"/>
      <c r="S100" s="177" t="n"/>
      <c r="T100" s="177" t="n"/>
      <c r="U100" s="177" t="n"/>
      <c r="V100" s="177" t="n"/>
      <c r="W100" s="177" t="n"/>
      <c r="X100" s="177" t="n"/>
      <c r="Y100" s="177" t="n"/>
    </row>
    <row r="101">
      <c r="A101" s="177" t="n"/>
      <c r="B101" s="177" t="n"/>
      <c r="C101" s="177" t="n"/>
      <c r="D101" s="177" t="n"/>
      <c r="E101" s="177" t="n"/>
      <c r="F101" s="177" t="n"/>
      <c r="G101" s="177" t="n"/>
      <c r="H101" s="177" t="n"/>
      <c r="I101" s="177" t="n"/>
      <c r="J101" s="177" t="n"/>
      <c r="K101" s="177" t="n"/>
      <c r="L101" s="177" t="n"/>
      <c r="M101" s="177" t="n"/>
      <c r="N101" s="177" t="n"/>
      <c r="O101" s="177" t="n"/>
      <c r="P101" s="177" t="n"/>
      <c r="Q101" s="177" t="n"/>
      <c r="R101" s="177" t="n"/>
      <c r="S101" s="177" t="n"/>
      <c r="T101" s="177" t="n"/>
      <c r="U101" s="177" t="n"/>
      <c r="V101" s="177" t="n"/>
      <c r="W101" s="177" t="n"/>
      <c r="X101" s="177" t="n"/>
      <c r="Y101" s="177" t="n"/>
    </row>
    <row r="102">
      <c r="A102" s="177" t="n"/>
      <c r="B102" s="177" t="n"/>
      <c r="C102" s="177" t="n"/>
      <c r="D102" s="177" t="n"/>
      <c r="E102" s="177" t="n"/>
      <c r="F102" s="177" t="n"/>
      <c r="G102" s="177" t="n"/>
      <c r="H102" s="177" t="n"/>
      <c r="I102" s="177" t="n"/>
      <c r="J102" s="177" t="n"/>
      <c r="K102" s="177" t="n"/>
      <c r="L102" s="177" t="n"/>
      <c r="M102" s="177" t="n"/>
      <c r="N102" s="177" t="n"/>
      <c r="O102" s="177" t="n"/>
      <c r="P102" s="177" t="n"/>
      <c r="Q102" s="177" t="n"/>
      <c r="R102" s="177" t="n"/>
      <c r="S102" s="177" t="n"/>
      <c r="T102" s="177" t="n"/>
      <c r="U102" s="177" t="n"/>
      <c r="V102" s="177" t="n"/>
      <c r="W102" s="177" t="n"/>
      <c r="X102" s="177" t="n"/>
      <c r="Y102" s="177" t="n"/>
    </row>
    <row r="103">
      <c r="A103" s="177" t="n"/>
      <c r="B103" s="177" t="n"/>
      <c r="C103" s="177" t="n"/>
      <c r="D103" s="177" t="n"/>
      <c r="E103" s="177" t="n"/>
      <c r="F103" s="177" t="n"/>
      <c r="G103" s="177" t="n"/>
      <c r="H103" s="177" t="n"/>
      <c r="I103" s="177" t="n"/>
      <c r="J103" s="177" t="n"/>
      <c r="K103" s="177" t="n"/>
      <c r="L103" s="177" t="n"/>
      <c r="M103" s="177" t="n"/>
      <c r="N103" s="177" t="n"/>
      <c r="O103" s="177" t="n"/>
      <c r="P103" s="177" t="n"/>
      <c r="Q103" s="177" t="n"/>
      <c r="R103" s="177" t="n"/>
      <c r="S103" s="177" t="n"/>
      <c r="T103" s="177" t="n"/>
      <c r="U103" s="177" t="n"/>
      <c r="V103" s="177" t="n"/>
      <c r="W103" s="177" t="n"/>
      <c r="X103" s="177" t="n"/>
      <c r="Y103" s="177" t="n"/>
    </row>
    <row r="104">
      <c r="A104" s="177" t="n"/>
      <c r="B104" s="177" t="n"/>
      <c r="C104" s="177" t="n"/>
      <c r="D104" s="177" t="n"/>
      <c r="E104" s="177" t="n"/>
      <c r="F104" s="177" t="n"/>
      <c r="G104" s="177" t="n"/>
      <c r="H104" s="177" t="n"/>
      <c r="I104" s="177" t="n"/>
      <c r="J104" s="177" t="n"/>
      <c r="K104" s="177" t="n"/>
      <c r="L104" s="177" t="n"/>
      <c r="M104" s="177" t="n"/>
      <c r="N104" s="177" t="n"/>
      <c r="O104" s="177" t="n"/>
      <c r="P104" s="177" t="n"/>
      <c r="Q104" s="177" t="n"/>
      <c r="R104" s="177" t="n"/>
      <c r="S104" s="177" t="n"/>
      <c r="T104" s="177" t="n"/>
      <c r="U104" s="177" t="n"/>
      <c r="V104" s="177" t="n"/>
      <c r="W104" s="177" t="n"/>
      <c r="X104" s="177" t="n"/>
      <c r="Y104" s="177" t="n"/>
    </row>
    <row r="105">
      <c r="A105" s="177" t="n"/>
      <c r="B105" s="177" t="n"/>
      <c r="C105" s="177" t="n"/>
      <c r="D105" s="177" t="n"/>
      <c r="E105" s="177" t="n"/>
      <c r="F105" s="177" t="n"/>
      <c r="G105" s="177" t="n"/>
      <c r="H105" s="177" t="n"/>
      <c r="I105" s="177" t="n"/>
      <c r="J105" s="177" t="n"/>
      <c r="K105" s="177" t="n"/>
      <c r="L105" s="177" t="n"/>
      <c r="M105" s="177" t="n"/>
      <c r="N105" s="177" t="n"/>
      <c r="O105" s="177" t="n"/>
      <c r="P105" s="177" t="n"/>
      <c r="Q105" s="177" t="n"/>
      <c r="R105" s="177" t="n"/>
      <c r="S105" s="177" t="n"/>
      <c r="T105" s="177" t="n"/>
      <c r="U105" s="177" t="n"/>
      <c r="V105" s="177" t="n"/>
      <c r="W105" s="177" t="n"/>
      <c r="X105" s="177" t="n"/>
      <c r="Y105" s="177" t="n"/>
    </row>
    <row r="106">
      <c r="A106" s="177" t="n"/>
      <c r="B106" s="177" t="n"/>
      <c r="C106" s="177" t="n"/>
      <c r="D106" s="177" t="n"/>
      <c r="E106" s="177" t="n"/>
      <c r="F106" s="177" t="n"/>
      <c r="G106" s="177" t="n"/>
      <c r="H106" s="177" t="n"/>
      <c r="I106" s="177" t="n"/>
      <c r="J106" s="177" t="n"/>
      <c r="K106" s="177" t="n"/>
      <c r="L106" s="177" t="n"/>
      <c r="M106" s="177" t="n"/>
      <c r="N106" s="177" t="n"/>
      <c r="O106" s="177" t="n"/>
      <c r="P106" s="177" t="n"/>
      <c r="Q106" s="177" t="n"/>
      <c r="R106" s="177" t="n"/>
      <c r="S106" s="177" t="n"/>
      <c r="T106" s="177" t="n"/>
      <c r="U106" s="177" t="n"/>
      <c r="V106" s="177" t="n"/>
      <c r="W106" s="177" t="n"/>
      <c r="X106" s="177" t="n"/>
      <c r="Y106" s="177" t="n"/>
    </row>
    <row r="107">
      <c r="A107" s="177" t="n"/>
      <c r="B107" s="177" t="n"/>
      <c r="C107" s="177" t="n"/>
      <c r="D107" s="177" t="n"/>
      <c r="E107" s="177" t="n"/>
      <c r="F107" s="177" t="n"/>
      <c r="G107" s="177" t="n"/>
      <c r="H107" s="177" t="n"/>
      <c r="I107" s="177" t="n"/>
      <c r="J107" s="177" t="n"/>
      <c r="K107" s="177" t="n"/>
      <c r="L107" s="177" t="n"/>
      <c r="M107" s="177" t="n"/>
      <c r="N107" s="177" t="n"/>
      <c r="O107" s="177" t="n"/>
      <c r="P107" s="177" t="n"/>
      <c r="Q107" s="177" t="n"/>
      <c r="R107" s="177" t="n"/>
      <c r="S107" s="177" t="n"/>
      <c r="T107" s="177" t="n"/>
      <c r="U107" s="177" t="n"/>
      <c r="V107" s="177" t="n"/>
      <c r="W107" s="177" t="n"/>
      <c r="X107" s="177" t="n"/>
      <c r="Y107" s="177" t="n"/>
    </row>
    <row r="108">
      <c r="A108" s="177" t="n"/>
      <c r="B108" s="177" t="n"/>
      <c r="C108" s="177" t="n"/>
      <c r="D108" s="177" t="n"/>
      <c r="E108" s="177" t="n"/>
      <c r="F108" s="177" t="n"/>
      <c r="G108" s="177" t="n"/>
      <c r="H108" s="177" t="n"/>
      <c r="I108" s="177" t="n"/>
      <c r="J108" s="177" t="n"/>
      <c r="K108" s="177" t="n"/>
      <c r="L108" s="177" t="n"/>
      <c r="M108" s="177" t="n"/>
      <c r="N108" s="177" t="n"/>
      <c r="O108" s="177" t="n"/>
      <c r="P108" s="177" t="n"/>
      <c r="Q108" s="177" t="n"/>
      <c r="R108" s="177" t="n"/>
      <c r="S108" s="177" t="n"/>
      <c r="T108" s="177" t="n"/>
      <c r="U108" s="177" t="n"/>
      <c r="V108" s="177" t="n"/>
      <c r="W108" s="177" t="n"/>
      <c r="X108" s="177" t="n"/>
      <c r="Y108" s="177" t="n"/>
    </row>
    <row r="109">
      <c r="A109" s="177" t="n"/>
      <c r="B109" s="177" t="n"/>
      <c r="C109" s="177" t="n"/>
      <c r="D109" s="177" t="n"/>
      <c r="E109" s="177" t="n"/>
      <c r="F109" s="177" t="n"/>
      <c r="G109" s="177" t="n"/>
      <c r="H109" s="177" t="n"/>
      <c r="I109" s="177" t="n"/>
      <c r="J109" s="177" t="n"/>
      <c r="K109" s="177" t="n"/>
      <c r="L109" s="177" t="n"/>
      <c r="M109" s="177" t="n"/>
      <c r="N109" s="177" t="n"/>
      <c r="O109" s="177" t="n"/>
      <c r="P109" s="177" t="n"/>
      <c r="Q109" s="177" t="n"/>
      <c r="R109" s="177" t="n"/>
      <c r="S109" s="177" t="n"/>
      <c r="T109" s="177" t="n"/>
      <c r="U109" s="177" t="n"/>
      <c r="V109" s="177" t="n"/>
      <c r="W109" s="177" t="n"/>
      <c r="X109" s="177" t="n"/>
      <c r="Y109" s="177" t="n"/>
    </row>
    <row r="110">
      <c r="A110" s="177" t="n"/>
      <c r="B110" s="177" t="n"/>
      <c r="C110" s="177" t="n"/>
      <c r="D110" s="177" t="n"/>
      <c r="E110" s="177" t="n"/>
      <c r="F110" s="177" t="n"/>
      <c r="G110" s="177" t="n"/>
      <c r="H110" s="177" t="n"/>
      <c r="I110" s="177" t="n"/>
      <c r="J110" s="177" t="n"/>
      <c r="K110" s="177" t="n"/>
      <c r="L110" s="177" t="n"/>
      <c r="M110" s="177" t="n"/>
      <c r="N110" s="177" t="n"/>
      <c r="O110" s="177" t="n"/>
      <c r="P110" s="177" t="n"/>
      <c r="Q110" s="177" t="n"/>
      <c r="R110" s="177" t="n"/>
      <c r="S110" s="177" t="n"/>
      <c r="T110" s="177" t="n"/>
      <c r="U110" s="177" t="n"/>
      <c r="V110" s="177" t="n"/>
      <c r="W110" s="177" t="n"/>
      <c r="X110" s="177" t="n"/>
      <c r="Y110" s="177" t="n"/>
    </row>
    <row r="111">
      <c r="A111" s="177" t="n"/>
      <c r="B111" s="177" t="n"/>
      <c r="C111" s="177" t="n"/>
      <c r="D111" s="177" t="n"/>
      <c r="E111" s="177" t="n"/>
      <c r="F111" s="177" t="n"/>
      <c r="G111" s="177" t="n"/>
      <c r="H111" s="177" t="n"/>
      <c r="I111" s="177" t="n"/>
      <c r="J111" s="177" t="n"/>
      <c r="K111" s="177" t="n"/>
      <c r="L111" s="177" t="n"/>
      <c r="M111" s="177" t="n"/>
      <c r="N111" s="177" t="n"/>
      <c r="O111" s="177" t="n"/>
      <c r="P111" s="177" t="n"/>
      <c r="Q111" s="177" t="n"/>
      <c r="R111" s="177" t="n"/>
      <c r="S111" s="177" t="n"/>
      <c r="T111" s="177" t="n"/>
      <c r="U111" s="177" t="n"/>
      <c r="V111" s="177" t="n"/>
      <c r="W111" s="177" t="n"/>
      <c r="X111" s="177" t="n"/>
      <c r="Y111" s="177" t="n"/>
    </row>
    <row r="112">
      <c r="A112" s="177" t="n"/>
      <c r="B112" s="177" t="n"/>
      <c r="C112" s="177" t="n"/>
      <c r="D112" s="177" t="n"/>
      <c r="E112" s="177" t="n"/>
      <c r="F112" s="177" t="n"/>
      <c r="G112" s="177" t="n"/>
      <c r="H112" s="177" t="n"/>
      <c r="I112" s="177" t="n"/>
      <c r="J112" s="177" t="n"/>
      <c r="K112" s="177" t="n"/>
      <c r="L112" s="177" t="n"/>
      <c r="M112" s="177" t="n"/>
      <c r="N112" s="177" t="n"/>
      <c r="O112" s="177" t="n"/>
      <c r="P112" s="177" t="n"/>
      <c r="Q112" s="177" t="n"/>
      <c r="R112" s="177" t="n"/>
      <c r="S112" s="177" t="n"/>
      <c r="T112" s="177" t="n"/>
      <c r="U112" s="177" t="n"/>
      <c r="V112" s="177" t="n"/>
      <c r="W112" s="177" t="n"/>
      <c r="X112" s="177" t="n"/>
      <c r="Y112" s="177" t="n"/>
    </row>
    <row r="113">
      <c r="A113" s="177" t="n"/>
      <c r="B113" s="177" t="n"/>
      <c r="C113" s="177" t="n"/>
      <c r="D113" s="177" t="n"/>
      <c r="E113" s="177" t="n"/>
      <c r="F113" s="177" t="n"/>
      <c r="G113" s="177" t="n"/>
      <c r="H113" s="177" t="n"/>
      <c r="I113" s="177" t="n"/>
      <c r="J113" s="177" t="n"/>
      <c r="K113" s="177" t="n"/>
      <c r="L113" s="177" t="n"/>
      <c r="M113" s="177" t="n"/>
      <c r="N113" s="177" t="n"/>
      <c r="O113" s="177" t="n"/>
      <c r="P113" s="177" t="n"/>
      <c r="Q113" s="177" t="n"/>
      <c r="R113" s="177" t="n"/>
      <c r="S113" s="177" t="n"/>
      <c r="T113" s="177" t="n"/>
      <c r="U113" s="177" t="n"/>
      <c r="V113" s="177" t="n"/>
      <c r="W113" s="177" t="n"/>
      <c r="X113" s="177" t="n"/>
      <c r="Y113" s="177" t="n"/>
    </row>
    <row r="114">
      <c r="A114" s="177" t="n"/>
      <c r="B114" s="177" t="n"/>
      <c r="C114" s="177" t="n"/>
      <c r="D114" s="177" t="n"/>
      <c r="E114" s="177" t="n"/>
      <c r="F114" s="177" t="n"/>
      <c r="G114" s="177" t="n"/>
      <c r="H114" s="177" t="n"/>
      <c r="I114" s="177" t="n"/>
      <c r="J114" s="177" t="n"/>
      <c r="K114" s="177" t="n"/>
      <c r="L114" s="177" t="n"/>
      <c r="M114" s="177" t="n"/>
      <c r="N114" s="177" t="n"/>
      <c r="O114" s="177" t="n"/>
      <c r="P114" s="177" t="n"/>
      <c r="Q114" s="177" t="n"/>
      <c r="R114" s="177" t="n"/>
      <c r="S114" s="177" t="n"/>
      <c r="T114" s="177" t="n"/>
      <c r="U114" s="177" t="n"/>
      <c r="V114" s="177" t="n"/>
      <c r="W114" s="177" t="n"/>
      <c r="X114" s="177" t="n"/>
      <c r="Y114" s="177" t="n"/>
    </row>
    <row r="115">
      <c r="A115" s="177" t="n"/>
      <c r="B115" s="177" t="n"/>
      <c r="C115" s="177" t="n"/>
      <c r="D115" s="177" t="n"/>
      <c r="E115" s="177" t="n"/>
      <c r="F115" s="177" t="n"/>
      <c r="G115" s="177" t="n"/>
      <c r="H115" s="177" t="n"/>
      <c r="I115" s="177" t="n"/>
      <c r="J115" s="177" t="n"/>
      <c r="K115" s="177" t="n"/>
      <c r="L115" s="177" t="n"/>
      <c r="M115" s="177" t="n"/>
      <c r="N115" s="177" t="n"/>
      <c r="O115" s="177" t="n"/>
      <c r="P115" s="177" t="n"/>
      <c r="Q115" s="177" t="n"/>
      <c r="R115" s="177" t="n"/>
      <c r="S115" s="177" t="n"/>
      <c r="T115" s="177" t="n"/>
      <c r="U115" s="177" t="n"/>
      <c r="V115" s="177" t="n"/>
      <c r="W115" s="177" t="n"/>
      <c r="X115" s="177" t="n"/>
      <c r="Y115" s="177" t="n"/>
    </row>
    <row r="116">
      <c r="A116" s="177" t="n"/>
      <c r="B116" s="177" t="n"/>
      <c r="C116" s="177" t="n"/>
      <c r="D116" s="177" t="n"/>
      <c r="E116" s="177" t="n"/>
      <c r="F116" s="177" t="n"/>
      <c r="G116" s="177" t="n"/>
      <c r="H116" s="177" t="n"/>
      <c r="I116" s="177" t="n"/>
      <c r="J116" s="177" t="n"/>
      <c r="K116" s="177" t="n"/>
      <c r="L116" s="177" t="n"/>
      <c r="M116" s="177" t="n"/>
      <c r="N116" s="177" t="n"/>
      <c r="O116" s="177" t="n"/>
      <c r="P116" s="177" t="n"/>
      <c r="Q116" s="177" t="n"/>
      <c r="R116" s="177" t="n"/>
      <c r="S116" s="177" t="n"/>
      <c r="T116" s="177" t="n"/>
      <c r="U116" s="177" t="n"/>
      <c r="V116" s="177" t="n"/>
      <c r="W116" s="177" t="n"/>
      <c r="X116" s="177" t="n"/>
      <c r="Y116" s="177" t="n"/>
    </row>
    <row r="117">
      <c r="A117" s="177" t="n"/>
      <c r="B117" s="177" t="n"/>
      <c r="C117" s="177" t="n"/>
      <c r="D117" s="177" t="n"/>
      <c r="E117" s="177" t="n"/>
      <c r="F117" s="177" t="n"/>
      <c r="G117" s="177" t="n"/>
      <c r="H117" s="177" t="n"/>
      <c r="I117" s="177" t="n"/>
      <c r="J117" s="177" t="n"/>
      <c r="K117" s="177" t="n"/>
      <c r="L117" s="177" t="n"/>
      <c r="M117" s="177" t="n"/>
      <c r="N117" s="177" t="n"/>
      <c r="O117" s="177" t="n"/>
      <c r="P117" s="177" t="n"/>
      <c r="Q117" s="177" t="n"/>
      <c r="R117" s="177" t="n"/>
      <c r="S117" s="177" t="n"/>
      <c r="T117" s="177" t="n"/>
      <c r="U117" s="177" t="n"/>
      <c r="V117" s="177" t="n"/>
      <c r="W117" s="177" t="n"/>
      <c r="X117" s="177" t="n"/>
      <c r="Y117" s="177" t="n"/>
    </row>
    <row r="118">
      <c r="A118" s="177" t="n"/>
      <c r="B118" s="177" t="n"/>
      <c r="C118" s="177" t="n"/>
      <c r="D118" s="177" t="n"/>
      <c r="E118" s="177" t="n"/>
      <c r="F118" s="177" t="n"/>
      <c r="G118" s="177" t="n"/>
      <c r="H118" s="177" t="n"/>
      <c r="I118" s="177" t="n"/>
      <c r="J118" s="177" t="n"/>
      <c r="K118" s="177" t="n"/>
      <c r="L118" s="177" t="n"/>
      <c r="M118" s="177" t="n"/>
      <c r="N118" s="177" t="n"/>
      <c r="O118" s="177" t="n"/>
      <c r="P118" s="177" t="n"/>
      <c r="Q118" s="177" t="n"/>
      <c r="R118" s="177" t="n"/>
      <c r="S118" s="177" t="n"/>
      <c r="T118" s="177" t="n"/>
      <c r="U118" s="177" t="n"/>
      <c r="V118" s="177" t="n"/>
      <c r="W118" s="177" t="n"/>
      <c r="X118" s="177" t="n"/>
      <c r="Y118" s="177" t="n"/>
    </row>
    <row r="119">
      <c r="A119" s="177" t="n"/>
      <c r="B119" s="177" t="n"/>
      <c r="C119" s="177" t="n"/>
      <c r="D119" s="177" t="n"/>
      <c r="E119" s="177" t="n"/>
      <c r="F119" s="177" t="n"/>
      <c r="G119" s="177" t="n"/>
      <c r="H119" s="177" t="n"/>
      <c r="I119" s="177" t="n"/>
      <c r="J119" s="177" t="n"/>
      <c r="K119" s="177" t="n"/>
      <c r="L119" s="177" t="n"/>
      <c r="M119" s="177" t="n"/>
      <c r="N119" s="177" t="n"/>
      <c r="O119" s="177" t="n"/>
      <c r="P119" s="177" t="n"/>
      <c r="Q119" s="177" t="n"/>
      <c r="R119" s="177" t="n"/>
      <c r="S119" s="177" t="n"/>
      <c r="T119" s="177" t="n"/>
      <c r="U119" s="177" t="n"/>
      <c r="V119" s="177" t="n"/>
      <c r="W119" s="177" t="n"/>
      <c r="X119" s="177" t="n"/>
      <c r="Y119" s="177" t="n"/>
    </row>
    <row r="120">
      <c r="A120" s="177" t="n"/>
      <c r="B120" s="177" t="n"/>
      <c r="C120" s="177" t="n"/>
      <c r="D120" s="177" t="n"/>
      <c r="E120" s="177" t="n"/>
      <c r="F120" s="177" t="n"/>
      <c r="G120" s="177" t="n"/>
      <c r="H120" s="177" t="n"/>
      <c r="I120" s="177" t="n"/>
      <c r="J120" s="177" t="n"/>
      <c r="K120" s="177" t="n"/>
      <c r="L120" s="177" t="n"/>
      <c r="M120" s="177" t="n"/>
      <c r="N120" s="177" t="n"/>
      <c r="O120" s="177" t="n"/>
      <c r="P120" s="177" t="n"/>
      <c r="Q120" s="177" t="n"/>
      <c r="R120" s="177" t="n"/>
      <c r="S120" s="177" t="n"/>
      <c r="T120" s="177" t="n"/>
      <c r="U120" s="177" t="n"/>
      <c r="V120" s="177" t="n"/>
      <c r="W120" s="177" t="n"/>
      <c r="X120" s="177" t="n"/>
      <c r="Y120" s="177" t="n"/>
    </row>
    <row r="121">
      <c r="A121" s="177" t="n"/>
      <c r="B121" s="177" t="n"/>
      <c r="C121" s="177" t="n"/>
      <c r="D121" s="177" t="n"/>
      <c r="E121" s="177" t="n"/>
      <c r="F121" s="177" t="n"/>
      <c r="G121" s="177" t="n"/>
      <c r="H121" s="177" t="n"/>
      <c r="I121" s="177" t="n"/>
      <c r="J121" s="177" t="n"/>
      <c r="K121" s="177" t="n"/>
      <c r="L121" s="177" t="n"/>
      <c r="M121" s="177" t="n"/>
      <c r="N121" s="177" t="n"/>
      <c r="O121" s="177" t="n"/>
      <c r="P121" s="177" t="n"/>
      <c r="Q121" s="177" t="n"/>
      <c r="R121" s="177" t="n"/>
      <c r="S121" s="177" t="n"/>
      <c r="T121" s="177" t="n"/>
      <c r="U121" s="177" t="n"/>
      <c r="V121" s="177" t="n"/>
      <c r="W121" s="177" t="n"/>
      <c r="X121" s="177" t="n"/>
      <c r="Y121" s="177" t="n"/>
    </row>
    <row r="122">
      <c r="A122" s="177" t="n"/>
      <c r="B122" s="177" t="n"/>
      <c r="C122" s="177" t="n"/>
      <c r="D122" s="177" t="n"/>
      <c r="E122" s="177" t="n"/>
      <c r="F122" s="177" t="n"/>
      <c r="G122" s="177" t="n"/>
      <c r="H122" s="177" t="n"/>
      <c r="I122" s="177" t="n"/>
      <c r="J122" s="177" t="n"/>
      <c r="K122" s="177" t="n"/>
      <c r="L122" s="177" t="n"/>
      <c r="M122" s="177" t="n"/>
      <c r="N122" s="177" t="n"/>
      <c r="O122" s="177" t="n"/>
      <c r="P122" s="177" t="n"/>
      <c r="Q122" s="177" t="n"/>
      <c r="R122" s="177" t="n"/>
      <c r="S122" s="177" t="n"/>
      <c r="T122" s="177" t="n"/>
      <c r="U122" s="177" t="n"/>
      <c r="V122" s="177" t="n"/>
      <c r="W122" s="177" t="n"/>
      <c r="X122" s="177" t="n"/>
      <c r="Y122" s="177" t="n"/>
    </row>
    <row r="123">
      <c r="A123" s="177" t="n"/>
      <c r="B123" s="177" t="n"/>
      <c r="C123" s="177" t="n"/>
      <c r="D123" s="177" t="n"/>
      <c r="E123" s="177" t="n"/>
      <c r="F123" s="177" t="n"/>
      <c r="G123" s="177" t="n"/>
      <c r="H123" s="177" t="n"/>
      <c r="I123" s="177" t="n"/>
      <c r="J123" s="177" t="n"/>
      <c r="K123" s="177" t="n"/>
      <c r="L123" s="177" t="n"/>
      <c r="M123" s="177" t="n"/>
      <c r="N123" s="177" t="n"/>
      <c r="O123" s="177" t="n"/>
      <c r="P123" s="177" t="n"/>
      <c r="Q123" s="177" t="n"/>
      <c r="R123" s="177" t="n"/>
      <c r="S123" s="177" t="n"/>
      <c r="T123" s="177" t="n"/>
      <c r="U123" s="177" t="n"/>
      <c r="V123" s="177" t="n"/>
      <c r="W123" s="177" t="n"/>
      <c r="X123" s="177" t="n"/>
      <c r="Y123" s="177" t="n"/>
    </row>
    <row r="124">
      <c r="A124" s="177" t="n"/>
      <c r="B124" s="177" t="n"/>
      <c r="C124" s="177" t="n"/>
      <c r="D124" s="177" t="n"/>
      <c r="E124" s="177" t="n"/>
      <c r="F124" s="177" t="n"/>
      <c r="G124" s="177" t="n"/>
      <c r="H124" s="177" t="n"/>
      <c r="I124" s="177" t="n"/>
      <c r="J124" s="177" t="n"/>
      <c r="K124" s="177" t="n"/>
      <c r="L124" s="177" t="n"/>
      <c r="M124" s="177" t="n"/>
      <c r="N124" s="177" t="n"/>
      <c r="O124" s="177" t="n"/>
      <c r="P124" s="177" t="n"/>
      <c r="Q124" s="177" t="n"/>
      <c r="R124" s="177" t="n"/>
      <c r="S124" s="177" t="n"/>
      <c r="T124" s="177" t="n"/>
      <c r="U124" s="177" t="n"/>
      <c r="V124" s="177" t="n"/>
      <c r="W124" s="177" t="n"/>
      <c r="X124" s="177" t="n"/>
      <c r="Y124" s="177" t="n"/>
    </row>
    <row r="125">
      <c r="A125" s="177" t="n"/>
      <c r="B125" s="177" t="n"/>
      <c r="C125" s="177" t="n"/>
      <c r="D125" s="177" t="n"/>
      <c r="E125" s="177" t="n"/>
      <c r="F125" s="177" t="n"/>
      <c r="G125" s="177" t="n"/>
      <c r="H125" s="177" t="n"/>
      <c r="I125" s="177" t="n"/>
      <c r="J125" s="177" t="n"/>
      <c r="K125" s="177" t="n"/>
      <c r="L125" s="177" t="n"/>
      <c r="M125" s="177" t="n"/>
      <c r="N125" s="177" t="n"/>
      <c r="O125" s="177" t="n"/>
      <c r="P125" s="177" t="n"/>
      <c r="Q125" s="177" t="n"/>
      <c r="R125" s="177" t="n"/>
      <c r="S125" s="177" t="n"/>
      <c r="T125" s="177" t="n"/>
      <c r="U125" s="177" t="n"/>
      <c r="V125" s="177" t="n"/>
      <c r="W125" s="177" t="n"/>
      <c r="X125" s="177" t="n"/>
      <c r="Y125" s="177" t="n"/>
    </row>
    <row r="126">
      <c r="A126" s="177" t="n"/>
      <c r="B126" s="177" t="n"/>
      <c r="C126" s="177" t="n"/>
      <c r="D126" s="177" t="n"/>
      <c r="E126" s="177" t="n"/>
      <c r="F126" s="177" t="n"/>
      <c r="G126" s="177" t="n"/>
      <c r="H126" s="177" t="n"/>
      <c r="I126" s="177" t="n"/>
      <c r="J126" s="177" t="n"/>
      <c r="K126" s="177" t="n"/>
      <c r="L126" s="177" t="n"/>
      <c r="M126" s="177" t="n"/>
      <c r="N126" s="177" t="n"/>
      <c r="O126" s="177" t="n"/>
      <c r="P126" s="177" t="n"/>
      <c r="Q126" s="177" t="n"/>
      <c r="R126" s="177" t="n"/>
      <c r="S126" s="177" t="n"/>
      <c r="T126" s="177" t="n"/>
      <c r="U126" s="177" t="n"/>
      <c r="V126" s="177" t="n"/>
      <c r="W126" s="177" t="n"/>
      <c r="X126" s="177" t="n"/>
      <c r="Y126" s="177" t="n"/>
    </row>
    <row r="127">
      <c r="A127" s="177" t="n"/>
      <c r="B127" s="177" t="n"/>
      <c r="C127" s="177" t="n"/>
      <c r="D127" s="177" t="n"/>
      <c r="E127" s="177" t="n"/>
      <c r="F127" s="177" t="n"/>
      <c r="G127" s="177" t="n"/>
      <c r="H127" s="177" t="n"/>
      <c r="I127" s="177" t="n"/>
      <c r="J127" s="177" t="n"/>
      <c r="K127" s="177" t="n"/>
      <c r="L127" s="177" t="n"/>
      <c r="M127" s="177" t="n"/>
      <c r="N127" s="177" t="n"/>
      <c r="O127" s="177" t="n"/>
      <c r="P127" s="177" t="n"/>
      <c r="Q127" s="177" t="n"/>
      <c r="R127" s="177" t="n"/>
      <c r="S127" s="177" t="n"/>
      <c r="T127" s="177" t="n"/>
      <c r="U127" s="177" t="n"/>
      <c r="V127" s="177" t="n"/>
      <c r="W127" s="177" t="n"/>
      <c r="X127" s="177" t="n"/>
      <c r="Y127" s="177" t="n"/>
    </row>
    <row r="128">
      <c r="A128" s="177" t="n"/>
      <c r="B128" s="177" t="n"/>
      <c r="C128" s="177" t="n"/>
      <c r="D128" s="177" t="n"/>
      <c r="E128" s="177" t="n"/>
      <c r="F128" s="177" t="n"/>
      <c r="G128" s="177" t="n"/>
      <c r="H128" s="177" t="n"/>
      <c r="I128" s="177" t="n"/>
      <c r="J128" s="177" t="n"/>
      <c r="K128" s="177" t="n"/>
      <c r="L128" s="177" t="n"/>
      <c r="M128" s="177" t="n"/>
      <c r="N128" s="177" t="n"/>
      <c r="O128" s="177" t="n"/>
      <c r="P128" s="177" t="n"/>
      <c r="Q128" s="177" t="n"/>
      <c r="R128" s="177" t="n"/>
      <c r="S128" s="177" t="n"/>
      <c r="T128" s="177" t="n"/>
      <c r="U128" s="177" t="n"/>
      <c r="V128" s="177" t="n"/>
      <c r="W128" s="177" t="n"/>
      <c r="X128" s="177" t="n"/>
      <c r="Y128" s="177" t="n"/>
    </row>
    <row r="129">
      <c r="A129" s="177" t="n"/>
      <c r="B129" s="177" t="n"/>
      <c r="C129" s="177" t="n"/>
      <c r="D129" s="177" t="n"/>
      <c r="E129" s="177" t="n"/>
      <c r="F129" s="177" t="n"/>
      <c r="G129" s="177" t="n"/>
      <c r="H129" s="177" t="n"/>
      <c r="I129" s="177" t="n"/>
      <c r="J129" s="177" t="n"/>
      <c r="K129" s="177" t="n"/>
      <c r="L129" s="177" t="n"/>
      <c r="M129" s="177" t="n"/>
      <c r="N129" s="177" t="n"/>
      <c r="O129" s="177" t="n"/>
      <c r="P129" s="177" t="n"/>
      <c r="Q129" s="177" t="n"/>
      <c r="R129" s="177" t="n"/>
      <c r="S129" s="177" t="n"/>
      <c r="T129" s="177" t="n"/>
      <c r="U129" s="177" t="n"/>
      <c r="V129" s="177" t="n"/>
      <c r="W129" s="177" t="n"/>
      <c r="X129" s="177" t="n"/>
      <c r="Y129" s="177" t="n"/>
    </row>
    <row r="130">
      <c r="A130" s="177" t="n"/>
      <c r="B130" s="177" t="n"/>
      <c r="C130" s="177" t="n"/>
      <c r="D130" s="177" t="n"/>
      <c r="E130" s="177" t="n"/>
      <c r="F130" s="177" t="n"/>
      <c r="G130" s="177" t="n"/>
      <c r="H130" s="177" t="n"/>
      <c r="I130" s="177" t="n"/>
      <c r="J130" s="177" t="n"/>
      <c r="K130" s="177" t="n"/>
      <c r="L130" s="177" t="n"/>
      <c r="M130" s="177" t="n"/>
      <c r="N130" s="177" t="n"/>
      <c r="O130" s="177" t="n"/>
      <c r="P130" s="177" t="n"/>
      <c r="Q130" s="177" t="n"/>
      <c r="R130" s="177" t="n"/>
      <c r="S130" s="177" t="n"/>
      <c r="T130" s="177" t="n"/>
      <c r="U130" s="177" t="n"/>
      <c r="V130" s="177" t="n"/>
      <c r="W130" s="177" t="n"/>
      <c r="X130" s="177" t="n"/>
      <c r="Y130" s="177" t="n"/>
    </row>
    <row r="131">
      <c r="A131" s="177" t="n"/>
      <c r="B131" s="177" t="n"/>
      <c r="C131" s="177" t="n"/>
      <c r="D131" s="177" t="n"/>
      <c r="E131" s="177" t="n"/>
      <c r="F131" s="177" t="n"/>
      <c r="G131" s="177" t="n"/>
      <c r="H131" s="177" t="n"/>
      <c r="I131" s="177" t="n"/>
      <c r="J131" s="177" t="n"/>
      <c r="K131" s="177" t="n"/>
      <c r="L131" s="177" t="n"/>
      <c r="M131" s="177" t="n"/>
      <c r="N131" s="177" t="n"/>
      <c r="O131" s="177" t="n"/>
      <c r="P131" s="177" t="n"/>
      <c r="Q131" s="177" t="n"/>
      <c r="R131" s="177" t="n"/>
      <c r="S131" s="177" t="n"/>
      <c r="T131" s="177" t="n"/>
      <c r="U131" s="177" t="n"/>
      <c r="V131" s="177" t="n"/>
      <c r="W131" s="177" t="n"/>
      <c r="X131" s="177" t="n"/>
      <c r="Y131" s="177" t="n"/>
    </row>
    <row r="132">
      <c r="A132" s="177" t="n"/>
      <c r="B132" s="177" t="n"/>
      <c r="C132" s="177" t="n"/>
      <c r="D132" s="177" t="n"/>
      <c r="E132" s="177" t="n"/>
      <c r="F132" s="177" t="n"/>
      <c r="G132" s="177" t="n"/>
      <c r="H132" s="177" t="n"/>
      <c r="I132" s="177" t="n"/>
      <c r="J132" s="177" t="n"/>
      <c r="K132" s="177" t="n"/>
      <c r="L132" s="177" t="n"/>
      <c r="M132" s="177" t="n"/>
      <c r="N132" s="177" t="n"/>
      <c r="O132" s="177" t="n"/>
      <c r="P132" s="177" t="n"/>
      <c r="Q132" s="177" t="n"/>
      <c r="R132" s="177" t="n"/>
      <c r="S132" s="177" t="n"/>
      <c r="T132" s="177" t="n"/>
      <c r="U132" s="177" t="n"/>
      <c r="V132" s="177" t="n"/>
      <c r="W132" s="177" t="n"/>
      <c r="X132" s="177" t="n"/>
      <c r="Y132" s="177" t="n"/>
    </row>
    <row r="133">
      <c r="A133" s="177" t="n"/>
      <c r="B133" s="177" t="n"/>
      <c r="C133" s="177" t="n"/>
      <c r="D133" s="177" t="n"/>
      <c r="E133" s="177" t="n"/>
      <c r="F133" s="177" t="n"/>
      <c r="G133" s="177" t="n"/>
      <c r="H133" s="177" t="n"/>
      <c r="I133" s="177" t="n"/>
      <c r="J133" s="177" t="n"/>
      <c r="K133" s="177" t="n"/>
      <c r="L133" s="177" t="n"/>
      <c r="M133" s="177" t="n"/>
      <c r="N133" s="177" t="n"/>
      <c r="O133" s="177" t="n"/>
      <c r="P133" s="177" t="n"/>
      <c r="Q133" s="177" t="n"/>
      <c r="R133" s="177" t="n"/>
      <c r="S133" s="177" t="n"/>
      <c r="T133" s="177" t="n"/>
      <c r="U133" s="177" t="n"/>
      <c r="V133" s="177" t="n"/>
      <c r="W133" s="177" t="n"/>
      <c r="X133" s="177" t="n"/>
      <c r="Y133" s="177" t="n"/>
    </row>
    <row r="134">
      <c r="A134" s="177" t="n"/>
      <c r="B134" s="177" t="n"/>
      <c r="C134" s="177" t="n"/>
      <c r="D134" s="177" t="n"/>
      <c r="E134" s="177" t="n"/>
      <c r="F134" s="177" t="n"/>
      <c r="G134" s="177" t="n"/>
      <c r="H134" s="177" t="n"/>
      <c r="I134" s="177" t="n"/>
      <c r="J134" s="177" t="n"/>
      <c r="K134" s="177" t="n"/>
      <c r="L134" s="177" t="n"/>
      <c r="M134" s="177" t="n"/>
      <c r="N134" s="177" t="n"/>
      <c r="O134" s="177" t="n"/>
      <c r="P134" s="177" t="n"/>
      <c r="Q134" s="177" t="n"/>
      <c r="R134" s="177" t="n"/>
      <c r="S134" s="177" t="n"/>
      <c r="T134" s="177" t="n"/>
      <c r="U134" s="177" t="n"/>
      <c r="V134" s="177" t="n"/>
      <c r="W134" s="177" t="n"/>
      <c r="X134" s="177" t="n"/>
      <c r="Y134" s="177" t="n"/>
    </row>
    <row r="135">
      <c r="A135" s="177" t="n"/>
      <c r="B135" s="177" t="n"/>
      <c r="C135" s="177" t="n"/>
      <c r="D135" s="177" t="n"/>
      <c r="E135" s="177" t="n"/>
      <c r="F135" s="177" t="n"/>
      <c r="G135" s="177" t="n"/>
      <c r="H135" s="177" t="n"/>
      <c r="I135" s="177" t="n"/>
      <c r="J135" s="177" t="n"/>
      <c r="K135" s="177" t="n"/>
      <c r="L135" s="177" t="n"/>
      <c r="M135" s="177" t="n"/>
      <c r="N135" s="177" t="n"/>
      <c r="O135" s="177" t="n"/>
      <c r="P135" s="177" t="n"/>
      <c r="Q135" s="177" t="n"/>
      <c r="R135" s="177" t="n"/>
      <c r="S135" s="177" t="n"/>
      <c r="T135" s="177" t="n"/>
      <c r="U135" s="177" t="n"/>
      <c r="V135" s="177" t="n"/>
      <c r="W135" s="177" t="n"/>
      <c r="X135" s="177" t="n"/>
      <c r="Y135" s="177" t="n"/>
    </row>
    <row r="136">
      <c r="A136" s="177" t="n"/>
      <c r="B136" s="177" t="n"/>
      <c r="C136" s="177" t="n"/>
      <c r="D136" s="177" t="n"/>
      <c r="E136" s="177" t="n"/>
      <c r="F136" s="177" t="n"/>
      <c r="G136" s="177" t="n"/>
      <c r="H136" s="177" t="n"/>
      <c r="I136" s="177" t="n"/>
      <c r="J136" s="177" t="n"/>
      <c r="K136" s="177" t="n"/>
      <c r="L136" s="177" t="n"/>
      <c r="M136" s="177" t="n"/>
      <c r="N136" s="177" t="n"/>
      <c r="O136" s="177" t="n"/>
      <c r="P136" s="177" t="n"/>
      <c r="Q136" s="177" t="n"/>
      <c r="R136" s="177" t="n"/>
      <c r="S136" s="177" t="n"/>
      <c r="T136" s="177" t="n"/>
      <c r="U136" s="177" t="n"/>
      <c r="V136" s="177" t="n"/>
      <c r="W136" s="177" t="n"/>
      <c r="X136" s="177" t="n"/>
      <c r="Y136" s="177" t="n"/>
    </row>
    <row r="137">
      <c r="A137" s="177" t="n"/>
      <c r="B137" s="177" t="n"/>
      <c r="C137" s="177" t="n"/>
      <c r="D137" s="177" t="n"/>
      <c r="E137" s="177" t="n"/>
      <c r="F137" s="177" t="n"/>
      <c r="G137" s="177" t="n"/>
      <c r="H137" s="177" t="n"/>
      <c r="I137" s="177" t="n"/>
      <c r="J137" s="177" t="n"/>
      <c r="K137" s="177" t="n"/>
      <c r="L137" s="177" t="n"/>
      <c r="M137" s="177" t="n"/>
      <c r="N137" s="177" t="n"/>
      <c r="O137" s="177" t="n"/>
      <c r="P137" s="177" t="n"/>
      <c r="Q137" s="177" t="n"/>
      <c r="R137" s="177" t="n"/>
      <c r="S137" s="177" t="n"/>
      <c r="T137" s="177" t="n"/>
      <c r="U137" s="177" t="n"/>
      <c r="V137" s="177" t="n"/>
      <c r="W137" s="177" t="n"/>
      <c r="X137" s="177" t="n"/>
      <c r="Y137" s="177" t="n"/>
    </row>
    <row r="138">
      <c r="A138" s="177" t="n"/>
      <c r="B138" s="177" t="n"/>
      <c r="C138" s="177" t="n"/>
      <c r="D138" s="177" t="n"/>
      <c r="E138" s="177" t="n"/>
      <c r="F138" s="177" t="n"/>
      <c r="G138" s="177" t="n"/>
      <c r="H138" s="177" t="n"/>
      <c r="I138" s="177" t="n"/>
      <c r="J138" s="177" t="n"/>
      <c r="K138" s="177" t="n"/>
      <c r="L138" s="177" t="n"/>
      <c r="M138" s="177" t="n"/>
      <c r="N138" s="177" t="n"/>
      <c r="O138" s="177" t="n"/>
      <c r="P138" s="177" t="n"/>
      <c r="Q138" s="177" t="n"/>
      <c r="R138" s="177" t="n"/>
      <c r="S138" s="177" t="n"/>
      <c r="T138" s="177" t="n"/>
      <c r="U138" s="177" t="n"/>
      <c r="V138" s="177" t="n"/>
      <c r="W138" s="177" t="n"/>
      <c r="X138" s="177" t="n"/>
      <c r="Y138" s="177" t="n"/>
    </row>
    <row r="139">
      <c r="A139" s="177" t="n"/>
      <c r="B139" s="177" t="n"/>
      <c r="C139" s="177" t="n"/>
      <c r="D139" s="177" t="n"/>
      <c r="E139" s="177" t="n"/>
      <c r="F139" s="177" t="n"/>
      <c r="G139" s="177" t="n"/>
      <c r="H139" s="177" t="n"/>
      <c r="I139" s="177" t="n"/>
      <c r="J139" s="177" t="n"/>
      <c r="K139" s="177" t="n"/>
      <c r="L139" s="177" t="n"/>
      <c r="M139" s="177" t="n"/>
      <c r="N139" s="177" t="n"/>
      <c r="O139" s="177" t="n"/>
      <c r="P139" s="177" t="n"/>
      <c r="Q139" s="177" t="n"/>
      <c r="R139" s="177" t="n"/>
      <c r="S139" s="177" t="n"/>
      <c r="T139" s="177" t="n"/>
      <c r="U139" s="177" t="n"/>
      <c r="V139" s="177" t="n"/>
      <c r="W139" s="177" t="n"/>
      <c r="X139" s="177" t="n"/>
      <c r="Y139" s="177" t="n"/>
    </row>
    <row r="140">
      <c r="A140" s="177" t="n"/>
      <c r="B140" s="177" t="n"/>
      <c r="C140" s="177" t="n"/>
      <c r="D140" s="177" t="n"/>
      <c r="E140" s="177" t="n"/>
      <c r="F140" s="177" t="n"/>
      <c r="G140" s="177" t="n"/>
      <c r="H140" s="177" t="n"/>
      <c r="I140" s="177" t="n"/>
      <c r="J140" s="177" t="n"/>
      <c r="K140" s="177" t="n"/>
      <c r="L140" s="177" t="n"/>
      <c r="M140" s="177" t="n"/>
      <c r="N140" s="177" t="n"/>
      <c r="O140" s="177" t="n"/>
      <c r="P140" s="177" t="n"/>
      <c r="Q140" s="177" t="n"/>
      <c r="R140" s="177" t="n"/>
      <c r="S140" s="177" t="n"/>
      <c r="T140" s="177" t="n"/>
      <c r="U140" s="177" t="n"/>
      <c r="V140" s="177" t="n"/>
      <c r="W140" s="177" t="n"/>
      <c r="X140" s="177" t="n"/>
      <c r="Y140" s="177" t="n"/>
    </row>
    <row r="141">
      <c r="A141" s="177" t="n"/>
      <c r="B141" s="177" t="n"/>
      <c r="C141" s="177" t="n"/>
      <c r="D141" s="177" t="n"/>
      <c r="E141" s="177" t="n"/>
      <c r="F141" s="177" t="n"/>
      <c r="G141" s="177" t="n"/>
      <c r="H141" s="177" t="n"/>
      <c r="I141" s="177" t="n"/>
      <c r="J141" s="177" t="n"/>
      <c r="K141" s="177" t="n"/>
      <c r="L141" s="177" t="n"/>
      <c r="M141" s="177" t="n"/>
      <c r="N141" s="177" t="n"/>
      <c r="O141" s="177" t="n"/>
      <c r="P141" s="177" t="n"/>
      <c r="Q141" s="177" t="n"/>
      <c r="R141" s="177" t="n"/>
      <c r="S141" s="177" t="n"/>
      <c r="T141" s="177" t="n"/>
      <c r="U141" s="177" t="n"/>
      <c r="V141" s="177" t="n"/>
      <c r="W141" s="177" t="n"/>
      <c r="X141" s="177" t="n"/>
      <c r="Y141" s="177" t="n"/>
    </row>
    <row r="142">
      <c r="A142" s="177" t="n"/>
      <c r="B142" s="177" t="n"/>
      <c r="C142" s="177" t="n"/>
      <c r="D142" s="177" t="n"/>
      <c r="E142" s="177" t="n"/>
      <c r="F142" s="177" t="n"/>
      <c r="G142" s="177" t="n"/>
      <c r="H142" s="177" t="n"/>
      <c r="I142" s="177" t="n"/>
      <c r="J142" s="177" t="n"/>
      <c r="K142" s="177" t="n"/>
      <c r="L142" s="177" t="n"/>
      <c r="M142" s="177" t="n"/>
      <c r="N142" s="177" t="n"/>
      <c r="O142" s="177" t="n"/>
      <c r="P142" s="177" t="n"/>
      <c r="Q142" s="177" t="n"/>
      <c r="R142" s="177" t="n"/>
      <c r="S142" s="177" t="n"/>
      <c r="T142" s="177" t="n"/>
      <c r="U142" s="177" t="n"/>
      <c r="V142" s="177" t="n"/>
      <c r="W142" s="177" t="n"/>
      <c r="X142" s="177" t="n"/>
      <c r="Y142" s="177" t="n"/>
    </row>
    <row r="143">
      <c r="A143" s="177" t="n"/>
      <c r="B143" s="177" t="n"/>
      <c r="C143" s="177" t="n"/>
      <c r="D143" s="177" t="n"/>
      <c r="E143" s="177" t="n"/>
      <c r="F143" s="177" t="n"/>
      <c r="G143" s="177" t="n"/>
      <c r="H143" s="177" t="n"/>
      <c r="I143" s="177" t="n"/>
      <c r="J143" s="177" t="n"/>
      <c r="K143" s="177" t="n"/>
      <c r="L143" s="177" t="n"/>
      <c r="M143" s="177" t="n"/>
      <c r="N143" s="177" t="n"/>
      <c r="O143" s="177" t="n"/>
      <c r="P143" s="177" t="n"/>
      <c r="Q143" s="177" t="n"/>
      <c r="R143" s="177" t="n"/>
      <c r="S143" s="177" t="n"/>
      <c r="T143" s="177" t="n"/>
      <c r="U143" s="177" t="n"/>
      <c r="V143" s="177" t="n"/>
      <c r="W143" s="177" t="n"/>
      <c r="X143" s="177" t="n"/>
      <c r="Y143" s="177" t="n"/>
    </row>
    <row r="144">
      <c r="A144" s="177" t="n"/>
      <c r="B144" s="177" t="n"/>
      <c r="C144" s="177" t="n"/>
      <c r="D144" s="177" t="n"/>
      <c r="E144" s="177" t="n"/>
      <c r="F144" s="177" t="n"/>
      <c r="G144" s="177" t="n"/>
      <c r="H144" s="177" t="n"/>
      <c r="I144" s="177" t="n"/>
      <c r="J144" s="177" t="n"/>
      <c r="K144" s="177" t="n"/>
      <c r="L144" s="177" t="n"/>
      <c r="M144" s="177" t="n"/>
      <c r="N144" s="177" t="n"/>
      <c r="O144" s="177" t="n"/>
      <c r="P144" s="177" t="n"/>
      <c r="Q144" s="177" t="n"/>
      <c r="R144" s="177" t="n"/>
      <c r="S144" s="177" t="n"/>
      <c r="T144" s="177" t="n"/>
      <c r="U144" s="177" t="n"/>
      <c r="V144" s="177" t="n"/>
      <c r="W144" s="177" t="n"/>
      <c r="X144" s="177" t="n"/>
      <c r="Y144" s="177" t="n"/>
    </row>
    <row r="145">
      <c r="A145" s="177" t="n"/>
      <c r="B145" s="177" t="n"/>
      <c r="C145" s="177" t="n"/>
      <c r="D145" s="177" t="n"/>
      <c r="E145" s="177" t="n"/>
      <c r="F145" s="177" t="n"/>
      <c r="G145" s="177" t="n"/>
      <c r="H145" s="177" t="n"/>
      <c r="I145" s="177" t="n"/>
      <c r="J145" s="177" t="n"/>
      <c r="K145" s="177" t="n"/>
      <c r="L145" s="177" t="n"/>
      <c r="M145" s="177" t="n"/>
      <c r="N145" s="177" t="n"/>
      <c r="O145" s="177" t="n"/>
      <c r="P145" s="177" t="n"/>
      <c r="Q145" s="177" t="n"/>
      <c r="R145" s="177" t="n"/>
      <c r="S145" s="177" t="n"/>
      <c r="T145" s="177" t="n"/>
      <c r="U145" s="177" t="n"/>
      <c r="V145" s="177" t="n"/>
      <c r="W145" s="177" t="n"/>
      <c r="X145" s="177" t="n"/>
      <c r="Y145" s="177" t="n"/>
    </row>
    <row r="146">
      <c r="A146" s="177" t="n"/>
      <c r="B146" s="177" t="n"/>
      <c r="C146" s="177" t="n"/>
      <c r="D146" s="177" t="n"/>
      <c r="E146" s="177" t="n"/>
      <c r="F146" s="177" t="n"/>
      <c r="G146" s="177" t="n"/>
      <c r="H146" s="177" t="n"/>
      <c r="I146" s="177" t="n"/>
      <c r="J146" s="177" t="n"/>
      <c r="K146" s="177" t="n"/>
      <c r="L146" s="177" t="n"/>
      <c r="M146" s="177" t="n"/>
      <c r="N146" s="177" t="n"/>
      <c r="O146" s="177" t="n"/>
      <c r="P146" s="177" t="n"/>
      <c r="Q146" s="177" t="n"/>
      <c r="R146" s="177" t="n"/>
      <c r="S146" s="177" t="n"/>
      <c r="T146" s="177" t="n"/>
      <c r="U146" s="177" t="n"/>
      <c r="V146" s="177" t="n"/>
      <c r="W146" s="177" t="n"/>
      <c r="X146" s="177" t="n"/>
      <c r="Y146" s="177" t="n"/>
    </row>
    <row r="147">
      <c r="A147" s="177" t="n"/>
      <c r="B147" s="177" t="n"/>
      <c r="C147" s="177" t="n"/>
      <c r="D147" s="177" t="n"/>
      <c r="E147" s="177" t="n"/>
      <c r="F147" s="177" t="n"/>
      <c r="G147" s="177" t="n"/>
      <c r="H147" s="177" t="n"/>
      <c r="I147" s="177" t="n"/>
      <c r="J147" s="177" t="n"/>
      <c r="K147" s="177" t="n"/>
      <c r="L147" s="177" t="n"/>
      <c r="M147" s="177" t="n"/>
      <c r="N147" s="177" t="n"/>
      <c r="O147" s="177" t="n"/>
      <c r="P147" s="177" t="n"/>
      <c r="Q147" s="177" t="n"/>
      <c r="R147" s="177" t="n"/>
      <c r="S147" s="177" t="n"/>
      <c r="T147" s="177" t="n"/>
      <c r="U147" s="177" t="n"/>
      <c r="V147" s="177" t="n"/>
      <c r="W147" s="177" t="n"/>
      <c r="X147" s="177" t="n"/>
      <c r="Y147" s="177" t="n"/>
    </row>
    <row r="148">
      <c r="A148" s="177" t="n"/>
      <c r="B148" s="177" t="n"/>
      <c r="C148" s="177" t="n"/>
      <c r="D148" s="177" t="n"/>
      <c r="E148" s="177" t="n"/>
      <c r="F148" s="177" t="n"/>
      <c r="G148" s="177" t="n"/>
      <c r="H148" s="177" t="n"/>
      <c r="I148" s="177" t="n"/>
      <c r="J148" s="177" t="n"/>
      <c r="K148" s="177" t="n"/>
      <c r="L148" s="177" t="n"/>
      <c r="M148" s="177" t="n"/>
      <c r="N148" s="177" t="n"/>
      <c r="O148" s="177" t="n"/>
      <c r="P148" s="177" t="n"/>
      <c r="Q148" s="177" t="n"/>
      <c r="R148" s="177" t="n"/>
      <c r="S148" s="177" t="n"/>
      <c r="T148" s="177" t="n"/>
      <c r="U148" s="177" t="n"/>
      <c r="V148" s="177" t="n"/>
      <c r="W148" s="177" t="n"/>
      <c r="X148" s="177" t="n"/>
      <c r="Y148" s="177" t="n"/>
    </row>
    <row r="149">
      <c r="A149" s="177" t="n"/>
      <c r="B149" s="177" t="n"/>
      <c r="C149" s="177" t="n"/>
      <c r="D149" s="177" t="n"/>
      <c r="E149" s="177" t="n"/>
      <c r="F149" s="177" t="n"/>
      <c r="G149" s="177" t="n"/>
      <c r="H149" s="177" t="n"/>
      <c r="I149" s="177" t="n"/>
      <c r="J149" s="177" t="n"/>
      <c r="K149" s="177" t="n"/>
      <c r="L149" s="177" t="n"/>
      <c r="M149" s="177" t="n"/>
      <c r="N149" s="177" t="n"/>
      <c r="O149" s="177" t="n"/>
      <c r="P149" s="177" t="n"/>
      <c r="Q149" s="177" t="n"/>
      <c r="R149" s="177" t="n"/>
      <c r="S149" s="177" t="n"/>
      <c r="T149" s="177" t="n"/>
      <c r="U149" s="177" t="n"/>
      <c r="V149" s="177" t="n"/>
      <c r="W149" s="177" t="n"/>
      <c r="X149" s="177" t="n"/>
      <c r="Y149" s="177" t="n"/>
    </row>
    <row r="150">
      <c r="A150" s="177" t="n"/>
      <c r="B150" s="177" t="n"/>
      <c r="C150" s="177" t="n"/>
      <c r="D150" s="177" t="n"/>
      <c r="E150" s="177" t="n"/>
      <c r="F150" s="177" t="n"/>
      <c r="G150" s="177" t="n"/>
      <c r="H150" s="177" t="n"/>
      <c r="I150" s="177" t="n"/>
      <c r="J150" s="177" t="n"/>
      <c r="K150" s="177" t="n"/>
      <c r="L150" s="177" t="n"/>
      <c r="M150" s="177" t="n"/>
      <c r="N150" s="177" t="n"/>
      <c r="O150" s="177" t="n"/>
      <c r="P150" s="177" t="n"/>
      <c r="Q150" s="177" t="n"/>
      <c r="R150" s="177" t="n"/>
      <c r="S150" s="177" t="n"/>
      <c r="T150" s="177" t="n"/>
      <c r="U150" s="177" t="n"/>
      <c r="V150" s="177" t="n"/>
      <c r="W150" s="177" t="n"/>
      <c r="X150" s="177" t="n"/>
      <c r="Y150" s="177" t="n"/>
    </row>
    <row r="151">
      <c r="A151" s="177" t="n"/>
      <c r="B151" s="177" t="n"/>
      <c r="C151" s="177" t="n"/>
      <c r="D151" s="177" t="n"/>
      <c r="E151" s="177" t="n"/>
      <c r="F151" s="177" t="n"/>
      <c r="G151" s="177" t="n"/>
      <c r="H151" s="177" t="n"/>
      <c r="I151" s="177" t="n"/>
      <c r="J151" s="177" t="n"/>
      <c r="K151" s="177" t="n"/>
      <c r="L151" s="177" t="n"/>
      <c r="M151" s="177" t="n"/>
      <c r="N151" s="177" t="n"/>
      <c r="O151" s="177" t="n"/>
      <c r="P151" s="177" t="n"/>
      <c r="Q151" s="177" t="n"/>
      <c r="R151" s="177" t="n"/>
      <c r="S151" s="177" t="n"/>
      <c r="T151" s="177" t="n"/>
      <c r="U151" s="177" t="n"/>
      <c r="V151" s="177" t="n"/>
      <c r="W151" s="177" t="n"/>
      <c r="X151" s="177" t="n"/>
      <c r="Y151" s="177" t="n"/>
    </row>
    <row r="152">
      <c r="A152" s="177" t="n"/>
      <c r="B152" s="177" t="n"/>
      <c r="C152" s="177" t="n"/>
      <c r="D152" s="177" t="n"/>
      <c r="E152" s="177" t="n"/>
      <c r="F152" s="177" t="n"/>
      <c r="G152" s="177" t="n"/>
      <c r="H152" s="177" t="n"/>
      <c r="I152" s="177" t="n"/>
      <c r="J152" s="177" t="n"/>
      <c r="K152" s="177" t="n"/>
      <c r="L152" s="177" t="n"/>
      <c r="M152" s="177" t="n"/>
      <c r="N152" s="177" t="n"/>
      <c r="O152" s="177" t="n"/>
      <c r="P152" s="177" t="n"/>
      <c r="Q152" s="177" t="n"/>
      <c r="R152" s="177" t="n"/>
      <c r="S152" s="177" t="n"/>
      <c r="T152" s="177" t="n"/>
      <c r="U152" s="177" t="n"/>
      <c r="V152" s="177" t="n"/>
      <c r="W152" s="177" t="n"/>
      <c r="X152" s="177" t="n"/>
      <c r="Y152" s="177" t="n"/>
    </row>
    <row r="153">
      <c r="A153" s="177" t="n"/>
      <c r="B153" s="177" t="n"/>
      <c r="C153" s="177" t="n"/>
      <c r="D153" s="177" t="n"/>
      <c r="E153" s="177" t="n"/>
      <c r="F153" s="177" t="n"/>
      <c r="G153" s="177" t="n"/>
      <c r="H153" s="177" t="n"/>
      <c r="I153" s="177" t="n"/>
      <c r="J153" s="177" t="n"/>
      <c r="K153" s="177" t="n"/>
      <c r="L153" s="177" t="n"/>
      <c r="M153" s="177" t="n"/>
      <c r="N153" s="177" t="n"/>
      <c r="O153" s="177" t="n"/>
      <c r="P153" s="177" t="n"/>
      <c r="Q153" s="177" t="n"/>
      <c r="R153" s="177" t="n"/>
      <c r="S153" s="177" t="n"/>
      <c r="T153" s="177" t="n"/>
      <c r="U153" s="177" t="n"/>
      <c r="V153" s="177" t="n"/>
      <c r="W153" s="177" t="n"/>
      <c r="X153" s="177" t="n"/>
      <c r="Y153" s="177" t="n"/>
    </row>
    <row r="154">
      <c r="A154" s="177" t="n"/>
      <c r="B154" s="177" t="n"/>
      <c r="C154" s="177" t="n"/>
      <c r="D154" s="177" t="n"/>
      <c r="E154" s="177" t="n"/>
      <c r="F154" s="177" t="n"/>
      <c r="G154" s="177" t="n"/>
      <c r="H154" s="177" t="n"/>
      <c r="I154" s="177" t="n"/>
      <c r="J154" s="177" t="n"/>
      <c r="K154" s="177" t="n"/>
      <c r="L154" s="177" t="n"/>
      <c r="M154" s="177" t="n"/>
      <c r="N154" s="177" t="n"/>
      <c r="O154" s="177" t="n"/>
      <c r="P154" s="177" t="n"/>
      <c r="Q154" s="177" t="n"/>
      <c r="R154" s="177" t="n"/>
      <c r="S154" s="177" t="n"/>
      <c r="T154" s="177" t="n"/>
      <c r="U154" s="177" t="n"/>
      <c r="V154" s="177" t="n"/>
      <c r="W154" s="177" t="n"/>
      <c r="X154" s="177" t="n"/>
      <c r="Y154" s="177" t="n"/>
    </row>
    <row r="155">
      <c r="A155" s="177" t="n"/>
      <c r="B155" s="177" t="n"/>
      <c r="C155" s="177" t="n"/>
      <c r="D155" s="177" t="n"/>
      <c r="E155" s="177" t="n"/>
      <c r="F155" s="177" t="n"/>
      <c r="G155" s="177" t="n"/>
      <c r="H155" s="177" t="n"/>
      <c r="I155" s="177" t="n"/>
      <c r="J155" s="177" t="n"/>
      <c r="K155" s="177" t="n"/>
      <c r="L155" s="177" t="n"/>
      <c r="M155" s="177" t="n"/>
      <c r="N155" s="177" t="n"/>
      <c r="O155" s="177" t="n"/>
      <c r="P155" s="177" t="n"/>
      <c r="Q155" s="177" t="n"/>
      <c r="R155" s="177" t="n"/>
      <c r="S155" s="177" t="n"/>
      <c r="T155" s="177" t="n"/>
      <c r="U155" s="177" t="n"/>
      <c r="V155" s="177" t="n"/>
      <c r="W155" s="177" t="n"/>
      <c r="X155" s="177" t="n"/>
      <c r="Y155" s="177" t="n"/>
    </row>
    <row r="156">
      <c r="A156" s="177" t="n"/>
      <c r="B156" s="177" t="n"/>
      <c r="C156" s="177" t="n"/>
      <c r="D156" s="177" t="n"/>
      <c r="E156" s="177" t="n"/>
      <c r="F156" s="177" t="n"/>
      <c r="G156" s="177" t="n"/>
      <c r="H156" s="177" t="n"/>
      <c r="I156" s="177" t="n"/>
      <c r="J156" s="177" t="n"/>
      <c r="K156" s="177" t="n"/>
      <c r="L156" s="177" t="n"/>
      <c r="M156" s="177" t="n"/>
      <c r="N156" s="177" t="n"/>
      <c r="O156" s="177" t="n"/>
      <c r="P156" s="177" t="n"/>
      <c r="Q156" s="177" t="n"/>
      <c r="R156" s="177" t="n"/>
      <c r="S156" s="177" t="n"/>
      <c r="T156" s="177" t="n"/>
      <c r="U156" s="177" t="n"/>
      <c r="V156" s="177" t="n"/>
      <c r="W156" s="177" t="n"/>
      <c r="X156" s="177" t="n"/>
      <c r="Y156" s="177" t="n"/>
    </row>
    <row r="157">
      <c r="A157" s="177" t="n"/>
      <c r="B157" s="177" t="n"/>
      <c r="C157" s="177" t="n"/>
      <c r="D157" s="177" t="n"/>
      <c r="E157" s="177" t="n"/>
      <c r="F157" s="177" t="n"/>
      <c r="G157" s="177" t="n"/>
      <c r="H157" s="177" t="n"/>
      <c r="I157" s="177" t="n"/>
      <c r="J157" s="177" t="n"/>
      <c r="K157" s="177" t="n"/>
      <c r="L157" s="177" t="n"/>
      <c r="M157" s="177" t="n"/>
      <c r="N157" s="177" t="n"/>
      <c r="O157" s="177" t="n"/>
      <c r="P157" s="177" t="n"/>
      <c r="Q157" s="177" t="n"/>
      <c r="R157" s="177" t="n"/>
      <c r="S157" s="177" t="n"/>
      <c r="T157" s="177" t="n"/>
      <c r="U157" s="177" t="n"/>
      <c r="V157" s="177" t="n"/>
      <c r="W157" s="177" t="n"/>
      <c r="X157" s="177" t="n"/>
      <c r="Y157" s="177" t="n"/>
    </row>
    <row r="158">
      <c r="A158" s="177" t="n"/>
      <c r="B158" s="177" t="n"/>
      <c r="C158" s="177" t="n"/>
      <c r="D158" s="177" t="n"/>
      <c r="E158" s="177" t="n"/>
      <c r="F158" s="177" t="n"/>
      <c r="G158" s="177" t="n"/>
      <c r="H158" s="177" t="n"/>
      <c r="I158" s="177" t="n"/>
      <c r="J158" s="177" t="n"/>
      <c r="K158" s="177" t="n"/>
      <c r="L158" s="177" t="n"/>
      <c r="M158" s="177" t="n"/>
      <c r="N158" s="177" t="n"/>
      <c r="O158" s="177" t="n"/>
      <c r="P158" s="177" t="n"/>
      <c r="Q158" s="177" t="n"/>
      <c r="R158" s="177" t="n"/>
      <c r="S158" s="177" t="n"/>
      <c r="T158" s="177" t="n"/>
      <c r="U158" s="177" t="n"/>
      <c r="V158" s="177" t="n"/>
      <c r="W158" s="177" t="n"/>
      <c r="X158" s="177" t="n"/>
      <c r="Y158" s="177" t="n"/>
    </row>
    <row r="159">
      <c r="A159" s="177" t="n"/>
      <c r="B159" s="177" t="n"/>
      <c r="C159" s="177" t="n"/>
      <c r="D159" s="177" t="n"/>
      <c r="E159" s="177" t="n"/>
      <c r="F159" s="177" t="n"/>
      <c r="G159" s="177" t="n"/>
      <c r="H159" s="177" t="n"/>
      <c r="I159" s="177" t="n"/>
      <c r="J159" s="177" t="n"/>
      <c r="K159" s="177" t="n"/>
      <c r="L159" s="177" t="n"/>
      <c r="M159" s="177" t="n"/>
      <c r="N159" s="177" t="n"/>
      <c r="O159" s="177" t="n"/>
      <c r="P159" s="177" t="n"/>
      <c r="Q159" s="177" t="n"/>
      <c r="R159" s="177" t="n"/>
      <c r="S159" s="177" t="n"/>
      <c r="T159" s="177" t="n"/>
      <c r="U159" s="177" t="n"/>
      <c r="V159" s="177" t="n"/>
      <c r="W159" s="177" t="n"/>
      <c r="X159" s="177" t="n"/>
      <c r="Y159" s="177" t="n"/>
    </row>
    <row r="160">
      <c r="A160" s="177" t="n"/>
      <c r="B160" s="177" t="n"/>
      <c r="C160" s="177" t="n"/>
      <c r="D160" s="177" t="n"/>
      <c r="E160" s="177" t="n"/>
      <c r="F160" s="177" t="n"/>
      <c r="G160" s="177" t="n"/>
      <c r="H160" s="177" t="n"/>
      <c r="I160" s="177" t="n"/>
      <c r="J160" s="177" t="n"/>
      <c r="K160" s="177" t="n"/>
      <c r="L160" s="177" t="n"/>
      <c r="M160" s="177" t="n"/>
      <c r="N160" s="177" t="n"/>
      <c r="O160" s="177" t="n"/>
      <c r="P160" s="177" t="n"/>
      <c r="Q160" s="177" t="n"/>
      <c r="R160" s="177" t="n"/>
      <c r="S160" s="177" t="n"/>
      <c r="T160" s="177" t="n"/>
      <c r="U160" s="177" t="n"/>
      <c r="V160" s="177" t="n"/>
      <c r="W160" s="177" t="n"/>
      <c r="X160" s="177" t="n"/>
      <c r="Y160" s="177" t="n"/>
    </row>
    <row r="161">
      <c r="A161" s="177" t="n"/>
      <c r="B161" s="177" t="n"/>
      <c r="C161" s="177" t="n"/>
      <c r="D161" s="177" t="n"/>
      <c r="E161" s="177" t="n"/>
      <c r="F161" s="177" t="n"/>
      <c r="G161" s="177" t="n"/>
      <c r="H161" s="177" t="n"/>
      <c r="I161" s="177" t="n"/>
      <c r="J161" s="177" t="n"/>
      <c r="K161" s="177" t="n"/>
      <c r="L161" s="177" t="n"/>
      <c r="M161" s="177" t="n"/>
      <c r="N161" s="177" t="n"/>
      <c r="O161" s="177" t="n"/>
      <c r="P161" s="177" t="n"/>
      <c r="Q161" s="177" t="n"/>
      <c r="R161" s="177" t="n"/>
      <c r="S161" s="177" t="n"/>
      <c r="T161" s="177" t="n"/>
      <c r="U161" s="177" t="n"/>
      <c r="V161" s="177" t="n"/>
      <c r="W161" s="177" t="n"/>
      <c r="X161" s="177" t="n"/>
      <c r="Y161" s="177" t="n"/>
    </row>
    <row r="162">
      <c r="A162" s="177" t="n"/>
      <c r="B162" s="177" t="n"/>
      <c r="C162" s="177" t="n"/>
      <c r="D162" s="177" t="n"/>
      <c r="E162" s="177" t="n"/>
      <c r="F162" s="177" t="n"/>
      <c r="G162" s="177" t="n"/>
      <c r="H162" s="177" t="n"/>
      <c r="I162" s="177" t="n"/>
      <c r="J162" s="177" t="n"/>
      <c r="K162" s="177" t="n"/>
      <c r="L162" s="177" t="n"/>
      <c r="M162" s="177" t="n"/>
      <c r="N162" s="177" t="n"/>
      <c r="O162" s="177" t="n"/>
      <c r="P162" s="177" t="n"/>
      <c r="Q162" s="177" t="n"/>
      <c r="R162" s="177" t="n"/>
      <c r="S162" s="177" t="n"/>
      <c r="T162" s="177" t="n"/>
      <c r="U162" s="177" t="n"/>
      <c r="V162" s="177" t="n"/>
      <c r="W162" s="177" t="n"/>
      <c r="X162" s="177" t="n"/>
      <c r="Y162" s="177" t="n"/>
    </row>
    <row r="163">
      <c r="A163" s="177" t="n"/>
      <c r="B163" s="177" t="n"/>
      <c r="C163" s="177" t="n"/>
      <c r="D163" s="177" t="n"/>
      <c r="E163" s="177" t="n"/>
      <c r="F163" s="177" t="n"/>
      <c r="G163" s="177" t="n"/>
      <c r="H163" s="177" t="n"/>
      <c r="I163" s="177" t="n"/>
      <c r="J163" s="177" t="n"/>
      <c r="K163" s="177" t="n"/>
      <c r="L163" s="177" t="n"/>
      <c r="M163" s="177" t="n"/>
      <c r="N163" s="177" t="n"/>
      <c r="O163" s="177" t="n"/>
      <c r="P163" s="177" t="n"/>
      <c r="Q163" s="177" t="n"/>
      <c r="R163" s="177" t="n"/>
      <c r="S163" s="177" t="n"/>
      <c r="T163" s="177" t="n"/>
      <c r="U163" s="177" t="n"/>
      <c r="V163" s="177" t="n"/>
      <c r="W163" s="177" t="n"/>
      <c r="X163" s="177" t="n"/>
      <c r="Y163" s="177" t="n"/>
    </row>
    <row r="164">
      <c r="A164" s="177" t="n"/>
      <c r="B164" s="177" t="n"/>
      <c r="C164" s="177" t="n"/>
      <c r="D164" s="177" t="n"/>
      <c r="E164" s="177" t="n"/>
      <c r="F164" s="177" t="n"/>
      <c r="G164" s="177" t="n"/>
      <c r="H164" s="177" t="n"/>
      <c r="I164" s="177" t="n"/>
      <c r="J164" s="177" t="n"/>
      <c r="K164" s="177" t="n"/>
      <c r="L164" s="177" t="n"/>
      <c r="M164" s="177" t="n"/>
      <c r="N164" s="177" t="n"/>
      <c r="O164" s="177" t="n"/>
      <c r="P164" s="177" t="n"/>
      <c r="Q164" s="177" t="n"/>
      <c r="R164" s="177" t="n"/>
      <c r="S164" s="177" t="n"/>
      <c r="T164" s="177" t="n"/>
      <c r="U164" s="177" t="n"/>
      <c r="V164" s="177" t="n"/>
      <c r="W164" s="177" t="n"/>
      <c r="X164" s="177" t="n"/>
      <c r="Y164" s="177" t="n"/>
    </row>
    <row r="165">
      <c r="A165" s="177" t="n"/>
      <c r="B165" s="177" t="n"/>
      <c r="C165" s="177" t="n"/>
      <c r="D165" s="177" t="n"/>
      <c r="E165" s="177" t="n"/>
      <c r="F165" s="177" t="n"/>
      <c r="G165" s="177" t="n"/>
      <c r="H165" s="177" t="n"/>
      <c r="I165" s="177" t="n"/>
      <c r="J165" s="177" t="n"/>
      <c r="K165" s="177" t="n"/>
      <c r="L165" s="177" t="n"/>
      <c r="M165" s="177" t="n"/>
      <c r="N165" s="177" t="n"/>
      <c r="O165" s="177" t="n"/>
      <c r="P165" s="177" t="n"/>
      <c r="Q165" s="177" t="n"/>
      <c r="R165" s="177" t="n"/>
      <c r="S165" s="177" t="n"/>
      <c r="T165" s="177" t="n"/>
      <c r="U165" s="177" t="n"/>
      <c r="V165" s="177" t="n"/>
      <c r="W165" s="177" t="n"/>
      <c r="X165" s="177" t="n"/>
      <c r="Y165" s="177" t="n"/>
    </row>
    <row r="166">
      <c r="A166" s="177" t="n"/>
      <c r="B166" s="177" t="n"/>
      <c r="C166" s="177" t="n"/>
      <c r="D166" s="177" t="n"/>
      <c r="E166" s="177" t="n"/>
      <c r="F166" s="177" t="n"/>
      <c r="G166" s="177" t="n"/>
      <c r="H166" s="177" t="n"/>
      <c r="I166" s="177" t="n"/>
      <c r="J166" s="177" t="n"/>
      <c r="K166" s="177" t="n"/>
      <c r="L166" s="177" t="n"/>
      <c r="M166" s="177" t="n"/>
      <c r="N166" s="177" t="n"/>
      <c r="O166" s="177" t="n"/>
      <c r="P166" s="177" t="n"/>
      <c r="Q166" s="177" t="n"/>
      <c r="R166" s="177" t="n"/>
      <c r="S166" s="177" t="n"/>
      <c r="T166" s="177" t="n"/>
      <c r="U166" s="177" t="n"/>
      <c r="V166" s="177" t="n"/>
      <c r="W166" s="177" t="n"/>
      <c r="X166" s="177" t="n"/>
      <c r="Y166" s="177" t="n"/>
    </row>
    <row r="167">
      <c r="A167" s="177" t="n"/>
      <c r="B167" s="177" t="n"/>
      <c r="C167" s="177" t="n"/>
      <c r="D167" s="177" t="n"/>
      <c r="E167" s="177" t="n"/>
      <c r="F167" s="177" t="n"/>
      <c r="G167" s="177" t="n"/>
      <c r="H167" s="177" t="n"/>
      <c r="I167" s="177" t="n"/>
      <c r="J167" s="177" t="n"/>
      <c r="K167" s="177" t="n"/>
      <c r="L167" s="177" t="n"/>
      <c r="M167" s="177" t="n"/>
      <c r="N167" s="177" t="n"/>
      <c r="O167" s="177" t="n"/>
      <c r="P167" s="177" t="n"/>
      <c r="Q167" s="177" t="n"/>
      <c r="R167" s="177" t="n"/>
      <c r="S167" s="177" t="n"/>
      <c r="T167" s="177" t="n"/>
      <c r="U167" s="177" t="n"/>
      <c r="V167" s="177" t="n"/>
      <c r="W167" s="177" t="n"/>
      <c r="X167" s="177" t="n"/>
      <c r="Y167" s="177" t="n"/>
    </row>
    <row r="168">
      <c r="A168" s="177" t="n"/>
      <c r="B168" s="177" t="n"/>
      <c r="C168" s="177" t="n"/>
      <c r="D168" s="177" t="n"/>
      <c r="E168" s="177" t="n"/>
      <c r="F168" s="177" t="n"/>
      <c r="G168" s="177" t="n"/>
      <c r="H168" s="177" t="n"/>
      <c r="I168" s="177" t="n"/>
      <c r="J168" s="177" t="n"/>
      <c r="K168" s="177" t="n"/>
      <c r="L168" s="177" t="n"/>
      <c r="M168" s="177" t="n"/>
      <c r="N168" s="177" t="n"/>
      <c r="O168" s="177" t="n"/>
      <c r="P168" s="177" t="n"/>
      <c r="Q168" s="177" t="n"/>
      <c r="R168" s="177" t="n"/>
      <c r="S168" s="177" t="n"/>
      <c r="T168" s="177" t="n"/>
      <c r="U168" s="177" t="n"/>
      <c r="V168" s="177" t="n"/>
      <c r="W168" s="177" t="n"/>
      <c r="X168" s="177" t="n"/>
      <c r="Y168" s="177" t="n"/>
    </row>
    <row r="169">
      <c r="A169" s="177" t="n"/>
      <c r="B169" s="177" t="n"/>
      <c r="C169" s="177" t="n"/>
      <c r="D169" s="177" t="n"/>
      <c r="E169" s="177" t="n"/>
      <c r="F169" s="177" t="n"/>
      <c r="G169" s="177" t="n"/>
      <c r="H169" s="177" t="n"/>
      <c r="I169" s="177" t="n"/>
      <c r="J169" s="177" t="n"/>
      <c r="K169" s="177" t="n"/>
      <c r="L169" s="177" t="n"/>
      <c r="M169" s="177" t="n"/>
      <c r="N169" s="177" t="n"/>
      <c r="O169" s="177" t="n"/>
      <c r="P169" s="177" t="n"/>
      <c r="Q169" s="177" t="n"/>
      <c r="R169" s="177" t="n"/>
      <c r="S169" s="177" t="n"/>
      <c r="T169" s="177" t="n"/>
      <c r="U169" s="177" t="n"/>
      <c r="V169" s="177" t="n"/>
      <c r="W169" s="177" t="n"/>
      <c r="X169" s="177" t="n"/>
      <c r="Y169" s="177" t="n"/>
    </row>
    <row r="170">
      <c r="A170" s="177" t="n"/>
      <c r="B170" s="177" t="n"/>
      <c r="C170" s="177" t="n"/>
      <c r="D170" s="177" t="n"/>
      <c r="E170" s="177" t="n"/>
      <c r="F170" s="177" t="n"/>
      <c r="G170" s="177" t="n"/>
      <c r="H170" s="177" t="n"/>
      <c r="I170" s="177" t="n"/>
      <c r="J170" s="177" t="n"/>
      <c r="K170" s="177" t="n"/>
      <c r="L170" s="177" t="n"/>
      <c r="M170" s="177" t="n"/>
      <c r="N170" s="177" t="n"/>
      <c r="O170" s="177" t="n"/>
      <c r="P170" s="177" t="n"/>
      <c r="Q170" s="177" t="n"/>
      <c r="R170" s="177" t="n"/>
      <c r="S170" s="177" t="n"/>
      <c r="T170" s="177" t="n"/>
      <c r="U170" s="177" t="n"/>
      <c r="V170" s="177" t="n"/>
      <c r="W170" s="177" t="n"/>
      <c r="X170" s="177" t="n"/>
      <c r="Y170" s="177" t="n"/>
    </row>
    <row r="171">
      <c r="A171" s="177" t="n"/>
      <c r="B171" s="177" t="n"/>
      <c r="C171" s="177" t="n"/>
      <c r="D171" s="177" t="n"/>
      <c r="E171" s="177" t="n"/>
      <c r="F171" s="177" t="n"/>
      <c r="G171" s="177" t="n"/>
      <c r="H171" s="177" t="n"/>
      <c r="I171" s="177" t="n"/>
      <c r="J171" s="177" t="n"/>
      <c r="K171" s="177" t="n"/>
      <c r="L171" s="177" t="n"/>
      <c r="M171" s="177" t="n"/>
      <c r="N171" s="177" t="n"/>
      <c r="O171" s="177" t="n"/>
      <c r="P171" s="177" t="n"/>
      <c r="Q171" s="177" t="n"/>
      <c r="R171" s="177" t="n"/>
      <c r="S171" s="177" t="n"/>
      <c r="T171" s="177" t="n"/>
      <c r="U171" s="177" t="n"/>
      <c r="V171" s="177" t="n"/>
      <c r="W171" s="177" t="n"/>
      <c r="X171" s="177" t="n"/>
      <c r="Y171" s="177" t="n"/>
    </row>
    <row r="172">
      <c r="A172" s="177" t="n"/>
      <c r="B172" s="177" t="n"/>
      <c r="C172" s="177" t="n"/>
      <c r="D172" s="177" t="n"/>
      <c r="E172" s="177" t="n"/>
      <c r="F172" s="177" t="n"/>
      <c r="G172" s="177" t="n"/>
      <c r="H172" s="177" t="n"/>
      <c r="I172" s="177" t="n"/>
      <c r="J172" s="177" t="n"/>
      <c r="K172" s="177" t="n"/>
      <c r="L172" s="177" t="n"/>
      <c r="M172" s="177" t="n"/>
      <c r="N172" s="177" t="n"/>
      <c r="O172" s="177" t="n"/>
      <c r="P172" s="177" t="n"/>
      <c r="Q172" s="177" t="n"/>
      <c r="R172" s="177" t="n"/>
      <c r="S172" s="177" t="n"/>
      <c r="T172" s="177" t="n"/>
      <c r="U172" s="177" t="n"/>
      <c r="V172" s="177" t="n"/>
      <c r="W172" s="177" t="n"/>
      <c r="X172" s="177" t="n"/>
      <c r="Y172" s="177" t="n"/>
    </row>
    <row r="173">
      <c r="A173" s="177" t="n"/>
      <c r="B173" s="177" t="n"/>
      <c r="C173" s="177" t="n"/>
      <c r="D173" s="177" t="n"/>
      <c r="E173" s="177" t="n"/>
      <c r="F173" s="177" t="n"/>
      <c r="G173" s="177" t="n"/>
      <c r="H173" s="177" t="n"/>
      <c r="I173" s="177" t="n"/>
      <c r="J173" s="177" t="n"/>
      <c r="K173" s="177" t="n"/>
      <c r="L173" s="177" t="n"/>
      <c r="M173" s="177" t="n"/>
      <c r="N173" s="177" t="n"/>
      <c r="O173" s="177" t="n"/>
      <c r="P173" s="177" t="n"/>
      <c r="Q173" s="177" t="n"/>
      <c r="R173" s="177" t="n"/>
      <c r="S173" s="177" t="n"/>
      <c r="T173" s="177" t="n"/>
      <c r="U173" s="177" t="n"/>
      <c r="V173" s="177" t="n"/>
      <c r="W173" s="177" t="n"/>
      <c r="X173" s="177" t="n"/>
      <c r="Y173" s="177" t="n"/>
    </row>
    <row r="174">
      <c r="A174" s="177" t="n"/>
      <c r="B174" s="177" t="n"/>
      <c r="C174" s="177" t="n"/>
      <c r="D174" s="177" t="n"/>
      <c r="E174" s="177" t="n"/>
      <c r="F174" s="177" t="n"/>
      <c r="G174" s="177" t="n"/>
      <c r="H174" s="177" t="n"/>
      <c r="I174" s="177" t="n"/>
      <c r="J174" s="177" t="n"/>
      <c r="K174" s="177" t="n"/>
      <c r="L174" s="177" t="n"/>
      <c r="M174" s="177" t="n"/>
      <c r="N174" s="177" t="n"/>
      <c r="O174" s="177" t="n"/>
      <c r="P174" s="177" t="n"/>
      <c r="Q174" s="177" t="n"/>
      <c r="R174" s="177" t="n"/>
      <c r="S174" s="177" t="n"/>
      <c r="T174" s="177" t="n"/>
      <c r="U174" s="177" t="n"/>
      <c r="V174" s="177" t="n"/>
      <c r="W174" s="177" t="n"/>
      <c r="X174" s="177" t="n"/>
      <c r="Y174" s="177" t="n"/>
    </row>
    <row r="175">
      <c r="A175" s="177" t="n"/>
      <c r="B175" s="177" t="n"/>
      <c r="C175" s="177" t="n"/>
      <c r="D175" s="177" t="n"/>
      <c r="E175" s="177" t="n"/>
      <c r="F175" s="177" t="n"/>
      <c r="G175" s="177" t="n"/>
      <c r="H175" s="177" t="n"/>
      <c r="I175" s="177" t="n"/>
      <c r="J175" s="177" t="n"/>
      <c r="K175" s="177" t="n"/>
      <c r="L175" s="177" t="n"/>
      <c r="M175" s="177" t="n"/>
      <c r="N175" s="177" t="n"/>
      <c r="O175" s="177" t="n"/>
      <c r="P175" s="177" t="n"/>
      <c r="Q175" s="177" t="n"/>
      <c r="R175" s="177" t="n"/>
      <c r="S175" s="177" t="n"/>
      <c r="T175" s="177" t="n"/>
      <c r="U175" s="177" t="n"/>
      <c r="V175" s="177" t="n"/>
      <c r="W175" s="177" t="n"/>
      <c r="X175" s="177" t="n"/>
      <c r="Y175" s="177" t="n"/>
    </row>
    <row r="176">
      <c r="A176" s="177" t="n"/>
      <c r="B176" s="177" t="n"/>
      <c r="C176" s="177" t="n"/>
      <c r="D176" s="177" t="n"/>
      <c r="E176" s="177" t="n"/>
      <c r="F176" s="177" t="n"/>
      <c r="G176" s="177" t="n"/>
      <c r="H176" s="177" t="n"/>
      <c r="I176" s="177" t="n"/>
      <c r="J176" s="177" t="n"/>
      <c r="K176" s="177" t="n"/>
      <c r="L176" s="177" t="n"/>
      <c r="M176" s="177" t="n"/>
      <c r="N176" s="177" t="n"/>
      <c r="O176" s="177" t="n"/>
      <c r="P176" s="177" t="n"/>
      <c r="Q176" s="177" t="n"/>
      <c r="R176" s="177" t="n"/>
      <c r="S176" s="177" t="n"/>
      <c r="T176" s="177" t="n"/>
      <c r="U176" s="177" t="n"/>
      <c r="V176" s="177" t="n"/>
      <c r="W176" s="177" t="n"/>
      <c r="X176" s="177" t="n"/>
      <c r="Y176" s="177" t="n"/>
    </row>
    <row r="177">
      <c r="A177" s="177" t="n"/>
      <c r="B177" s="177" t="n"/>
      <c r="C177" s="177" t="n"/>
      <c r="D177" s="177" t="n"/>
      <c r="E177" s="177" t="n"/>
      <c r="F177" s="177" t="n"/>
      <c r="G177" s="177" t="n"/>
      <c r="H177" s="177" t="n"/>
      <c r="I177" s="177" t="n"/>
      <c r="J177" s="177" t="n"/>
      <c r="K177" s="177" t="n"/>
      <c r="L177" s="177" t="n"/>
      <c r="M177" s="177" t="n"/>
      <c r="N177" s="177" t="n"/>
      <c r="O177" s="177" t="n"/>
      <c r="P177" s="177" t="n"/>
      <c r="Q177" s="177" t="n"/>
      <c r="R177" s="177" t="n"/>
      <c r="S177" s="177" t="n"/>
      <c r="T177" s="177" t="n"/>
      <c r="U177" s="177" t="n"/>
      <c r="V177" s="177" t="n"/>
      <c r="W177" s="177" t="n"/>
      <c r="X177" s="177" t="n"/>
      <c r="Y177" s="177" t="n"/>
    </row>
    <row r="178">
      <c r="A178" s="177" t="n"/>
      <c r="B178" s="177" t="n"/>
      <c r="C178" s="177" t="n"/>
      <c r="D178" s="177" t="n"/>
      <c r="E178" s="177" t="n"/>
      <c r="F178" s="177" t="n"/>
      <c r="G178" s="177" t="n"/>
      <c r="H178" s="177" t="n"/>
      <c r="I178" s="177" t="n"/>
      <c r="J178" s="177" t="n"/>
      <c r="K178" s="177" t="n"/>
      <c r="L178" s="177" t="n"/>
      <c r="M178" s="177" t="n"/>
      <c r="N178" s="177" t="n"/>
      <c r="O178" s="177" t="n"/>
      <c r="P178" s="177" t="n"/>
      <c r="Q178" s="177" t="n"/>
      <c r="R178" s="177" t="n"/>
      <c r="S178" s="177" t="n"/>
      <c r="T178" s="177" t="n"/>
      <c r="U178" s="177" t="n"/>
      <c r="V178" s="177" t="n"/>
      <c r="W178" s="177" t="n"/>
      <c r="X178" s="177" t="n"/>
      <c r="Y178" s="177" t="n"/>
    </row>
    <row r="179">
      <c r="A179" s="177" t="n"/>
      <c r="B179" s="177" t="n"/>
      <c r="C179" s="177" t="n"/>
      <c r="D179" s="177" t="n"/>
      <c r="E179" s="177" t="n"/>
      <c r="F179" s="177" t="n"/>
      <c r="G179" s="177" t="n"/>
      <c r="H179" s="177" t="n"/>
      <c r="I179" s="177" t="n"/>
      <c r="J179" s="177" t="n"/>
      <c r="K179" s="177" t="n"/>
      <c r="L179" s="177" t="n"/>
      <c r="M179" s="177" t="n"/>
      <c r="N179" s="177" t="n"/>
      <c r="O179" s="177" t="n"/>
      <c r="P179" s="177" t="n"/>
      <c r="Q179" s="177" t="n"/>
      <c r="R179" s="177" t="n"/>
      <c r="S179" s="177" t="n"/>
      <c r="T179" s="177" t="n"/>
      <c r="U179" s="177" t="n"/>
      <c r="V179" s="177" t="n"/>
      <c r="W179" s="177" t="n"/>
      <c r="X179" s="177" t="n"/>
      <c r="Y179" s="177" t="n"/>
    </row>
    <row r="180">
      <c r="A180" s="177" t="n"/>
      <c r="B180" s="177" t="n"/>
      <c r="C180" s="177" t="n"/>
      <c r="D180" s="177" t="n"/>
      <c r="E180" s="177" t="n"/>
      <c r="F180" s="177" t="n"/>
      <c r="G180" s="177" t="n"/>
      <c r="H180" s="177" t="n"/>
      <c r="I180" s="177" t="n"/>
      <c r="J180" s="177" t="n"/>
      <c r="K180" s="177" t="n"/>
      <c r="L180" s="177" t="n"/>
      <c r="M180" s="177" t="n"/>
      <c r="N180" s="177" t="n"/>
      <c r="O180" s="177" t="n"/>
      <c r="P180" s="177" t="n"/>
      <c r="Q180" s="177" t="n"/>
      <c r="R180" s="177" t="n"/>
      <c r="S180" s="177" t="n"/>
      <c r="T180" s="177" t="n"/>
      <c r="U180" s="177" t="n"/>
      <c r="V180" s="177" t="n"/>
      <c r="W180" s="177" t="n"/>
      <c r="X180" s="177" t="n"/>
      <c r="Y180" s="177" t="n"/>
    </row>
    <row r="181">
      <c r="A181" s="177" t="n"/>
      <c r="B181" s="177" t="n"/>
      <c r="C181" s="177" t="n"/>
      <c r="D181" s="177" t="n"/>
      <c r="E181" s="177" t="n"/>
      <c r="F181" s="177" t="n"/>
      <c r="G181" s="177" t="n"/>
      <c r="H181" s="177" t="n"/>
      <c r="I181" s="177" t="n"/>
      <c r="J181" s="177" t="n"/>
      <c r="K181" s="177" t="n"/>
      <c r="L181" s="177" t="n"/>
      <c r="M181" s="177" t="n"/>
      <c r="N181" s="177" t="n"/>
      <c r="O181" s="177" t="n"/>
      <c r="P181" s="177" t="n"/>
      <c r="Q181" s="177" t="n"/>
      <c r="R181" s="177" t="n"/>
      <c r="S181" s="177" t="n"/>
      <c r="T181" s="177" t="n"/>
      <c r="U181" s="177" t="n"/>
      <c r="V181" s="177" t="n"/>
      <c r="W181" s="177" t="n"/>
      <c r="X181" s="177" t="n"/>
      <c r="Y181" s="177" t="n"/>
    </row>
    <row r="182">
      <c r="A182" s="177" t="n"/>
      <c r="B182" s="177" t="n"/>
      <c r="C182" s="177" t="n"/>
      <c r="D182" s="177" t="n"/>
      <c r="E182" s="177" t="n"/>
      <c r="F182" s="177" t="n"/>
      <c r="G182" s="177" t="n"/>
      <c r="H182" s="177" t="n"/>
      <c r="I182" s="177" t="n"/>
      <c r="J182" s="177" t="n"/>
      <c r="K182" s="177" t="n"/>
      <c r="L182" s="177" t="n"/>
      <c r="M182" s="177" t="n"/>
      <c r="N182" s="177" t="n"/>
      <c r="O182" s="177" t="n"/>
      <c r="P182" s="177" t="n"/>
      <c r="Q182" s="177" t="n"/>
      <c r="R182" s="177" t="n"/>
      <c r="S182" s="177" t="n"/>
      <c r="T182" s="177" t="n"/>
      <c r="U182" s="177" t="n"/>
      <c r="V182" s="177" t="n"/>
      <c r="W182" s="177" t="n"/>
      <c r="X182" s="177" t="n"/>
      <c r="Y182" s="177" t="n"/>
    </row>
    <row r="183">
      <c r="A183" s="177" t="n"/>
      <c r="B183" s="177" t="n"/>
      <c r="C183" s="177" t="n"/>
      <c r="D183" s="177" t="n"/>
      <c r="E183" s="177" t="n"/>
      <c r="F183" s="177" t="n"/>
      <c r="G183" s="177" t="n"/>
      <c r="H183" s="177" t="n"/>
      <c r="I183" s="177" t="n"/>
      <c r="J183" s="177" t="n"/>
      <c r="K183" s="177" t="n"/>
      <c r="L183" s="177" t="n"/>
      <c r="M183" s="177" t="n"/>
      <c r="N183" s="177" t="n"/>
      <c r="O183" s="177" t="n"/>
      <c r="P183" s="177" t="n"/>
      <c r="Q183" s="177" t="n"/>
      <c r="R183" s="177" t="n"/>
      <c r="S183" s="177" t="n"/>
      <c r="T183" s="177" t="n"/>
      <c r="U183" s="177" t="n"/>
      <c r="V183" s="177" t="n"/>
      <c r="W183" s="177" t="n"/>
      <c r="X183" s="177" t="n"/>
      <c r="Y183" s="177" t="n"/>
    </row>
    <row r="184">
      <c r="A184" s="177" t="n"/>
      <c r="B184" s="177" t="n"/>
      <c r="C184" s="177" t="n"/>
      <c r="D184" s="177" t="n"/>
      <c r="E184" s="177" t="n"/>
      <c r="F184" s="177" t="n"/>
      <c r="G184" s="177" t="n"/>
      <c r="H184" s="177" t="n"/>
      <c r="I184" s="177" t="n"/>
      <c r="J184" s="177" t="n"/>
      <c r="K184" s="177" t="n"/>
      <c r="L184" s="177" t="n"/>
      <c r="M184" s="177" t="n"/>
      <c r="N184" s="177" t="n"/>
      <c r="O184" s="177" t="n"/>
      <c r="P184" s="177" t="n"/>
      <c r="Q184" s="177" t="n"/>
      <c r="R184" s="177" t="n"/>
      <c r="S184" s="177" t="n"/>
      <c r="T184" s="177" t="n"/>
      <c r="U184" s="177" t="n"/>
      <c r="V184" s="177" t="n"/>
      <c r="W184" s="177" t="n"/>
      <c r="X184" s="177" t="n"/>
      <c r="Y184" s="177" t="n"/>
    </row>
    <row r="185">
      <c r="A185" s="177" t="n"/>
      <c r="B185" s="177" t="n"/>
      <c r="C185" s="177" t="n"/>
      <c r="D185" s="177" t="n"/>
      <c r="E185" s="177" t="n"/>
      <c r="F185" s="177" t="n"/>
      <c r="G185" s="177" t="n"/>
      <c r="H185" s="177" t="n"/>
      <c r="I185" s="177" t="n"/>
      <c r="J185" s="177" t="n"/>
      <c r="K185" s="177" t="n"/>
      <c r="L185" s="177" t="n"/>
      <c r="M185" s="177" t="n"/>
      <c r="N185" s="177" t="n"/>
      <c r="O185" s="177" t="n"/>
      <c r="P185" s="177" t="n"/>
      <c r="Q185" s="177" t="n"/>
      <c r="R185" s="177" t="n"/>
      <c r="S185" s="177" t="n"/>
      <c r="T185" s="177" t="n"/>
      <c r="U185" s="177" t="n"/>
      <c r="V185" s="177" t="n"/>
      <c r="W185" s="177" t="n"/>
      <c r="X185" s="177" t="n"/>
      <c r="Y185" s="177" t="n"/>
    </row>
    <row r="186">
      <c r="A186" s="177" t="n"/>
      <c r="B186" s="177" t="n"/>
      <c r="C186" s="177" t="n"/>
      <c r="D186" s="177" t="n"/>
      <c r="E186" s="177" t="n"/>
      <c r="F186" s="177" t="n"/>
      <c r="G186" s="177" t="n"/>
      <c r="H186" s="177" t="n"/>
      <c r="I186" s="177" t="n"/>
      <c r="J186" s="177" t="n"/>
      <c r="K186" s="177" t="n"/>
      <c r="L186" s="177" t="n"/>
      <c r="M186" s="177" t="n"/>
      <c r="N186" s="177" t="n"/>
      <c r="O186" s="177" t="n"/>
      <c r="P186" s="177" t="n"/>
      <c r="Q186" s="177" t="n"/>
      <c r="R186" s="177" t="n"/>
      <c r="S186" s="177" t="n"/>
      <c r="T186" s="177" t="n"/>
      <c r="U186" s="177" t="n"/>
      <c r="V186" s="177" t="n"/>
      <c r="W186" s="177" t="n"/>
      <c r="X186" s="177" t="n"/>
      <c r="Y186" s="177" t="n"/>
    </row>
    <row r="187">
      <c r="A187" s="177" t="n"/>
      <c r="B187" s="177" t="n"/>
      <c r="C187" s="177" t="n"/>
      <c r="D187" s="177" t="n"/>
      <c r="E187" s="177" t="n"/>
      <c r="F187" s="177" t="n"/>
      <c r="G187" s="177" t="n"/>
      <c r="H187" s="177" t="n"/>
      <c r="I187" s="177" t="n"/>
      <c r="J187" s="177" t="n"/>
      <c r="K187" s="177" t="n"/>
      <c r="L187" s="177" t="n"/>
      <c r="M187" s="177" t="n"/>
      <c r="N187" s="177" t="n"/>
      <c r="O187" s="177" t="n"/>
      <c r="P187" s="177" t="n"/>
      <c r="Q187" s="177" t="n"/>
      <c r="R187" s="177" t="n"/>
      <c r="S187" s="177" t="n"/>
      <c r="T187" s="177" t="n"/>
      <c r="U187" s="177" t="n"/>
      <c r="V187" s="177" t="n"/>
      <c r="W187" s="177" t="n"/>
      <c r="X187" s="177" t="n"/>
      <c r="Y187" s="177" t="n"/>
    </row>
    <row r="188">
      <c r="A188" s="177" t="n"/>
      <c r="B188" s="177" t="n"/>
      <c r="C188" s="177" t="n"/>
      <c r="D188" s="177" t="n"/>
      <c r="E188" s="177" t="n"/>
      <c r="F188" s="177" t="n"/>
      <c r="G188" s="177" t="n"/>
      <c r="H188" s="177" t="n"/>
      <c r="I188" s="177" t="n"/>
      <c r="J188" s="177" t="n"/>
      <c r="K188" s="177" t="n"/>
      <c r="L188" s="177" t="n"/>
      <c r="M188" s="177" t="n"/>
      <c r="N188" s="177" t="n"/>
      <c r="O188" s="177" t="n"/>
      <c r="P188" s="177" t="n"/>
      <c r="Q188" s="177" t="n"/>
      <c r="R188" s="177" t="n"/>
      <c r="S188" s="177" t="n"/>
      <c r="T188" s="177" t="n"/>
      <c r="U188" s="177" t="n"/>
      <c r="V188" s="177" t="n"/>
      <c r="W188" s="177" t="n"/>
      <c r="X188" s="177" t="n"/>
      <c r="Y188" s="177" t="n"/>
    </row>
    <row r="189">
      <c r="A189" s="177" t="n"/>
      <c r="B189" s="177" t="n"/>
      <c r="C189" s="177" t="n"/>
      <c r="D189" s="177" t="n"/>
      <c r="E189" s="177" t="n"/>
      <c r="F189" s="177" t="n"/>
      <c r="G189" s="177" t="n"/>
      <c r="H189" s="177" t="n"/>
      <c r="I189" s="177" t="n"/>
      <c r="J189" s="177" t="n"/>
      <c r="K189" s="177" t="n"/>
      <c r="L189" s="177" t="n"/>
      <c r="M189" s="177" t="n"/>
      <c r="N189" s="177" t="n"/>
      <c r="O189" s="177" t="n"/>
      <c r="P189" s="177" t="n"/>
      <c r="Q189" s="177" t="n"/>
      <c r="R189" s="177" t="n"/>
      <c r="S189" s="177" t="n"/>
      <c r="T189" s="177" t="n"/>
      <c r="U189" s="177" t="n"/>
      <c r="V189" s="177" t="n"/>
      <c r="W189" s="177" t="n"/>
      <c r="X189" s="177" t="n"/>
      <c r="Y189" s="177" t="n"/>
    </row>
    <row r="190">
      <c r="A190" s="177" t="n"/>
      <c r="B190" s="177" t="n"/>
      <c r="C190" s="177" t="n"/>
      <c r="D190" s="177" t="n"/>
      <c r="E190" s="177" t="n"/>
      <c r="F190" s="177" t="n"/>
      <c r="G190" s="177" t="n"/>
      <c r="H190" s="177" t="n"/>
      <c r="I190" s="177" t="n"/>
      <c r="J190" s="177" t="n"/>
      <c r="K190" s="177" t="n"/>
      <c r="L190" s="177" t="n"/>
      <c r="M190" s="177" t="n"/>
      <c r="N190" s="177" t="n"/>
      <c r="O190" s="177" t="n"/>
      <c r="P190" s="177" t="n"/>
      <c r="Q190" s="177" t="n"/>
      <c r="R190" s="177" t="n"/>
      <c r="S190" s="177" t="n"/>
      <c r="T190" s="177" t="n"/>
      <c r="U190" s="177" t="n"/>
      <c r="V190" s="177" t="n"/>
      <c r="W190" s="177" t="n"/>
      <c r="X190" s="177" t="n"/>
      <c r="Y190" s="177" t="n"/>
    </row>
    <row r="191">
      <c r="A191" s="177" t="n"/>
      <c r="B191" s="177" t="n"/>
      <c r="C191" s="177" t="n"/>
      <c r="D191" s="177" t="n"/>
      <c r="E191" s="177" t="n"/>
      <c r="F191" s="177" t="n"/>
      <c r="G191" s="177" t="n"/>
      <c r="H191" s="177" t="n"/>
      <c r="I191" s="177" t="n"/>
      <c r="J191" s="177" t="n"/>
      <c r="K191" s="177" t="n"/>
      <c r="L191" s="177" t="n"/>
      <c r="M191" s="177" t="n"/>
      <c r="N191" s="177" t="n"/>
      <c r="O191" s="177" t="n"/>
      <c r="P191" s="177" t="n"/>
      <c r="Q191" s="177" t="n"/>
      <c r="R191" s="177" t="n"/>
      <c r="S191" s="177" t="n"/>
      <c r="T191" s="177" t="n"/>
      <c r="U191" s="177" t="n"/>
      <c r="V191" s="177" t="n"/>
      <c r="W191" s="177" t="n"/>
      <c r="X191" s="177" t="n"/>
      <c r="Y191" s="177" t="n"/>
    </row>
    <row r="192">
      <c r="A192" s="177" t="n"/>
      <c r="B192" s="177" t="n"/>
      <c r="C192" s="177" t="n"/>
      <c r="D192" s="177" t="n"/>
      <c r="E192" s="177" t="n"/>
      <c r="F192" s="177" t="n"/>
      <c r="G192" s="177" t="n"/>
      <c r="H192" s="177" t="n"/>
      <c r="I192" s="177" t="n"/>
      <c r="J192" s="177" t="n"/>
      <c r="K192" s="177" t="n"/>
      <c r="L192" s="177" t="n"/>
      <c r="M192" s="177" t="n"/>
      <c r="N192" s="177" t="n"/>
      <c r="O192" s="177" t="n"/>
      <c r="P192" s="177" t="n"/>
      <c r="Q192" s="177" t="n"/>
      <c r="R192" s="177" t="n"/>
      <c r="S192" s="177" t="n"/>
      <c r="T192" s="177" t="n"/>
      <c r="U192" s="177" t="n"/>
      <c r="V192" s="177" t="n"/>
      <c r="W192" s="177" t="n"/>
      <c r="X192" s="177" t="n"/>
      <c r="Y192" s="177" t="n"/>
    </row>
    <row r="193">
      <c r="A193" s="177" t="n"/>
      <c r="B193" s="177" t="n"/>
      <c r="C193" s="177" t="n"/>
      <c r="D193" s="177" t="n"/>
      <c r="E193" s="177" t="n"/>
      <c r="F193" s="177" t="n"/>
      <c r="G193" s="177" t="n"/>
      <c r="H193" s="177" t="n"/>
      <c r="I193" s="177" t="n"/>
      <c r="J193" s="177" t="n"/>
      <c r="K193" s="177" t="n"/>
      <c r="L193" s="177" t="n"/>
      <c r="M193" s="177" t="n"/>
      <c r="N193" s="177" t="n"/>
      <c r="O193" s="177" t="n"/>
      <c r="P193" s="177" t="n"/>
      <c r="Q193" s="177" t="n"/>
      <c r="R193" s="177" t="n"/>
      <c r="S193" s="177" t="n"/>
      <c r="T193" s="177" t="n"/>
      <c r="U193" s="177" t="n"/>
      <c r="V193" s="177" t="n"/>
      <c r="W193" s="177" t="n"/>
      <c r="X193" s="177" t="n"/>
      <c r="Y193" s="177" t="n"/>
    </row>
    <row r="194">
      <c r="A194" s="177" t="n"/>
      <c r="B194" s="177" t="n"/>
      <c r="C194" s="177" t="n"/>
      <c r="D194" s="177" t="n"/>
      <c r="E194" s="177" t="n"/>
      <c r="F194" s="177" t="n"/>
      <c r="G194" s="177" t="n"/>
      <c r="H194" s="177" t="n"/>
      <c r="I194" s="177" t="n"/>
      <c r="J194" s="177" t="n"/>
      <c r="K194" s="177" t="n"/>
      <c r="L194" s="177" t="n"/>
      <c r="M194" s="177" t="n"/>
      <c r="N194" s="177" t="n"/>
      <c r="O194" s="177" t="n"/>
      <c r="P194" s="177" t="n"/>
      <c r="Q194" s="177" t="n"/>
      <c r="R194" s="177" t="n"/>
      <c r="S194" s="177" t="n"/>
      <c r="T194" s="177" t="n"/>
      <c r="U194" s="177" t="n"/>
      <c r="V194" s="177" t="n"/>
      <c r="W194" s="177" t="n"/>
      <c r="X194" s="177" t="n"/>
      <c r="Y194" s="177" t="n"/>
    </row>
    <row r="195">
      <c r="A195" s="177" t="n"/>
      <c r="B195" s="177" t="n"/>
      <c r="C195" s="177" t="n"/>
      <c r="D195" s="177" t="n"/>
      <c r="E195" s="177" t="n"/>
      <c r="F195" s="177" t="n"/>
      <c r="G195" s="177" t="n"/>
      <c r="H195" s="177" t="n"/>
      <c r="I195" s="177" t="n"/>
      <c r="J195" s="177" t="n"/>
      <c r="K195" s="177" t="n"/>
      <c r="L195" s="177" t="n"/>
      <c r="M195" s="177" t="n"/>
      <c r="N195" s="177" t="n"/>
      <c r="O195" s="177" t="n"/>
      <c r="P195" s="177" t="n"/>
      <c r="Q195" s="177" t="n"/>
      <c r="R195" s="177" t="n"/>
      <c r="S195" s="177" t="n"/>
      <c r="T195" s="177" t="n"/>
      <c r="U195" s="177" t="n"/>
      <c r="V195" s="177" t="n"/>
      <c r="W195" s="177" t="n"/>
      <c r="X195" s="177" t="n"/>
      <c r="Y195" s="177" t="n"/>
    </row>
    <row r="196">
      <c r="A196" s="177" t="n"/>
      <c r="B196" s="177" t="n"/>
      <c r="C196" s="177" t="n"/>
      <c r="D196" s="177" t="n"/>
      <c r="E196" s="177" t="n"/>
      <c r="F196" s="177" t="n"/>
      <c r="G196" s="177" t="n"/>
      <c r="H196" s="177" t="n"/>
      <c r="I196" s="177" t="n"/>
      <c r="J196" s="177" t="n"/>
      <c r="K196" s="177" t="n"/>
      <c r="L196" s="177" t="n"/>
      <c r="M196" s="177" t="n"/>
      <c r="N196" s="177" t="n"/>
      <c r="O196" s="177" t="n"/>
      <c r="P196" s="177" t="n"/>
      <c r="Q196" s="177" t="n"/>
      <c r="R196" s="177" t="n"/>
      <c r="S196" s="177" t="n"/>
      <c r="T196" s="177" t="n"/>
      <c r="U196" s="177" t="n"/>
      <c r="V196" s="177" t="n"/>
      <c r="W196" s="177" t="n"/>
      <c r="X196" s="177" t="n"/>
      <c r="Y196" s="177" t="n"/>
    </row>
    <row r="197">
      <c r="A197" s="177" t="n"/>
      <c r="B197" s="177" t="n"/>
      <c r="C197" s="177" t="n"/>
      <c r="D197" s="177" t="n"/>
      <c r="E197" s="177" t="n"/>
      <c r="F197" s="177" t="n"/>
      <c r="G197" s="177" t="n"/>
      <c r="H197" s="177" t="n"/>
      <c r="I197" s="177" t="n"/>
      <c r="J197" s="177" t="n"/>
      <c r="K197" s="177" t="n"/>
      <c r="L197" s="177" t="n"/>
      <c r="M197" s="177" t="n"/>
      <c r="N197" s="177" t="n"/>
      <c r="O197" s="177" t="n"/>
      <c r="P197" s="177" t="n"/>
      <c r="Q197" s="177" t="n"/>
      <c r="R197" s="177" t="n"/>
      <c r="S197" s="177" t="n"/>
      <c r="T197" s="177" t="n"/>
      <c r="U197" s="177" t="n"/>
      <c r="V197" s="177" t="n"/>
      <c r="W197" s="177" t="n"/>
      <c r="X197" s="177" t="n"/>
      <c r="Y197" s="177" t="n"/>
    </row>
    <row r="198">
      <c r="A198" s="177" t="n"/>
      <c r="B198" s="177" t="n"/>
      <c r="C198" s="177" t="n"/>
      <c r="D198" s="177" t="n"/>
      <c r="E198" s="177" t="n"/>
      <c r="F198" s="177" t="n"/>
      <c r="G198" s="177" t="n"/>
      <c r="H198" s="177" t="n"/>
      <c r="I198" s="177" t="n"/>
      <c r="J198" s="177" t="n"/>
      <c r="K198" s="177" t="n"/>
      <c r="L198" s="177" t="n"/>
      <c r="M198" s="177" t="n"/>
      <c r="N198" s="177" t="n"/>
      <c r="O198" s="177" t="n"/>
      <c r="P198" s="177" t="n"/>
      <c r="Q198" s="177" t="n"/>
      <c r="R198" s="177" t="n"/>
      <c r="S198" s="177" t="n"/>
      <c r="T198" s="177" t="n"/>
      <c r="U198" s="177" t="n"/>
      <c r="V198" s="177" t="n"/>
      <c r="W198" s="177" t="n"/>
      <c r="X198" s="177" t="n"/>
      <c r="Y198" s="177" t="n"/>
    </row>
    <row r="199">
      <c r="A199" s="177" t="n"/>
      <c r="B199" s="177" t="n"/>
      <c r="C199" s="177" t="n"/>
      <c r="D199" s="177" t="n"/>
      <c r="E199" s="177" t="n"/>
      <c r="F199" s="177" t="n"/>
      <c r="G199" s="177" t="n"/>
      <c r="H199" s="177" t="n"/>
      <c r="I199" s="177" t="n"/>
      <c r="J199" s="177" t="n"/>
      <c r="K199" s="177" t="n"/>
      <c r="L199" s="177" t="n"/>
      <c r="M199" s="177" t="n"/>
      <c r="N199" s="177" t="n"/>
      <c r="O199" s="177" t="n"/>
      <c r="P199" s="177" t="n"/>
      <c r="Q199" s="177" t="n"/>
      <c r="R199" s="177" t="n"/>
      <c r="S199" s="177" t="n"/>
      <c r="T199" s="177" t="n"/>
      <c r="U199" s="177" t="n"/>
      <c r="V199" s="177" t="n"/>
      <c r="W199" s="177" t="n"/>
      <c r="X199" s="177" t="n"/>
      <c r="Y199" s="177" t="n"/>
    </row>
    <row r="200">
      <c r="A200" s="177" t="n"/>
      <c r="B200" s="177" t="n"/>
      <c r="C200" s="177" t="n"/>
      <c r="D200" s="177" t="n"/>
      <c r="E200" s="177" t="n"/>
      <c r="F200" s="177" t="n"/>
      <c r="G200" s="177" t="n"/>
      <c r="H200" s="177" t="n"/>
      <c r="I200" s="177" t="n"/>
      <c r="J200" s="177" t="n"/>
      <c r="K200" s="177" t="n"/>
      <c r="L200" s="177" t="n"/>
      <c r="M200" s="177" t="n"/>
      <c r="N200" s="177" t="n"/>
      <c r="O200" s="177" t="n"/>
      <c r="P200" s="177" t="n"/>
      <c r="Q200" s="177" t="n"/>
      <c r="R200" s="177" t="n"/>
      <c r="S200" s="177" t="n"/>
      <c r="T200" s="177" t="n"/>
      <c r="U200" s="177" t="n"/>
      <c r="V200" s="177" t="n"/>
      <c r="W200" s="177" t="n"/>
      <c r="X200" s="177" t="n"/>
      <c r="Y200" s="177" t="n"/>
    </row>
    <row r="201">
      <c r="A201" s="177" t="n"/>
      <c r="B201" s="177" t="n"/>
      <c r="C201" s="177" t="n"/>
      <c r="D201" s="177" t="n"/>
      <c r="E201" s="177" t="n"/>
      <c r="F201" s="177" t="n"/>
      <c r="G201" s="177" t="n"/>
      <c r="H201" s="177" t="n"/>
      <c r="I201" s="177" t="n"/>
      <c r="J201" s="177" t="n"/>
      <c r="K201" s="177" t="n"/>
      <c r="L201" s="177" t="n"/>
      <c r="M201" s="177" t="n"/>
      <c r="N201" s="177" t="n"/>
      <c r="O201" s="177" t="n"/>
      <c r="P201" s="177" t="n"/>
      <c r="Q201" s="177" t="n"/>
      <c r="R201" s="177" t="n"/>
      <c r="S201" s="177" t="n"/>
      <c r="T201" s="177" t="n"/>
      <c r="U201" s="177" t="n"/>
      <c r="V201" s="177" t="n"/>
      <c r="W201" s="177" t="n"/>
      <c r="X201" s="177" t="n"/>
      <c r="Y201" s="177" t="n"/>
    </row>
    <row r="202">
      <c r="A202" s="177" t="n"/>
      <c r="B202" s="177" t="n"/>
      <c r="C202" s="177" t="n"/>
      <c r="D202" s="177" t="n"/>
      <c r="E202" s="177" t="n"/>
      <c r="F202" s="177" t="n"/>
      <c r="G202" s="177" t="n"/>
      <c r="H202" s="177" t="n"/>
      <c r="I202" s="177" t="n"/>
      <c r="J202" s="177" t="n"/>
      <c r="K202" s="177" t="n"/>
      <c r="L202" s="177" t="n"/>
      <c r="M202" s="177" t="n"/>
      <c r="N202" s="177" t="n"/>
      <c r="O202" s="177" t="n"/>
      <c r="P202" s="177" t="n"/>
      <c r="Q202" s="177" t="n"/>
      <c r="R202" s="177" t="n"/>
      <c r="S202" s="177" t="n"/>
      <c r="T202" s="177" t="n"/>
      <c r="U202" s="177" t="n"/>
      <c r="V202" s="177" t="n"/>
      <c r="W202" s="177" t="n"/>
      <c r="X202" s="177" t="n"/>
      <c r="Y202" s="177" t="n"/>
    </row>
    <row r="203">
      <c r="A203" s="177" t="n"/>
      <c r="B203" s="177" t="n"/>
      <c r="C203" s="177" t="n"/>
      <c r="D203" s="177" t="n"/>
      <c r="E203" s="177" t="n"/>
      <c r="F203" s="177" t="n"/>
      <c r="G203" s="177" t="n"/>
      <c r="H203" s="177" t="n"/>
      <c r="I203" s="177" t="n"/>
      <c r="J203" s="177" t="n"/>
      <c r="K203" s="177" t="n"/>
      <c r="L203" s="177" t="n"/>
      <c r="M203" s="177" t="n"/>
      <c r="N203" s="177" t="n"/>
      <c r="O203" s="177" t="n"/>
      <c r="P203" s="177" t="n"/>
      <c r="Q203" s="177" t="n"/>
      <c r="R203" s="177" t="n"/>
      <c r="S203" s="177" t="n"/>
      <c r="T203" s="177" t="n"/>
      <c r="U203" s="177" t="n"/>
      <c r="V203" s="177" t="n"/>
      <c r="W203" s="177" t="n"/>
      <c r="X203" s="177" t="n"/>
      <c r="Y203" s="177" t="n"/>
    </row>
    <row r="204">
      <c r="A204" s="177" t="n"/>
      <c r="B204" s="177" t="n"/>
      <c r="C204" s="177" t="n"/>
      <c r="D204" s="177" t="n"/>
      <c r="E204" s="177" t="n"/>
      <c r="F204" s="177" t="n"/>
      <c r="G204" s="177" t="n"/>
      <c r="H204" s="177" t="n"/>
      <c r="I204" s="177" t="n"/>
      <c r="J204" s="177" t="n"/>
      <c r="K204" s="177" t="n"/>
      <c r="L204" s="177" t="n"/>
      <c r="M204" s="177" t="n"/>
      <c r="N204" s="177" t="n"/>
      <c r="O204" s="177" t="n"/>
      <c r="P204" s="177" t="n"/>
      <c r="Q204" s="177" t="n"/>
      <c r="R204" s="177" t="n"/>
      <c r="S204" s="177" t="n"/>
      <c r="T204" s="177" t="n"/>
      <c r="U204" s="177" t="n"/>
      <c r="V204" s="177" t="n"/>
      <c r="W204" s="177" t="n"/>
      <c r="X204" s="177" t="n"/>
      <c r="Y204" s="177" t="n"/>
    </row>
    <row r="205">
      <c r="A205" s="177" t="n"/>
      <c r="B205" s="177" t="n"/>
      <c r="C205" s="177" t="n"/>
      <c r="D205" s="177" t="n"/>
      <c r="E205" s="177" t="n"/>
      <c r="F205" s="177" t="n"/>
      <c r="G205" s="177" t="n"/>
      <c r="H205" s="177" t="n"/>
      <c r="I205" s="177" t="n"/>
      <c r="J205" s="177" t="n"/>
      <c r="K205" s="177" t="n"/>
      <c r="L205" s="177" t="n"/>
      <c r="M205" s="177" t="n"/>
      <c r="N205" s="177" t="n"/>
      <c r="O205" s="177" t="n"/>
      <c r="P205" s="177" t="n"/>
      <c r="Q205" s="177" t="n"/>
      <c r="R205" s="177" t="n"/>
      <c r="S205" s="177" t="n"/>
      <c r="T205" s="177" t="n"/>
      <c r="U205" s="177" t="n"/>
      <c r="V205" s="177" t="n"/>
      <c r="W205" s="177" t="n"/>
      <c r="X205" s="177" t="n"/>
      <c r="Y205" s="177" t="n"/>
    </row>
    <row r="206">
      <c r="A206" s="177" t="n"/>
      <c r="B206" s="177" t="n"/>
      <c r="C206" s="177" t="n"/>
      <c r="D206" s="177" t="n"/>
      <c r="E206" s="177" t="n"/>
      <c r="F206" s="177" t="n"/>
      <c r="G206" s="177" t="n"/>
      <c r="H206" s="177" t="n"/>
      <c r="I206" s="177" t="n"/>
      <c r="J206" s="177" t="n"/>
      <c r="K206" s="177" t="n"/>
      <c r="L206" s="177" t="n"/>
      <c r="M206" s="177" t="n"/>
      <c r="N206" s="177" t="n"/>
      <c r="O206" s="177" t="n"/>
      <c r="P206" s="177" t="n"/>
      <c r="Q206" s="177" t="n"/>
      <c r="R206" s="177" t="n"/>
      <c r="S206" s="177" t="n"/>
      <c r="T206" s="177" t="n"/>
      <c r="U206" s="177" t="n"/>
      <c r="V206" s="177" t="n"/>
      <c r="W206" s="177" t="n"/>
      <c r="X206" s="177" t="n"/>
      <c r="Y206" s="177" t="n"/>
    </row>
    <row r="207">
      <c r="A207" s="177" t="n"/>
      <c r="B207" s="177" t="n"/>
      <c r="C207" s="177" t="n"/>
      <c r="D207" s="177" t="n"/>
      <c r="E207" s="177" t="n"/>
      <c r="F207" s="177" t="n"/>
      <c r="G207" s="177" t="n"/>
      <c r="H207" s="177" t="n"/>
      <c r="I207" s="177" t="n"/>
      <c r="J207" s="177" t="n"/>
      <c r="K207" s="177" t="n"/>
      <c r="L207" s="177" t="n"/>
      <c r="M207" s="177" t="n"/>
      <c r="N207" s="177" t="n"/>
      <c r="O207" s="177" t="n"/>
      <c r="P207" s="177" t="n"/>
      <c r="Q207" s="177" t="n"/>
      <c r="R207" s="177" t="n"/>
      <c r="S207" s="177" t="n"/>
      <c r="T207" s="177" t="n"/>
      <c r="U207" s="177" t="n"/>
      <c r="V207" s="177" t="n"/>
      <c r="W207" s="177" t="n"/>
      <c r="X207" s="177" t="n"/>
      <c r="Y207" s="177" t="n"/>
    </row>
    <row r="208">
      <c r="A208" s="177" t="n"/>
      <c r="B208" s="177" t="n"/>
      <c r="C208" s="177" t="n"/>
      <c r="D208" s="177" t="n"/>
      <c r="E208" s="177" t="n"/>
      <c r="F208" s="177" t="n"/>
      <c r="G208" s="177" t="n"/>
      <c r="H208" s="177" t="n"/>
      <c r="I208" s="177" t="n"/>
      <c r="J208" s="177" t="n"/>
      <c r="K208" s="177" t="n"/>
      <c r="L208" s="177" t="n"/>
      <c r="M208" s="177" t="n"/>
      <c r="N208" s="177" t="n"/>
      <c r="O208" s="177" t="n"/>
      <c r="P208" s="177" t="n"/>
      <c r="Q208" s="177" t="n"/>
      <c r="R208" s="177" t="n"/>
      <c r="S208" s="177" t="n"/>
      <c r="T208" s="177" t="n"/>
      <c r="U208" s="177" t="n"/>
      <c r="V208" s="177" t="n"/>
      <c r="W208" s="177" t="n"/>
      <c r="X208" s="177" t="n"/>
      <c r="Y208" s="177" t="n"/>
    </row>
    <row r="209">
      <c r="A209" s="177" t="n"/>
      <c r="B209" s="177" t="n"/>
      <c r="C209" s="177" t="n"/>
      <c r="D209" s="177" t="n"/>
      <c r="E209" s="177" t="n"/>
      <c r="F209" s="177" t="n"/>
      <c r="G209" s="177" t="n"/>
      <c r="H209" s="177" t="n"/>
      <c r="I209" s="177" t="n"/>
      <c r="J209" s="177" t="n"/>
      <c r="K209" s="177" t="n"/>
      <c r="L209" s="177" t="n"/>
      <c r="M209" s="177" t="n"/>
      <c r="N209" s="177" t="n"/>
      <c r="O209" s="177" t="n"/>
      <c r="P209" s="177" t="n"/>
      <c r="Q209" s="177" t="n"/>
      <c r="R209" s="177" t="n"/>
      <c r="S209" s="177" t="n"/>
      <c r="T209" s="177" t="n"/>
      <c r="U209" s="177" t="n"/>
      <c r="V209" s="177" t="n"/>
      <c r="W209" s="177" t="n"/>
      <c r="X209" s="177" t="n"/>
      <c r="Y209" s="177" t="n"/>
    </row>
    <row r="210">
      <c r="A210" s="177" t="n"/>
      <c r="B210" s="177" t="n"/>
      <c r="C210" s="177" t="n"/>
      <c r="D210" s="177" t="n"/>
      <c r="E210" s="177" t="n"/>
      <c r="F210" s="177" t="n"/>
      <c r="G210" s="177" t="n"/>
      <c r="H210" s="177" t="n"/>
      <c r="I210" s="177" t="n"/>
      <c r="J210" s="177" t="n"/>
      <c r="K210" s="177" t="n"/>
      <c r="L210" s="177" t="n"/>
      <c r="M210" s="177" t="n"/>
      <c r="N210" s="177" t="n"/>
      <c r="O210" s="177" t="n"/>
      <c r="P210" s="177" t="n"/>
      <c r="Q210" s="177" t="n"/>
      <c r="R210" s="177" t="n"/>
      <c r="S210" s="177" t="n"/>
      <c r="T210" s="177" t="n"/>
      <c r="U210" s="177" t="n"/>
      <c r="V210" s="177" t="n"/>
      <c r="W210" s="177" t="n"/>
      <c r="X210" s="177" t="n"/>
      <c r="Y210" s="177" t="n"/>
    </row>
    <row r="211">
      <c r="A211" s="177" t="n"/>
      <c r="B211" s="177" t="n"/>
      <c r="C211" s="177" t="n"/>
      <c r="D211" s="177" t="n"/>
      <c r="E211" s="177" t="n"/>
      <c r="F211" s="177" t="n"/>
      <c r="G211" s="177" t="n"/>
      <c r="H211" s="177" t="n"/>
      <c r="I211" s="177" t="n"/>
      <c r="J211" s="177" t="n"/>
      <c r="K211" s="177" t="n"/>
      <c r="L211" s="177" t="n"/>
      <c r="M211" s="177" t="n"/>
      <c r="N211" s="177" t="n"/>
      <c r="O211" s="177" t="n"/>
      <c r="P211" s="177" t="n"/>
      <c r="Q211" s="177" t="n"/>
      <c r="R211" s="177" t="n"/>
      <c r="S211" s="177" t="n"/>
      <c r="T211" s="177" t="n"/>
      <c r="U211" s="177" t="n"/>
      <c r="V211" s="177" t="n"/>
      <c r="W211" s="177" t="n"/>
      <c r="X211" s="177" t="n"/>
      <c r="Y211" s="177" t="n"/>
    </row>
    <row r="212">
      <c r="A212" s="177" t="n"/>
      <c r="B212" s="177" t="n"/>
      <c r="C212" s="177" t="n"/>
      <c r="D212" s="177" t="n"/>
      <c r="E212" s="177" t="n"/>
      <c r="F212" s="177" t="n"/>
      <c r="G212" s="177" t="n"/>
      <c r="H212" s="177" t="n"/>
      <c r="I212" s="177" t="n"/>
      <c r="J212" s="177" t="n"/>
      <c r="K212" s="177" t="n"/>
      <c r="L212" s="177" t="n"/>
      <c r="M212" s="177" t="n"/>
      <c r="N212" s="177" t="n"/>
      <c r="O212" s="177" t="n"/>
      <c r="P212" s="177" t="n"/>
      <c r="Q212" s="177" t="n"/>
      <c r="R212" s="177" t="n"/>
      <c r="S212" s="177" t="n"/>
      <c r="T212" s="177" t="n"/>
      <c r="U212" s="177" t="n"/>
      <c r="V212" s="177" t="n"/>
      <c r="W212" s="177" t="n"/>
      <c r="X212" s="177" t="n"/>
      <c r="Y212" s="177" t="n"/>
    </row>
    <row r="213">
      <c r="A213" s="177" t="n"/>
      <c r="B213" s="177" t="n"/>
      <c r="C213" s="177" t="n"/>
      <c r="D213" s="177" t="n"/>
      <c r="E213" s="177" t="n"/>
      <c r="F213" s="177" t="n"/>
      <c r="G213" s="177" t="n"/>
      <c r="H213" s="177" t="n"/>
      <c r="I213" s="177" t="n"/>
      <c r="J213" s="177" t="n"/>
      <c r="K213" s="177" t="n"/>
      <c r="L213" s="177" t="n"/>
      <c r="M213" s="177" t="n"/>
      <c r="N213" s="177" t="n"/>
      <c r="O213" s="177" t="n"/>
      <c r="P213" s="177" t="n"/>
      <c r="Q213" s="177" t="n"/>
      <c r="R213" s="177" t="n"/>
      <c r="S213" s="177" t="n"/>
      <c r="T213" s="177" t="n"/>
      <c r="U213" s="177" t="n"/>
      <c r="V213" s="177" t="n"/>
      <c r="W213" s="177" t="n"/>
      <c r="X213" s="177" t="n"/>
      <c r="Y213" s="177" t="n"/>
    </row>
    <row r="214">
      <c r="A214" s="177" t="n"/>
      <c r="B214" s="177" t="n"/>
      <c r="C214" s="177" t="n"/>
      <c r="D214" s="177" t="n"/>
      <c r="E214" s="177" t="n"/>
      <c r="F214" s="177" t="n"/>
      <c r="G214" s="177" t="n"/>
      <c r="H214" s="177" t="n"/>
      <c r="I214" s="177" t="n"/>
      <c r="J214" s="177" t="n"/>
      <c r="K214" s="177" t="n"/>
      <c r="L214" s="177" t="n"/>
      <c r="M214" s="177" t="n"/>
      <c r="N214" s="177" t="n"/>
      <c r="O214" s="177" t="n"/>
      <c r="P214" s="177" t="n"/>
      <c r="Q214" s="177" t="n"/>
      <c r="R214" s="177" t="n"/>
      <c r="S214" s="177" t="n"/>
      <c r="T214" s="177" t="n"/>
      <c r="U214" s="177" t="n"/>
      <c r="V214" s="177" t="n"/>
      <c r="W214" s="177" t="n"/>
      <c r="X214" s="177" t="n"/>
      <c r="Y214" s="177" t="n"/>
    </row>
    <row r="215">
      <c r="A215" s="177" t="n"/>
      <c r="B215" s="177" t="n"/>
      <c r="C215" s="177" t="n"/>
      <c r="D215" s="177" t="n"/>
      <c r="E215" s="177" t="n"/>
      <c r="F215" s="177" t="n"/>
      <c r="G215" s="177" t="n"/>
      <c r="H215" s="177" t="n"/>
      <c r="I215" s="177" t="n"/>
      <c r="J215" s="177" t="n"/>
      <c r="K215" s="177" t="n"/>
      <c r="L215" s="177" t="n"/>
      <c r="M215" s="177" t="n"/>
      <c r="N215" s="177" t="n"/>
      <c r="O215" s="177" t="n"/>
      <c r="P215" s="177" t="n"/>
      <c r="Q215" s="177" t="n"/>
      <c r="R215" s="177" t="n"/>
      <c r="S215" s="177" t="n"/>
      <c r="T215" s="177" t="n"/>
      <c r="U215" s="177" t="n"/>
      <c r="V215" s="177" t="n"/>
      <c r="W215" s="177" t="n"/>
      <c r="X215" s="177" t="n"/>
      <c r="Y215" s="177" t="n"/>
    </row>
    <row r="216">
      <c r="A216" s="177" t="n"/>
      <c r="B216" s="177" t="n"/>
      <c r="C216" s="177" t="n"/>
      <c r="D216" s="177" t="n"/>
      <c r="E216" s="177" t="n"/>
      <c r="F216" s="177" t="n"/>
      <c r="G216" s="177" t="n"/>
      <c r="H216" s="177" t="n"/>
      <c r="I216" s="177" t="n"/>
      <c r="J216" s="177" t="n"/>
      <c r="K216" s="177" t="n"/>
      <c r="L216" s="177" t="n"/>
      <c r="M216" s="177" t="n"/>
      <c r="N216" s="177" t="n"/>
      <c r="O216" s="177" t="n"/>
      <c r="P216" s="177" t="n"/>
      <c r="Q216" s="177" t="n"/>
      <c r="R216" s="177" t="n"/>
      <c r="S216" s="177" t="n"/>
      <c r="T216" s="177" t="n"/>
      <c r="U216" s="177" t="n"/>
      <c r="V216" s="177" t="n"/>
      <c r="W216" s="177" t="n"/>
      <c r="X216" s="177" t="n"/>
      <c r="Y216" s="177" t="n"/>
    </row>
    <row r="217">
      <c r="A217" s="177" t="n"/>
      <c r="B217" s="177" t="n"/>
      <c r="C217" s="177" t="n"/>
      <c r="D217" s="177" t="n"/>
      <c r="E217" s="177" t="n"/>
      <c r="F217" s="177" t="n"/>
      <c r="G217" s="177" t="n"/>
      <c r="H217" s="177" t="n"/>
      <c r="I217" s="177" t="n"/>
      <c r="J217" s="177" t="n"/>
      <c r="K217" s="177" t="n"/>
      <c r="L217" s="177" t="n"/>
      <c r="M217" s="177" t="n"/>
      <c r="N217" s="177" t="n"/>
      <c r="O217" s="177" t="n"/>
      <c r="P217" s="177" t="n"/>
      <c r="Q217" s="177" t="n"/>
      <c r="R217" s="177" t="n"/>
      <c r="S217" s="177" t="n"/>
      <c r="T217" s="177" t="n"/>
      <c r="U217" s="177" t="n"/>
      <c r="V217" s="177" t="n"/>
      <c r="W217" s="177" t="n"/>
      <c r="X217" s="177" t="n"/>
      <c r="Y217" s="177" t="n"/>
    </row>
    <row r="218">
      <c r="A218" s="177" t="n"/>
      <c r="B218" s="177" t="n"/>
      <c r="C218" s="177" t="n"/>
      <c r="D218" s="177" t="n"/>
      <c r="E218" s="177" t="n"/>
      <c r="F218" s="177" t="n"/>
      <c r="G218" s="177" t="n"/>
      <c r="H218" s="177" t="n"/>
      <c r="I218" s="177" t="n"/>
      <c r="J218" s="177" t="n"/>
      <c r="K218" s="177" t="n"/>
      <c r="L218" s="177" t="n"/>
      <c r="M218" s="177" t="n"/>
      <c r="N218" s="177" t="n"/>
      <c r="O218" s="177" t="n"/>
      <c r="P218" s="177" t="n"/>
      <c r="Q218" s="177" t="n"/>
      <c r="R218" s="177" t="n"/>
      <c r="S218" s="177" t="n"/>
      <c r="T218" s="177" t="n"/>
      <c r="U218" s="177" t="n"/>
      <c r="V218" s="177" t="n"/>
      <c r="W218" s="177" t="n"/>
      <c r="X218" s="177" t="n"/>
      <c r="Y218" s="177" t="n"/>
    </row>
    <row r="219">
      <c r="A219" s="177" t="n"/>
      <c r="B219" s="177" t="n"/>
      <c r="C219" s="177" t="n"/>
      <c r="D219" s="177" t="n"/>
      <c r="E219" s="177" t="n"/>
      <c r="F219" s="177" t="n"/>
      <c r="G219" s="177" t="n"/>
      <c r="H219" s="177" t="n"/>
      <c r="I219" s="177" t="n"/>
      <c r="J219" s="177" t="n"/>
      <c r="K219" s="177" t="n"/>
      <c r="L219" s="177" t="n"/>
      <c r="M219" s="177" t="n"/>
      <c r="N219" s="177" t="n"/>
      <c r="O219" s="177" t="n"/>
      <c r="P219" s="177" t="n"/>
      <c r="Q219" s="177" t="n"/>
      <c r="R219" s="177" t="n"/>
      <c r="S219" s="177" t="n"/>
      <c r="T219" s="177" t="n"/>
      <c r="U219" s="177" t="n"/>
      <c r="V219" s="177" t="n"/>
      <c r="W219" s="177" t="n"/>
      <c r="X219" s="177" t="n"/>
      <c r="Y219" s="177" t="n"/>
    </row>
    <row r="220">
      <c r="A220" s="177" t="n"/>
      <c r="B220" s="177" t="n"/>
      <c r="C220" s="177" t="n"/>
      <c r="D220" s="177" t="n"/>
      <c r="E220" s="177" t="n"/>
      <c r="F220" s="177" t="n"/>
      <c r="G220" s="177" t="n"/>
      <c r="H220" s="177" t="n"/>
      <c r="I220" s="177" t="n"/>
      <c r="J220" s="177" t="n"/>
      <c r="K220" s="177" t="n"/>
      <c r="L220" s="177" t="n"/>
      <c r="M220" s="177" t="n"/>
      <c r="N220" s="177" t="n"/>
      <c r="O220" s="177" t="n"/>
      <c r="P220" s="177" t="n"/>
      <c r="Q220" s="177" t="n"/>
      <c r="R220" s="177" t="n"/>
      <c r="S220" s="177" t="n"/>
      <c r="T220" s="177" t="n"/>
      <c r="U220" s="177" t="n"/>
      <c r="V220" s="177" t="n"/>
      <c r="W220" s="177" t="n"/>
      <c r="X220" s="177" t="n"/>
      <c r="Y220" s="177" t="n"/>
    </row>
    <row r="221">
      <c r="A221" s="177" t="n"/>
      <c r="B221" s="177" t="n"/>
      <c r="C221" s="177" t="n"/>
      <c r="D221" s="177" t="n"/>
      <c r="E221" s="177" t="n"/>
      <c r="F221" s="177" t="n"/>
      <c r="G221" s="177" t="n"/>
      <c r="H221" s="177" t="n"/>
      <c r="I221" s="177" t="n"/>
      <c r="J221" s="177" t="n"/>
      <c r="K221" s="177" t="n"/>
      <c r="L221" s="177" t="n"/>
      <c r="M221" s="177" t="n"/>
      <c r="N221" s="177" t="n"/>
      <c r="O221" s="177" t="n"/>
      <c r="P221" s="177" t="n"/>
      <c r="Q221" s="177" t="n"/>
      <c r="R221" s="177" t="n"/>
      <c r="S221" s="177" t="n"/>
      <c r="T221" s="177" t="n"/>
      <c r="U221" s="177" t="n"/>
      <c r="V221" s="177" t="n"/>
      <c r="W221" s="177" t="n"/>
      <c r="X221" s="177" t="n"/>
      <c r="Y221" s="177" t="n"/>
    </row>
    <row r="222">
      <c r="A222" s="177" t="n"/>
      <c r="B222" s="177" t="n"/>
      <c r="C222" s="177" t="n"/>
      <c r="D222" s="177" t="n"/>
      <c r="E222" s="177" t="n"/>
      <c r="F222" s="177" t="n"/>
      <c r="G222" s="177" t="n"/>
      <c r="H222" s="177" t="n"/>
      <c r="I222" s="177" t="n"/>
      <c r="J222" s="177" t="n"/>
      <c r="K222" s="177" t="n"/>
      <c r="L222" s="177" t="n"/>
      <c r="M222" s="177" t="n"/>
      <c r="N222" s="177" t="n"/>
      <c r="O222" s="177" t="n"/>
      <c r="P222" s="177" t="n"/>
      <c r="Q222" s="177" t="n"/>
      <c r="R222" s="177" t="n"/>
      <c r="S222" s="177" t="n"/>
      <c r="T222" s="177" t="n"/>
      <c r="U222" s="177" t="n"/>
      <c r="V222" s="177" t="n"/>
      <c r="W222" s="177" t="n"/>
      <c r="X222" s="177" t="n"/>
      <c r="Y222" s="177" t="n"/>
    </row>
    <row r="223">
      <c r="A223" s="177" t="n"/>
      <c r="B223" s="177" t="n"/>
      <c r="C223" s="177" t="n"/>
      <c r="D223" s="177" t="n"/>
      <c r="E223" s="177" t="n"/>
      <c r="F223" s="177" t="n"/>
      <c r="G223" s="177" t="n"/>
      <c r="H223" s="177" t="n"/>
      <c r="I223" s="177" t="n"/>
      <c r="J223" s="177" t="n"/>
      <c r="K223" s="177" t="n"/>
      <c r="L223" s="177" t="n"/>
      <c r="M223" s="177" t="n"/>
      <c r="N223" s="177" t="n"/>
      <c r="O223" s="177" t="n"/>
      <c r="P223" s="177" t="n"/>
      <c r="Q223" s="177" t="n"/>
      <c r="R223" s="177" t="n"/>
      <c r="S223" s="177" t="n"/>
      <c r="T223" s="177" t="n"/>
      <c r="U223" s="177" t="n"/>
      <c r="V223" s="177" t="n"/>
      <c r="W223" s="177" t="n"/>
      <c r="X223" s="177" t="n"/>
      <c r="Y223" s="177" t="n"/>
    </row>
    <row r="224">
      <c r="A224" s="177" t="n"/>
      <c r="B224" s="177" t="n"/>
      <c r="C224" s="177" t="n"/>
      <c r="D224" s="177" t="n"/>
      <c r="E224" s="177" t="n"/>
      <c r="F224" s="177" t="n"/>
      <c r="G224" s="177" t="n"/>
      <c r="H224" s="177" t="n"/>
      <c r="I224" s="177" t="n"/>
      <c r="J224" s="177" t="n"/>
      <c r="K224" s="177" t="n"/>
      <c r="L224" s="177" t="n"/>
      <c r="M224" s="177" t="n"/>
      <c r="N224" s="177" t="n"/>
      <c r="O224" s="177" t="n"/>
      <c r="P224" s="177" t="n"/>
      <c r="Q224" s="177" t="n"/>
      <c r="R224" s="177" t="n"/>
      <c r="S224" s="177" t="n"/>
      <c r="T224" s="177" t="n"/>
      <c r="U224" s="177" t="n"/>
      <c r="V224" s="177" t="n"/>
      <c r="W224" s="177" t="n"/>
      <c r="X224" s="177" t="n"/>
      <c r="Y224" s="177" t="n"/>
    </row>
    <row r="225">
      <c r="A225" s="177" t="n"/>
      <c r="B225" s="177" t="n"/>
      <c r="C225" s="177" t="n"/>
      <c r="D225" s="177" t="n"/>
      <c r="E225" s="177" t="n"/>
      <c r="F225" s="177" t="n"/>
      <c r="G225" s="177" t="n"/>
      <c r="H225" s="177" t="n"/>
      <c r="I225" s="177" t="n"/>
      <c r="J225" s="177" t="n"/>
      <c r="K225" s="177" t="n"/>
      <c r="L225" s="177" t="n"/>
      <c r="M225" s="177" t="n"/>
      <c r="N225" s="177" t="n"/>
      <c r="O225" s="177" t="n"/>
      <c r="P225" s="177" t="n"/>
      <c r="Q225" s="177" t="n"/>
      <c r="R225" s="177" t="n"/>
      <c r="S225" s="177" t="n"/>
      <c r="T225" s="177" t="n"/>
      <c r="U225" s="177" t="n"/>
      <c r="V225" s="177" t="n"/>
      <c r="W225" s="177" t="n"/>
      <c r="X225" s="177" t="n"/>
      <c r="Y225" s="177" t="n"/>
    </row>
    <row r="226">
      <c r="A226" s="177" t="n"/>
      <c r="B226" s="177" t="n"/>
      <c r="C226" s="177" t="n"/>
      <c r="D226" s="177" t="n"/>
      <c r="E226" s="177" t="n"/>
      <c r="F226" s="177" t="n"/>
      <c r="G226" s="177" t="n"/>
      <c r="H226" s="177" t="n"/>
      <c r="I226" s="177" t="n"/>
      <c r="J226" s="177" t="n"/>
      <c r="K226" s="177" t="n"/>
      <c r="L226" s="177" t="n"/>
      <c r="M226" s="177" t="n"/>
      <c r="N226" s="177" t="n"/>
      <c r="O226" s="177" t="n"/>
      <c r="P226" s="177" t="n"/>
      <c r="Q226" s="177" t="n"/>
      <c r="R226" s="177" t="n"/>
      <c r="S226" s="177" t="n"/>
      <c r="T226" s="177" t="n"/>
      <c r="U226" s="177" t="n"/>
      <c r="V226" s="177" t="n"/>
      <c r="W226" s="177" t="n"/>
      <c r="X226" s="177" t="n"/>
      <c r="Y226" s="177" t="n"/>
    </row>
    <row r="227">
      <c r="A227" s="177" t="n"/>
      <c r="B227" s="177" t="n"/>
      <c r="C227" s="177" t="n"/>
      <c r="D227" s="177" t="n"/>
      <c r="E227" s="177" t="n"/>
      <c r="F227" s="177" t="n"/>
      <c r="G227" s="177" t="n"/>
      <c r="H227" s="177" t="n"/>
      <c r="I227" s="177" t="n"/>
      <c r="J227" s="177" t="n"/>
      <c r="K227" s="177" t="n"/>
      <c r="L227" s="177" t="n"/>
      <c r="M227" s="177" t="n"/>
      <c r="N227" s="177" t="n"/>
      <c r="O227" s="177" t="n"/>
      <c r="P227" s="177" t="n"/>
      <c r="Q227" s="177" t="n"/>
      <c r="R227" s="177" t="n"/>
      <c r="S227" s="177" t="n"/>
      <c r="T227" s="177" t="n"/>
      <c r="U227" s="177" t="n"/>
      <c r="V227" s="177" t="n"/>
      <c r="W227" s="177" t="n"/>
      <c r="X227" s="177" t="n"/>
      <c r="Y227" s="177" t="n"/>
    </row>
    <row r="228">
      <c r="A228" s="177" t="n"/>
      <c r="B228" s="177" t="n"/>
      <c r="C228" s="177" t="n"/>
      <c r="D228" s="177" t="n"/>
      <c r="E228" s="177" t="n"/>
      <c r="F228" s="177" t="n"/>
      <c r="G228" s="177" t="n"/>
      <c r="H228" s="177" t="n"/>
      <c r="I228" s="177" t="n"/>
      <c r="J228" s="177" t="n"/>
      <c r="K228" s="177" t="n"/>
      <c r="L228" s="177" t="n"/>
      <c r="M228" s="177" t="n"/>
      <c r="N228" s="177" t="n"/>
      <c r="O228" s="177" t="n"/>
      <c r="P228" s="177" t="n"/>
      <c r="Q228" s="177" t="n"/>
      <c r="R228" s="177" t="n"/>
      <c r="S228" s="177" t="n"/>
      <c r="T228" s="177" t="n"/>
      <c r="U228" s="177" t="n"/>
      <c r="V228" s="177" t="n"/>
      <c r="W228" s="177" t="n"/>
      <c r="X228" s="177" t="n"/>
      <c r="Y228" s="177" t="n"/>
    </row>
    <row r="229">
      <c r="A229" s="177" t="n"/>
      <c r="B229" s="177" t="n"/>
      <c r="C229" s="177" t="n"/>
      <c r="D229" s="177" t="n"/>
      <c r="E229" s="177" t="n"/>
      <c r="F229" s="177" t="n"/>
      <c r="G229" s="177" t="n"/>
      <c r="H229" s="177" t="n"/>
      <c r="I229" s="177" t="n"/>
      <c r="J229" s="177" t="n"/>
      <c r="K229" s="177" t="n"/>
      <c r="L229" s="177" t="n"/>
      <c r="M229" s="177" t="n"/>
      <c r="N229" s="177" t="n"/>
      <c r="O229" s="177" t="n"/>
      <c r="P229" s="177" t="n"/>
      <c r="Q229" s="177" t="n"/>
      <c r="R229" s="177" t="n"/>
      <c r="S229" s="177" t="n"/>
      <c r="T229" s="177" t="n"/>
      <c r="U229" s="177" t="n"/>
      <c r="V229" s="177" t="n"/>
      <c r="W229" s="177" t="n"/>
      <c r="X229" s="177" t="n"/>
      <c r="Y229" s="177" t="n"/>
    </row>
    <row r="230">
      <c r="A230" s="177" t="n"/>
      <c r="B230" s="177" t="n"/>
      <c r="C230" s="177" t="n"/>
      <c r="D230" s="177" t="n"/>
      <c r="E230" s="177" t="n"/>
      <c r="F230" s="177" t="n"/>
      <c r="G230" s="177" t="n"/>
      <c r="H230" s="177" t="n"/>
      <c r="I230" s="177" t="n"/>
      <c r="J230" s="177" t="n"/>
      <c r="K230" s="177" t="n"/>
      <c r="L230" s="177" t="n"/>
      <c r="M230" s="177" t="n"/>
      <c r="N230" s="177" t="n"/>
      <c r="O230" s="177" t="n"/>
      <c r="P230" s="177" t="n"/>
      <c r="Q230" s="177" t="n"/>
      <c r="R230" s="177" t="n"/>
      <c r="S230" s="177" t="n"/>
      <c r="T230" s="177" t="n"/>
      <c r="U230" s="177" t="n"/>
      <c r="V230" s="177" t="n"/>
      <c r="W230" s="177" t="n"/>
      <c r="X230" s="177" t="n"/>
      <c r="Y230" s="177" t="n"/>
    </row>
    <row r="231">
      <c r="A231" s="177" t="n"/>
      <c r="B231" s="177" t="n"/>
      <c r="C231" s="177" t="n"/>
      <c r="D231" s="177" t="n"/>
      <c r="E231" s="177" t="n"/>
      <c r="F231" s="177" t="n"/>
      <c r="G231" s="177" t="n"/>
      <c r="H231" s="177" t="n"/>
      <c r="I231" s="177" t="n"/>
      <c r="J231" s="177" t="n"/>
      <c r="K231" s="177" t="n"/>
      <c r="L231" s="177" t="n"/>
      <c r="M231" s="177" t="n"/>
      <c r="N231" s="177" t="n"/>
      <c r="O231" s="177" t="n"/>
      <c r="P231" s="177" t="n"/>
      <c r="Q231" s="177" t="n"/>
      <c r="R231" s="177" t="n"/>
      <c r="S231" s="177" t="n"/>
      <c r="T231" s="177" t="n"/>
      <c r="U231" s="177" t="n"/>
      <c r="V231" s="177" t="n"/>
      <c r="W231" s="177" t="n"/>
      <c r="X231" s="177" t="n"/>
      <c r="Y231" s="177" t="n"/>
    </row>
    <row r="232">
      <c r="A232" s="177" t="n"/>
      <c r="B232" s="177" t="n"/>
      <c r="C232" s="177" t="n"/>
      <c r="D232" s="177" t="n"/>
      <c r="E232" s="177" t="n"/>
      <c r="F232" s="177" t="n"/>
      <c r="G232" s="177" t="n"/>
      <c r="H232" s="177" t="n"/>
      <c r="I232" s="177" t="n"/>
      <c r="J232" s="177" t="n"/>
      <c r="K232" s="177" t="n"/>
      <c r="L232" s="177" t="n"/>
      <c r="M232" s="177" t="n"/>
      <c r="N232" s="177" t="n"/>
      <c r="O232" s="177" t="n"/>
      <c r="P232" s="177" t="n"/>
      <c r="Q232" s="177" t="n"/>
      <c r="R232" s="177" t="n"/>
      <c r="S232" s="177" t="n"/>
      <c r="T232" s="177" t="n"/>
      <c r="U232" s="177" t="n"/>
      <c r="V232" s="177" t="n"/>
      <c r="W232" s="177" t="n"/>
      <c r="X232" s="177" t="n"/>
      <c r="Y232" s="177" t="n"/>
    </row>
    <row r="233">
      <c r="A233" s="177" t="n"/>
      <c r="B233" s="177" t="n"/>
      <c r="C233" s="177" t="n"/>
      <c r="D233" s="177" t="n"/>
      <c r="E233" s="177" t="n"/>
      <c r="F233" s="177" t="n"/>
      <c r="G233" s="177" t="n"/>
      <c r="H233" s="177" t="n"/>
      <c r="I233" s="177" t="n"/>
      <c r="J233" s="177" t="n"/>
      <c r="K233" s="177" t="n"/>
      <c r="L233" s="177" t="n"/>
      <c r="M233" s="177" t="n"/>
      <c r="N233" s="177" t="n"/>
      <c r="O233" s="177" t="n"/>
      <c r="P233" s="177" t="n"/>
      <c r="Q233" s="177" t="n"/>
      <c r="R233" s="177" t="n"/>
      <c r="S233" s="177" t="n"/>
      <c r="T233" s="177" t="n"/>
      <c r="U233" s="177" t="n"/>
      <c r="V233" s="177" t="n"/>
      <c r="W233" s="177" t="n"/>
      <c r="X233" s="177" t="n"/>
      <c r="Y233" s="177" t="n"/>
    </row>
    <row r="234">
      <c r="A234" s="177" t="n"/>
      <c r="B234" s="177" t="n"/>
      <c r="C234" s="177" t="n"/>
      <c r="D234" s="177" t="n"/>
      <c r="E234" s="177" t="n"/>
      <c r="F234" s="177" t="n"/>
      <c r="G234" s="177" t="n"/>
      <c r="H234" s="177" t="n"/>
      <c r="I234" s="177" t="n"/>
      <c r="J234" s="177" t="n"/>
      <c r="K234" s="177" t="n"/>
      <c r="L234" s="177" t="n"/>
      <c r="M234" s="177" t="n"/>
      <c r="N234" s="177" t="n"/>
      <c r="O234" s="177" t="n"/>
      <c r="P234" s="177" t="n"/>
      <c r="Q234" s="177" t="n"/>
      <c r="R234" s="177" t="n"/>
      <c r="S234" s="177" t="n"/>
      <c r="T234" s="177" t="n"/>
      <c r="U234" s="177" t="n"/>
      <c r="V234" s="177" t="n"/>
      <c r="W234" s="177" t="n"/>
      <c r="X234" s="177" t="n"/>
      <c r="Y234" s="177" t="n"/>
    </row>
    <row r="235">
      <c r="A235" s="177" t="n"/>
      <c r="B235" s="177" t="n"/>
      <c r="C235" s="177" t="n"/>
      <c r="D235" s="177" t="n"/>
      <c r="E235" s="177" t="n"/>
      <c r="F235" s="177" t="n"/>
      <c r="G235" s="177" t="n"/>
      <c r="H235" s="177" t="n"/>
      <c r="I235" s="177" t="n"/>
      <c r="J235" s="177" t="n"/>
      <c r="K235" s="177" t="n"/>
      <c r="L235" s="177" t="n"/>
      <c r="M235" s="177" t="n"/>
      <c r="N235" s="177" t="n"/>
      <c r="O235" s="177" t="n"/>
      <c r="P235" s="177" t="n"/>
      <c r="Q235" s="177" t="n"/>
      <c r="R235" s="177" t="n"/>
      <c r="S235" s="177" t="n"/>
      <c r="T235" s="177" t="n"/>
      <c r="U235" s="177" t="n"/>
      <c r="V235" s="177" t="n"/>
      <c r="W235" s="177" t="n"/>
      <c r="X235" s="177" t="n"/>
      <c r="Y235" s="177" t="n"/>
    </row>
    <row r="236">
      <c r="A236" s="177" t="n"/>
      <c r="B236" s="177" t="n"/>
      <c r="C236" s="177" t="n"/>
      <c r="D236" s="177" t="n"/>
      <c r="E236" s="177" t="n"/>
      <c r="F236" s="177" t="n"/>
      <c r="G236" s="177" t="n"/>
      <c r="H236" s="177" t="n"/>
      <c r="I236" s="177" t="n"/>
      <c r="J236" s="177" t="n"/>
      <c r="K236" s="177" t="n"/>
      <c r="L236" s="177" t="n"/>
      <c r="M236" s="177" t="n"/>
      <c r="N236" s="177" t="n"/>
      <c r="O236" s="177" t="n"/>
      <c r="P236" s="177" t="n"/>
      <c r="Q236" s="177" t="n"/>
      <c r="R236" s="177" t="n"/>
      <c r="S236" s="177" t="n"/>
      <c r="T236" s="177" t="n"/>
      <c r="U236" s="177" t="n"/>
      <c r="V236" s="177" t="n"/>
      <c r="W236" s="177" t="n"/>
      <c r="X236" s="177" t="n"/>
      <c r="Y236" s="177" t="n"/>
    </row>
    <row r="237">
      <c r="A237" s="177" t="n"/>
      <c r="B237" s="177" t="n"/>
      <c r="C237" s="177" t="n"/>
      <c r="D237" s="177" t="n"/>
      <c r="E237" s="177" t="n"/>
      <c r="F237" s="177" t="n"/>
      <c r="G237" s="177" t="n"/>
      <c r="H237" s="177" t="n"/>
      <c r="I237" s="177" t="n"/>
      <c r="J237" s="177" t="n"/>
      <c r="K237" s="177" t="n"/>
      <c r="L237" s="177" t="n"/>
      <c r="M237" s="177" t="n"/>
      <c r="N237" s="177" t="n"/>
      <c r="O237" s="177" t="n"/>
      <c r="P237" s="177" t="n"/>
      <c r="Q237" s="177" t="n"/>
      <c r="R237" s="177" t="n"/>
      <c r="S237" s="177" t="n"/>
      <c r="T237" s="177" t="n"/>
      <c r="U237" s="177" t="n"/>
      <c r="V237" s="177" t="n"/>
      <c r="W237" s="177" t="n"/>
      <c r="X237" s="177" t="n"/>
      <c r="Y237" s="177" t="n"/>
    </row>
    <row r="238">
      <c r="A238" s="177" t="n"/>
      <c r="B238" s="177" t="n"/>
      <c r="C238" s="177" t="n"/>
      <c r="D238" s="177" t="n"/>
      <c r="E238" s="177" t="n"/>
      <c r="F238" s="177" t="n"/>
      <c r="G238" s="177" t="n"/>
      <c r="H238" s="177" t="n"/>
      <c r="I238" s="177" t="n"/>
      <c r="J238" s="177" t="n"/>
      <c r="K238" s="177" t="n"/>
      <c r="L238" s="177" t="n"/>
      <c r="M238" s="177" t="n"/>
      <c r="N238" s="177" t="n"/>
      <c r="O238" s="177" t="n"/>
      <c r="P238" s="177" t="n"/>
      <c r="Q238" s="177" t="n"/>
      <c r="R238" s="177" t="n"/>
      <c r="S238" s="177" t="n"/>
      <c r="T238" s="177" t="n"/>
      <c r="U238" s="177" t="n"/>
      <c r="V238" s="177" t="n"/>
      <c r="W238" s="177" t="n"/>
      <c r="X238" s="177" t="n"/>
      <c r="Y238" s="177" t="n"/>
    </row>
    <row r="239">
      <c r="A239" s="177" t="n"/>
      <c r="B239" s="177" t="n"/>
      <c r="C239" s="177" t="n"/>
      <c r="D239" s="177" t="n"/>
      <c r="E239" s="177" t="n"/>
      <c r="F239" s="177" t="n"/>
      <c r="G239" s="177" t="n"/>
      <c r="H239" s="177" t="n"/>
      <c r="I239" s="177" t="n"/>
      <c r="J239" s="177" t="n"/>
      <c r="K239" s="177" t="n"/>
      <c r="L239" s="177" t="n"/>
      <c r="M239" s="177" t="n"/>
      <c r="N239" s="177" t="n"/>
      <c r="O239" s="177" t="n"/>
      <c r="P239" s="177" t="n"/>
      <c r="Q239" s="177" t="n"/>
      <c r="R239" s="177" t="n"/>
      <c r="S239" s="177" t="n"/>
      <c r="T239" s="177" t="n"/>
      <c r="U239" s="177" t="n"/>
      <c r="V239" s="177" t="n"/>
      <c r="W239" s="177" t="n"/>
      <c r="X239" s="177" t="n"/>
      <c r="Y239" s="177" t="n"/>
    </row>
    <row r="240">
      <c r="A240" s="177" t="n"/>
      <c r="B240" s="177" t="n"/>
      <c r="C240" s="177" t="n"/>
      <c r="D240" s="177" t="n"/>
      <c r="E240" s="177" t="n"/>
      <c r="F240" s="177" t="n"/>
      <c r="G240" s="177" t="n"/>
      <c r="H240" s="177" t="n"/>
      <c r="I240" s="177" t="n"/>
      <c r="J240" s="177" t="n"/>
      <c r="K240" s="177" t="n"/>
      <c r="L240" s="177" t="n"/>
      <c r="M240" s="177" t="n"/>
      <c r="N240" s="177" t="n"/>
      <c r="O240" s="177" t="n"/>
      <c r="P240" s="177" t="n"/>
      <c r="Q240" s="177" t="n"/>
      <c r="R240" s="177" t="n"/>
      <c r="S240" s="177" t="n"/>
      <c r="T240" s="177" t="n"/>
      <c r="U240" s="177" t="n"/>
      <c r="V240" s="177" t="n"/>
      <c r="W240" s="177" t="n"/>
      <c r="X240" s="177" t="n"/>
      <c r="Y240" s="177" t="n"/>
    </row>
    <row r="241">
      <c r="A241" s="177" t="n"/>
      <c r="B241" s="177" t="n"/>
      <c r="C241" s="177" t="n"/>
      <c r="D241" s="177" t="n"/>
      <c r="E241" s="177" t="n"/>
      <c r="F241" s="177" t="n"/>
      <c r="G241" s="177" t="n"/>
      <c r="H241" s="177" t="n"/>
      <c r="I241" s="177" t="n"/>
      <c r="J241" s="177" t="n"/>
      <c r="K241" s="177" t="n"/>
      <c r="L241" s="177" t="n"/>
      <c r="M241" s="177" t="n"/>
      <c r="N241" s="177" t="n"/>
      <c r="O241" s="177" t="n"/>
      <c r="P241" s="177" t="n"/>
      <c r="Q241" s="177" t="n"/>
      <c r="R241" s="177" t="n"/>
      <c r="S241" s="177" t="n"/>
      <c r="T241" s="177" t="n"/>
      <c r="U241" s="177" t="n"/>
      <c r="V241" s="177" t="n"/>
      <c r="W241" s="177" t="n"/>
      <c r="X241" s="177" t="n"/>
      <c r="Y241" s="177" t="n"/>
    </row>
    <row r="242">
      <c r="A242" s="177" t="n"/>
      <c r="B242" s="177" t="n"/>
      <c r="C242" s="177" t="n"/>
      <c r="D242" s="177" t="n"/>
      <c r="E242" s="177" t="n"/>
      <c r="F242" s="177" t="n"/>
      <c r="G242" s="177" t="n"/>
      <c r="H242" s="177" t="n"/>
      <c r="I242" s="177" t="n"/>
      <c r="J242" s="177" t="n"/>
      <c r="K242" s="177" t="n"/>
      <c r="L242" s="177" t="n"/>
      <c r="M242" s="177" t="n"/>
      <c r="N242" s="177" t="n"/>
      <c r="O242" s="177" t="n"/>
      <c r="P242" s="177" t="n"/>
      <c r="Q242" s="177" t="n"/>
      <c r="R242" s="177" t="n"/>
      <c r="S242" s="177" t="n"/>
      <c r="T242" s="177" t="n"/>
      <c r="U242" s="177" t="n"/>
      <c r="V242" s="177" t="n"/>
      <c r="W242" s="177" t="n"/>
      <c r="X242" s="177" t="n"/>
      <c r="Y242" s="177" t="n"/>
    </row>
    <row r="243">
      <c r="A243" s="177" t="n"/>
      <c r="B243" s="177" t="n"/>
      <c r="C243" s="177" t="n"/>
      <c r="D243" s="177" t="n"/>
      <c r="E243" s="177" t="n"/>
      <c r="F243" s="177" t="n"/>
      <c r="G243" s="177" t="n"/>
      <c r="H243" s="177" t="n"/>
      <c r="I243" s="177" t="n"/>
      <c r="J243" s="177" t="n"/>
      <c r="K243" s="177" t="n"/>
      <c r="L243" s="177" t="n"/>
      <c r="M243" s="177" t="n"/>
      <c r="N243" s="177" t="n"/>
      <c r="O243" s="177" t="n"/>
      <c r="P243" s="177" t="n"/>
      <c r="Q243" s="177" t="n"/>
      <c r="R243" s="177" t="n"/>
      <c r="S243" s="177" t="n"/>
      <c r="T243" s="177" t="n"/>
      <c r="U243" s="177" t="n"/>
      <c r="V243" s="177" t="n"/>
      <c r="W243" s="177" t="n"/>
      <c r="X243" s="177" t="n"/>
      <c r="Y243" s="177" t="n"/>
    </row>
    <row r="244">
      <c r="A244" s="177" t="n"/>
      <c r="B244" s="177" t="n"/>
      <c r="C244" s="177" t="n"/>
      <c r="D244" s="177" t="n"/>
      <c r="E244" s="177" t="n"/>
      <c r="F244" s="177" t="n"/>
      <c r="G244" s="177" t="n"/>
      <c r="H244" s="177" t="n"/>
      <c r="I244" s="177" t="n"/>
      <c r="J244" s="177" t="n"/>
      <c r="K244" s="177" t="n"/>
      <c r="L244" s="177" t="n"/>
      <c r="M244" s="177" t="n"/>
      <c r="N244" s="177" t="n"/>
      <c r="O244" s="177" t="n"/>
      <c r="P244" s="177" t="n"/>
      <c r="Q244" s="177" t="n"/>
      <c r="R244" s="177" t="n"/>
      <c r="S244" s="177" t="n"/>
      <c r="T244" s="177" t="n"/>
      <c r="U244" s="177" t="n"/>
      <c r="V244" s="177" t="n"/>
      <c r="W244" s="177" t="n"/>
      <c r="X244" s="177" t="n"/>
      <c r="Y244" s="177" t="n"/>
    </row>
    <row r="245">
      <c r="A245" s="177" t="n"/>
      <c r="B245" s="177" t="n"/>
      <c r="C245" s="177" t="n"/>
      <c r="D245" s="177" t="n"/>
      <c r="E245" s="177" t="n"/>
      <c r="F245" s="177" t="n"/>
      <c r="G245" s="177" t="n"/>
      <c r="H245" s="177" t="n"/>
      <c r="I245" s="177" t="n"/>
      <c r="J245" s="177" t="n"/>
      <c r="K245" s="177" t="n"/>
      <c r="L245" s="177" t="n"/>
      <c r="M245" s="177" t="n"/>
      <c r="N245" s="177" t="n"/>
      <c r="O245" s="177" t="n"/>
      <c r="P245" s="177" t="n"/>
      <c r="Q245" s="177" t="n"/>
      <c r="R245" s="177" t="n"/>
      <c r="S245" s="177" t="n"/>
      <c r="T245" s="177" t="n"/>
      <c r="U245" s="177" t="n"/>
      <c r="V245" s="177" t="n"/>
      <c r="W245" s="177" t="n"/>
      <c r="X245" s="177" t="n"/>
      <c r="Y245" s="177" t="n"/>
    </row>
    <row r="246">
      <c r="A246" s="177" t="n"/>
      <c r="B246" s="177" t="n"/>
      <c r="C246" s="177" t="n"/>
      <c r="D246" s="177" t="n"/>
      <c r="E246" s="177" t="n"/>
      <c r="F246" s="177" t="n"/>
      <c r="G246" s="177" t="n"/>
      <c r="H246" s="177" t="n"/>
      <c r="I246" s="177" t="n"/>
      <c r="J246" s="177" t="n"/>
      <c r="K246" s="177" t="n"/>
      <c r="L246" s="177" t="n"/>
      <c r="M246" s="177" t="n"/>
      <c r="N246" s="177" t="n"/>
      <c r="O246" s="177" t="n"/>
      <c r="P246" s="177" t="n"/>
      <c r="Q246" s="177" t="n"/>
      <c r="R246" s="177" t="n"/>
      <c r="S246" s="177" t="n"/>
      <c r="T246" s="177" t="n"/>
      <c r="U246" s="177" t="n"/>
      <c r="V246" s="177" t="n"/>
      <c r="W246" s="177" t="n"/>
      <c r="X246" s="177" t="n"/>
      <c r="Y246" s="177" t="n"/>
    </row>
    <row r="247">
      <c r="A247" s="177" t="n"/>
      <c r="B247" s="177" t="n"/>
      <c r="C247" s="177" t="n"/>
      <c r="D247" s="177" t="n"/>
      <c r="E247" s="177" t="n"/>
      <c r="F247" s="177" t="n"/>
      <c r="G247" s="177" t="n"/>
      <c r="H247" s="177" t="n"/>
      <c r="I247" s="177" t="n"/>
      <c r="J247" s="177" t="n"/>
      <c r="K247" s="177" t="n"/>
      <c r="L247" s="177" t="n"/>
      <c r="M247" s="177" t="n"/>
      <c r="N247" s="177" t="n"/>
      <c r="O247" s="177" t="n"/>
      <c r="P247" s="177" t="n"/>
      <c r="Q247" s="177" t="n"/>
      <c r="R247" s="177" t="n"/>
      <c r="S247" s="177" t="n"/>
      <c r="T247" s="177" t="n"/>
      <c r="U247" s="177" t="n"/>
      <c r="V247" s="177" t="n"/>
      <c r="W247" s="177" t="n"/>
      <c r="X247" s="177" t="n"/>
      <c r="Y247" s="177" t="n"/>
    </row>
    <row r="248">
      <c r="A248" s="177" t="n"/>
      <c r="B248" s="177" t="n"/>
      <c r="C248" s="177" t="n"/>
      <c r="D248" s="177" t="n"/>
      <c r="E248" s="177" t="n"/>
      <c r="F248" s="177" t="n"/>
      <c r="G248" s="177" t="n"/>
      <c r="H248" s="177" t="n"/>
      <c r="I248" s="177" t="n"/>
      <c r="J248" s="177" t="n"/>
      <c r="K248" s="177" t="n"/>
      <c r="L248" s="177" t="n"/>
      <c r="M248" s="177" t="n"/>
      <c r="N248" s="177" t="n"/>
      <c r="O248" s="177" t="n"/>
      <c r="P248" s="177" t="n"/>
      <c r="Q248" s="177" t="n"/>
      <c r="R248" s="177" t="n"/>
      <c r="S248" s="177" t="n"/>
      <c r="T248" s="177" t="n"/>
      <c r="U248" s="177" t="n"/>
      <c r="V248" s="177" t="n"/>
      <c r="W248" s="177" t="n"/>
      <c r="X248" s="177" t="n"/>
      <c r="Y248" s="177" t="n"/>
    </row>
    <row r="249">
      <c r="A249" s="177" t="n"/>
      <c r="B249" s="177" t="n"/>
      <c r="C249" s="177" t="n"/>
      <c r="D249" s="177" t="n"/>
      <c r="E249" s="177" t="n"/>
      <c r="F249" s="177" t="n"/>
      <c r="G249" s="177" t="n"/>
      <c r="H249" s="177" t="n"/>
      <c r="I249" s="177" t="n"/>
      <c r="J249" s="177" t="n"/>
      <c r="K249" s="177" t="n"/>
      <c r="L249" s="177" t="n"/>
      <c r="M249" s="177" t="n"/>
      <c r="N249" s="177" t="n"/>
      <c r="O249" s="177" t="n"/>
      <c r="P249" s="177" t="n"/>
      <c r="Q249" s="177" t="n"/>
      <c r="R249" s="177" t="n"/>
      <c r="S249" s="177" t="n"/>
      <c r="T249" s="177" t="n"/>
      <c r="U249" s="177" t="n"/>
      <c r="V249" s="177" t="n"/>
      <c r="W249" s="177" t="n"/>
      <c r="X249" s="177" t="n"/>
      <c r="Y249" s="177" t="n"/>
    </row>
    <row r="250">
      <c r="A250" s="177" t="n"/>
      <c r="B250" s="177" t="n"/>
      <c r="C250" s="177" t="n"/>
      <c r="D250" s="177" t="n"/>
      <c r="E250" s="177" t="n"/>
      <c r="F250" s="177" t="n"/>
      <c r="G250" s="177" t="n"/>
      <c r="H250" s="177" t="n"/>
      <c r="I250" s="177" t="n"/>
      <c r="J250" s="177" t="n"/>
      <c r="K250" s="177" t="n"/>
      <c r="L250" s="177" t="n"/>
      <c r="M250" s="177" t="n"/>
      <c r="N250" s="177" t="n"/>
      <c r="O250" s="177" t="n"/>
      <c r="P250" s="177" t="n"/>
      <c r="Q250" s="177" t="n"/>
      <c r="R250" s="177" t="n"/>
      <c r="S250" s="177" t="n"/>
      <c r="T250" s="177" t="n"/>
      <c r="U250" s="177" t="n"/>
      <c r="V250" s="177" t="n"/>
      <c r="W250" s="177" t="n"/>
      <c r="X250" s="177" t="n"/>
      <c r="Y250" s="177" t="n"/>
    </row>
    <row r="251">
      <c r="A251" s="177" t="n"/>
      <c r="B251" s="177" t="n"/>
      <c r="C251" s="177" t="n"/>
      <c r="D251" s="177" t="n"/>
      <c r="E251" s="177" t="n"/>
      <c r="F251" s="177" t="n"/>
      <c r="G251" s="177" t="n"/>
      <c r="H251" s="177" t="n"/>
      <c r="I251" s="177" t="n"/>
      <c r="J251" s="177" t="n"/>
      <c r="K251" s="177" t="n"/>
      <c r="L251" s="177" t="n"/>
      <c r="M251" s="177" t="n"/>
      <c r="N251" s="177" t="n"/>
      <c r="O251" s="177" t="n"/>
      <c r="P251" s="177" t="n"/>
      <c r="Q251" s="177" t="n"/>
      <c r="R251" s="177" t="n"/>
      <c r="S251" s="177" t="n"/>
      <c r="T251" s="177" t="n"/>
      <c r="U251" s="177" t="n"/>
      <c r="V251" s="177" t="n"/>
      <c r="W251" s="177" t="n"/>
      <c r="X251" s="177" t="n"/>
      <c r="Y251" s="177" t="n"/>
    </row>
    <row r="252">
      <c r="A252" s="177" t="n"/>
      <c r="B252" s="177" t="n"/>
      <c r="C252" s="177" t="n"/>
      <c r="D252" s="177" t="n"/>
      <c r="E252" s="177" t="n"/>
      <c r="F252" s="177" t="n"/>
      <c r="G252" s="177" t="n"/>
      <c r="H252" s="177" t="n"/>
      <c r="I252" s="177" t="n"/>
      <c r="J252" s="177" t="n"/>
      <c r="K252" s="177" t="n"/>
      <c r="L252" s="177" t="n"/>
      <c r="M252" s="177" t="n"/>
      <c r="N252" s="177" t="n"/>
      <c r="O252" s="177" t="n"/>
      <c r="P252" s="177" t="n"/>
      <c r="Q252" s="177" t="n"/>
      <c r="R252" s="177" t="n"/>
      <c r="S252" s="177" t="n"/>
      <c r="T252" s="177" t="n"/>
      <c r="U252" s="177" t="n"/>
      <c r="V252" s="177" t="n"/>
      <c r="W252" s="177" t="n"/>
      <c r="X252" s="177" t="n"/>
      <c r="Y252" s="177" t="n"/>
    </row>
    <row r="253">
      <c r="A253" s="177" t="n"/>
      <c r="B253" s="177" t="n"/>
      <c r="C253" s="177" t="n"/>
      <c r="D253" s="177" t="n"/>
      <c r="E253" s="177" t="n"/>
      <c r="F253" s="177" t="n"/>
      <c r="G253" s="177" t="n"/>
      <c r="H253" s="177" t="n"/>
      <c r="I253" s="177" t="n"/>
      <c r="J253" s="177" t="n"/>
      <c r="K253" s="177" t="n"/>
      <c r="L253" s="177" t="n"/>
      <c r="M253" s="177" t="n"/>
      <c r="N253" s="177" t="n"/>
      <c r="O253" s="177" t="n"/>
      <c r="P253" s="177" t="n"/>
      <c r="Q253" s="177" t="n"/>
      <c r="R253" s="177" t="n"/>
      <c r="S253" s="177" t="n"/>
      <c r="T253" s="177" t="n"/>
      <c r="U253" s="177" t="n"/>
      <c r="V253" s="177" t="n"/>
      <c r="W253" s="177" t="n"/>
      <c r="X253" s="177" t="n"/>
      <c r="Y253" s="177" t="n"/>
    </row>
    <row r="254">
      <c r="A254" s="177" t="n"/>
      <c r="B254" s="177" t="n"/>
      <c r="C254" s="177" t="n"/>
      <c r="D254" s="177" t="n"/>
      <c r="E254" s="177" t="n"/>
      <c r="F254" s="177" t="n"/>
      <c r="G254" s="177" t="n"/>
      <c r="H254" s="177" t="n"/>
      <c r="I254" s="177" t="n"/>
      <c r="J254" s="177" t="n"/>
      <c r="K254" s="177" t="n"/>
      <c r="L254" s="177" t="n"/>
      <c r="M254" s="177" t="n"/>
      <c r="N254" s="177" t="n"/>
      <c r="O254" s="177" t="n"/>
      <c r="P254" s="177" t="n"/>
      <c r="Q254" s="177" t="n"/>
      <c r="R254" s="177" t="n"/>
      <c r="S254" s="177" t="n"/>
      <c r="T254" s="177" t="n"/>
      <c r="U254" s="177" t="n"/>
      <c r="V254" s="177" t="n"/>
      <c r="W254" s="177" t="n"/>
      <c r="X254" s="177" t="n"/>
      <c r="Y254" s="177" t="n"/>
    </row>
    <row r="255">
      <c r="A255" s="177" t="n"/>
      <c r="B255" s="177" t="n"/>
      <c r="C255" s="177" t="n"/>
      <c r="D255" s="177" t="n"/>
      <c r="E255" s="177" t="n"/>
      <c r="F255" s="177" t="n"/>
      <c r="G255" s="177" t="n"/>
      <c r="H255" s="177" t="n"/>
      <c r="I255" s="177" t="n"/>
      <c r="J255" s="177" t="n"/>
      <c r="K255" s="177" t="n"/>
      <c r="L255" s="177" t="n"/>
      <c r="M255" s="177" t="n"/>
      <c r="N255" s="177" t="n"/>
      <c r="O255" s="177" t="n"/>
      <c r="P255" s="177" t="n"/>
      <c r="Q255" s="177" t="n"/>
      <c r="R255" s="177" t="n"/>
      <c r="S255" s="177" t="n"/>
      <c r="T255" s="177" t="n"/>
      <c r="U255" s="177" t="n"/>
      <c r="V255" s="177" t="n"/>
      <c r="W255" s="177" t="n"/>
      <c r="X255" s="177" t="n"/>
      <c r="Y255" s="177" t="n"/>
    </row>
    <row r="256">
      <c r="A256" s="177" t="n"/>
      <c r="B256" s="177" t="n"/>
      <c r="C256" s="177" t="n"/>
      <c r="D256" s="177" t="n"/>
      <c r="E256" s="177" t="n"/>
      <c r="F256" s="177" t="n"/>
      <c r="G256" s="177" t="n"/>
      <c r="H256" s="177" t="n"/>
      <c r="I256" s="177" t="n"/>
      <c r="J256" s="177" t="n"/>
      <c r="K256" s="177" t="n"/>
      <c r="L256" s="177" t="n"/>
      <c r="M256" s="177" t="n"/>
      <c r="N256" s="177" t="n"/>
      <c r="O256" s="177" t="n"/>
      <c r="P256" s="177" t="n"/>
      <c r="Q256" s="177" t="n"/>
      <c r="R256" s="177" t="n"/>
      <c r="S256" s="177" t="n"/>
      <c r="T256" s="177" t="n"/>
      <c r="U256" s="177" t="n"/>
      <c r="V256" s="177" t="n"/>
      <c r="W256" s="177" t="n"/>
      <c r="X256" s="177" t="n"/>
      <c r="Y256" s="177" t="n"/>
    </row>
    <row r="257">
      <c r="A257" s="177" t="n"/>
      <c r="B257" s="177" t="n"/>
      <c r="C257" s="177" t="n"/>
      <c r="D257" s="177" t="n"/>
      <c r="E257" s="177" t="n"/>
      <c r="F257" s="177" t="n"/>
      <c r="G257" s="177" t="n"/>
      <c r="H257" s="177" t="n"/>
      <c r="I257" s="177" t="n"/>
      <c r="J257" s="177" t="n"/>
      <c r="K257" s="177" t="n"/>
      <c r="L257" s="177" t="n"/>
      <c r="M257" s="177" t="n"/>
      <c r="N257" s="177" t="n"/>
      <c r="O257" s="177" t="n"/>
      <c r="P257" s="177" t="n"/>
      <c r="Q257" s="177" t="n"/>
      <c r="R257" s="177" t="n"/>
      <c r="S257" s="177" t="n"/>
      <c r="T257" s="177" t="n"/>
      <c r="U257" s="177" t="n"/>
      <c r="V257" s="177" t="n"/>
      <c r="W257" s="177" t="n"/>
      <c r="X257" s="177" t="n"/>
      <c r="Y257" s="177" t="n"/>
    </row>
    <row r="258">
      <c r="A258" s="177" t="n"/>
      <c r="B258" s="177" t="n"/>
      <c r="C258" s="177" t="n"/>
      <c r="D258" s="177" t="n"/>
      <c r="E258" s="177" t="n"/>
      <c r="F258" s="177" t="n"/>
      <c r="G258" s="177" t="n"/>
      <c r="H258" s="177" t="n"/>
      <c r="I258" s="177" t="n"/>
      <c r="J258" s="177" t="n"/>
      <c r="K258" s="177" t="n"/>
      <c r="L258" s="177" t="n"/>
      <c r="M258" s="177" t="n"/>
      <c r="N258" s="177" t="n"/>
      <c r="O258" s="177" t="n"/>
      <c r="P258" s="177" t="n"/>
      <c r="Q258" s="177" t="n"/>
      <c r="R258" s="177" t="n"/>
      <c r="S258" s="177" t="n"/>
      <c r="T258" s="177" t="n"/>
      <c r="U258" s="177" t="n"/>
      <c r="V258" s="177" t="n"/>
      <c r="W258" s="177" t="n"/>
      <c r="X258" s="177" t="n"/>
      <c r="Y258" s="177" t="n"/>
    </row>
    <row r="259">
      <c r="A259" s="177" t="n"/>
      <c r="B259" s="177" t="n"/>
      <c r="C259" s="177" t="n"/>
      <c r="D259" s="177" t="n"/>
      <c r="E259" s="177" t="n"/>
      <c r="F259" s="177" t="n"/>
      <c r="G259" s="177" t="n"/>
      <c r="H259" s="177" t="n"/>
      <c r="I259" s="177" t="n"/>
      <c r="J259" s="177" t="n"/>
      <c r="K259" s="177" t="n"/>
      <c r="L259" s="177" t="n"/>
      <c r="M259" s="177" t="n"/>
      <c r="N259" s="177" t="n"/>
      <c r="O259" s="177" t="n"/>
      <c r="P259" s="177" t="n"/>
      <c r="Q259" s="177" t="n"/>
      <c r="R259" s="177" t="n"/>
      <c r="S259" s="177" t="n"/>
      <c r="T259" s="177" t="n"/>
      <c r="U259" s="177" t="n"/>
      <c r="V259" s="177" t="n"/>
      <c r="W259" s="177" t="n"/>
      <c r="X259" s="177" t="n"/>
      <c r="Y259" s="177" t="n"/>
    </row>
    <row r="260">
      <c r="A260" s="177" t="n"/>
      <c r="B260" s="177" t="n"/>
      <c r="C260" s="177" t="n"/>
      <c r="D260" s="177" t="n"/>
      <c r="E260" s="177" t="n"/>
      <c r="F260" s="177" t="n"/>
      <c r="G260" s="177" t="n"/>
      <c r="H260" s="177" t="n"/>
      <c r="I260" s="177" t="n"/>
      <c r="J260" s="177" t="n"/>
      <c r="K260" s="177" t="n"/>
      <c r="L260" s="177" t="n"/>
      <c r="M260" s="177" t="n"/>
      <c r="N260" s="177" t="n"/>
      <c r="O260" s="177" t="n"/>
      <c r="P260" s="177" t="n"/>
      <c r="Q260" s="177" t="n"/>
      <c r="R260" s="177" t="n"/>
      <c r="S260" s="177" t="n"/>
      <c r="T260" s="177" t="n"/>
      <c r="U260" s="177" t="n"/>
      <c r="V260" s="177" t="n"/>
      <c r="W260" s="177" t="n"/>
      <c r="X260" s="177" t="n"/>
      <c r="Y260" s="177" t="n"/>
    </row>
    <row r="261">
      <c r="A261" s="177" t="n"/>
      <c r="B261" s="177" t="n"/>
      <c r="C261" s="177" t="n"/>
      <c r="D261" s="177" t="n"/>
      <c r="E261" s="177" t="n"/>
      <c r="F261" s="177" t="n"/>
      <c r="G261" s="177" t="n"/>
      <c r="H261" s="177" t="n"/>
      <c r="I261" s="177" t="n"/>
      <c r="J261" s="177" t="n"/>
      <c r="K261" s="177" t="n"/>
      <c r="L261" s="177" t="n"/>
      <c r="M261" s="177" t="n"/>
      <c r="N261" s="177" t="n"/>
      <c r="O261" s="177" t="n"/>
      <c r="P261" s="177" t="n"/>
      <c r="Q261" s="177" t="n"/>
      <c r="R261" s="177" t="n"/>
      <c r="S261" s="177" t="n"/>
      <c r="T261" s="177" t="n"/>
      <c r="U261" s="177" t="n"/>
      <c r="V261" s="177" t="n"/>
      <c r="W261" s="177" t="n"/>
      <c r="X261" s="177" t="n"/>
      <c r="Y261" s="177" t="n"/>
    </row>
    <row r="262">
      <c r="A262" s="177" t="n"/>
      <c r="B262" s="177" t="n"/>
      <c r="C262" s="177" t="n"/>
      <c r="D262" s="177" t="n"/>
      <c r="E262" s="177" t="n"/>
      <c r="F262" s="177" t="n"/>
      <c r="G262" s="177" t="n"/>
      <c r="H262" s="177" t="n"/>
      <c r="I262" s="177" t="n"/>
      <c r="J262" s="177" t="n"/>
      <c r="K262" s="177" t="n"/>
      <c r="L262" s="177" t="n"/>
      <c r="M262" s="177" t="n"/>
      <c r="N262" s="177" t="n"/>
      <c r="O262" s="177" t="n"/>
      <c r="P262" s="177" t="n"/>
      <c r="Q262" s="177" t="n"/>
      <c r="R262" s="177" t="n"/>
      <c r="S262" s="177" t="n"/>
      <c r="T262" s="177" t="n"/>
      <c r="U262" s="177" t="n"/>
      <c r="V262" s="177" t="n"/>
      <c r="W262" s="177" t="n"/>
      <c r="X262" s="177" t="n"/>
      <c r="Y262" s="177" t="n"/>
    </row>
    <row r="263">
      <c r="A263" s="177" t="n"/>
      <c r="B263" s="177" t="n"/>
      <c r="C263" s="177" t="n"/>
      <c r="D263" s="177" t="n"/>
      <c r="E263" s="177" t="n"/>
      <c r="F263" s="177" t="n"/>
      <c r="G263" s="177" t="n"/>
      <c r="H263" s="177" t="n"/>
      <c r="I263" s="177" t="n"/>
      <c r="J263" s="177" t="n"/>
      <c r="K263" s="177" t="n"/>
      <c r="L263" s="177" t="n"/>
      <c r="M263" s="177" t="n"/>
      <c r="N263" s="177" t="n"/>
      <c r="O263" s="177" t="n"/>
      <c r="P263" s="177" t="n"/>
      <c r="Q263" s="177" t="n"/>
      <c r="R263" s="177" t="n"/>
      <c r="S263" s="177" t="n"/>
      <c r="T263" s="177" t="n"/>
      <c r="U263" s="177" t="n"/>
      <c r="V263" s="177" t="n"/>
      <c r="W263" s="177" t="n"/>
      <c r="X263" s="177" t="n"/>
      <c r="Y263" s="177" t="n"/>
    </row>
    <row r="264">
      <c r="A264" s="177" t="n"/>
      <c r="B264" s="177" t="n"/>
      <c r="C264" s="177" t="n"/>
      <c r="D264" s="177" t="n"/>
      <c r="E264" s="177" t="n"/>
      <c r="F264" s="177" t="n"/>
      <c r="G264" s="177" t="n"/>
      <c r="H264" s="177" t="n"/>
      <c r="I264" s="177" t="n"/>
      <c r="J264" s="177" t="n"/>
      <c r="K264" s="177" t="n"/>
      <c r="L264" s="177" t="n"/>
      <c r="M264" s="177" t="n"/>
      <c r="N264" s="177" t="n"/>
      <c r="O264" s="177" t="n"/>
      <c r="P264" s="177" t="n"/>
      <c r="Q264" s="177" t="n"/>
      <c r="R264" s="177" t="n"/>
      <c r="S264" s="177" t="n"/>
      <c r="T264" s="177" t="n"/>
      <c r="U264" s="177" t="n"/>
      <c r="V264" s="177" t="n"/>
      <c r="W264" s="177" t="n"/>
      <c r="X264" s="177" t="n"/>
      <c r="Y264" s="177" t="n"/>
    </row>
    <row r="265">
      <c r="A265" s="177" t="n"/>
      <c r="B265" s="177" t="n"/>
      <c r="C265" s="177" t="n"/>
      <c r="D265" s="177" t="n"/>
      <c r="E265" s="177" t="n"/>
      <c r="F265" s="177" t="n"/>
      <c r="G265" s="177" t="n"/>
      <c r="H265" s="177" t="n"/>
      <c r="I265" s="177" t="n"/>
      <c r="J265" s="177" t="n"/>
      <c r="K265" s="177" t="n"/>
      <c r="L265" s="177" t="n"/>
      <c r="M265" s="177" t="n"/>
      <c r="N265" s="177" t="n"/>
      <c r="O265" s="177" t="n"/>
      <c r="P265" s="177" t="n"/>
      <c r="Q265" s="177" t="n"/>
      <c r="R265" s="177" t="n"/>
      <c r="S265" s="177" t="n"/>
      <c r="T265" s="177" t="n"/>
      <c r="U265" s="177" t="n"/>
      <c r="V265" s="177" t="n"/>
      <c r="W265" s="177" t="n"/>
      <c r="X265" s="177" t="n"/>
      <c r="Y265" s="177" t="n"/>
    </row>
    <row r="266">
      <c r="A266" s="177" t="n"/>
      <c r="B266" s="177" t="n"/>
      <c r="C266" s="177" t="n"/>
      <c r="D266" s="177" t="n"/>
      <c r="E266" s="177" t="n"/>
      <c r="F266" s="177" t="n"/>
      <c r="G266" s="177" t="n"/>
      <c r="H266" s="177" t="n"/>
      <c r="I266" s="177" t="n"/>
      <c r="J266" s="177" t="n"/>
      <c r="K266" s="177" t="n"/>
      <c r="L266" s="177" t="n"/>
      <c r="M266" s="177" t="n"/>
      <c r="N266" s="177" t="n"/>
      <c r="O266" s="177" t="n"/>
      <c r="P266" s="177" t="n"/>
      <c r="Q266" s="177" t="n"/>
      <c r="R266" s="177" t="n"/>
      <c r="S266" s="177" t="n"/>
      <c r="T266" s="177" t="n"/>
      <c r="U266" s="177" t="n"/>
      <c r="V266" s="177" t="n"/>
      <c r="W266" s="177" t="n"/>
      <c r="X266" s="177" t="n"/>
      <c r="Y266" s="177" t="n"/>
    </row>
    <row r="267">
      <c r="A267" s="177" t="n"/>
      <c r="B267" s="177" t="n"/>
      <c r="C267" s="177" t="n"/>
      <c r="D267" s="177" t="n"/>
      <c r="E267" s="177" t="n"/>
      <c r="F267" s="177" t="n"/>
      <c r="G267" s="177" t="n"/>
      <c r="H267" s="177" t="n"/>
      <c r="I267" s="177" t="n"/>
      <c r="J267" s="177" t="n"/>
      <c r="K267" s="177" t="n"/>
      <c r="L267" s="177" t="n"/>
      <c r="M267" s="177" t="n"/>
      <c r="N267" s="177" t="n"/>
      <c r="O267" s="177" t="n"/>
      <c r="P267" s="177" t="n"/>
      <c r="Q267" s="177" t="n"/>
      <c r="R267" s="177" t="n"/>
      <c r="S267" s="177" t="n"/>
      <c r="T267" s="177" t="n"/>
      <c r="U267" s="177" t="n"/>
      <c r="V267" s="177" t="n"/>
      <c r="W267" s="177" t="n"/>
      <c r="X267" s="177" t="n"/>
      <c r="Y267" s="177" t="n"/>
    </row>
    <row r="268">
      <c r="A268" s="177" t="n"/>
      <c r="B268" s="177" t="n"/>
      <c r="C268" s="177" t="n"/>
      <c r="D268" s="177" t="n"/>
      <c r="E268" s="177" t="n"/>
      <c r="F268" s="177" t="n"/>
      <c r="G268" s="177" t="n"/>
      <c r="H268" s="177" t="n"/>
      <c r="I268" s="177" t="n"/>
      <c r="J268" s="177" t="n"/>
      <c r="K268" s="177" t="n"/>
      <c r="L268" s="177" t="n"/>
      <c r="M268" s="177" t="n"/>
      <c r="N268" s="177" t="n"/>
      <c r="O268" s="177" t="n"/>
      <c r="P268" s="177" t="n"/>
      <c r="Q268" s="177" t="n"/>
      <c r="R268" s="177" t="n"/>
      <c r="S268" s="177" t="n"/>
      <c r="T268" s="177" t="n"/>
      <c r="U268" s="177" t="n"/>
      <c r="V268" s="177" t="n"/>
      <c r="W268" s="177" t="n"/>
      <c r="X268" s="177" t="n"/>
      <c r="Y268" s="177" t="n"/>
    </row>
    <row r="269">
      <c r="A269" s="177" t="n"/>
      <c r="B269" s="177" t="n"/>
      <c r="C269" s="177" t="n"/>
      <c r="D269" s="177" t="n"/>
      <c r="E269" s="177" t="n"/>
      <c r="F269" s="177" t="n"/>
      <c r="G269" s="177" t="n"/>
      <c r="H269" s="177" t="n"/>
      <c r="I269" s="177" t="n"/>
      <c r="J269" s="177" t="n"/>
      <c r="K269" s="177" t="n"/>
      <c r="L269" s="177" t="n"/>
      <c r="M269" s="177" t="n"/>
      <c r="N269" s="177" t="n"/>
      <c r="O269" s="177" t="n"/>
      <c r="P269" s="177" t="n"/>
      <c r="Q269" s="177" t="n"/>
      <c r="R269" s="177" t="n"/>
      <c r="S269" s="177" t="n"/>
      <c r="T269" s="177" t="n"/>
      <c r="U269" s="177" t="n"/>
      <c r="V269" s="177" t="n"/>
      <c r="W269" s="177" t="n"/>
      <c r="X269" s="177" t="n"/>
      <c r="Y269" s="177" t="n"/>
    </row>
    <row r="270">
      <c r="A270" s="177" t="n"/>
      <c r="B270" s="177" t="n"/>
      <c r="C270" s="177" t="n"/>
      <c r="D270" s="177" t="n"/>
      <c r="E270" s="177" t="n"/>
      <c r="F270" s="177" t="n"/>
      <c r="G270" s="177" t="n"/>
      <c r="H270" s="177" t="n"/>
      <c r="I270" s="177" t="n"/>
      <c r="J270" s="177" t="n"/>
      <c r="K270" s="177" t="n"/>
      <c r="L270" s="177" t="n"/>
      <c r="M270" s="177" t="n"/>
      <c r="N270" s="177" t="n"/>
      <c r="O270" s="177" t="n"/>
      <c r="P270" s="177" t="n"/>
      <c r="Q270" s="177" t="n"/>
      <c r="R270" s="177" t="n"/>
      <c r="S270" s="177" t="n"/>
      <c r="T270" s="177" t="n"/>
      <c r="U270" s="177" t="n"/>
      <c r="V270" s="177" t="n"/>
      <c r="W270" s="177" t="n"/>
      <c r="X270" s="177" t="n"/>
      <c r="Y270" s="177" t="n"/>
    </row>
    <row r="271">
      <c r="A271" s="177" t="n"/>
      <c r="B271" s="177" t="n"/>
      <c r="C271" s="177" t="n"/>
      <c r="D271" s="177" t="n"/>
      <c r="E271" s="177" t="n"/>
      <c r="F271" s="177" t="n"/>
      <c r="G271" s="177" t="n"/>
      <c r="H271" s="177" t="n"/>
      <c r="I271" s="177" t="n"/>
      <c r="J271" s="177" t="n"/>
      <c r="K271" s="177" t="n"/>
      <c r="L271" s="177" t="n"/>
      <c r="M271" s="177" t="n"/>
      <c r="N271" s="177" t="n"/>
      <c r="O271" s="177" t="n"/>
      <c r="P271" s="177" t="n"/>
      <c r="Q271" s="177" t="n"/>
      <c r="R271" s="177" t="n"/>
      <c r="S271" s="177" t="n"/>
      <c r="T271" s="177" t="n"/>
      <c r="U271" s="177" t="n"/>
      <c r="V271" s="177" t="n"/>
      <c r="W271" s="177" t="n"/>
      <c r="X271" s="177" t="n"/>
      <c r="Y271" s="177" t="n"/>
    </row>
    <row r="272">
      <c r="A272" s="177" t="n"/>
      <c r="B272" s="177" t="n"/>
      <c r="C272" s="177" t="n"/>
      <c r="D272" s="177" t="n"/>
      <c r="E272" s="177" t="n"/>
      <c r="F272" s="177" t="n"/>
      <c r="G272" s="177" t="n"/>
      <c r="H272" s="177" t="n"/>
      <c r="I272" s="177" t="n"/>
      <c r="J272" s="177" t="n"/>
      <c r="K272" s="177" t="n"/>
      <c r="L272" s="177" t="n"/>
      <c r="M272" s="177" t="n"/>
      <c r="N272" s="177" t="n"/>
      <c r="O272" s="177" t="n"/>
      <c r="P272" s="177" t="n"/>
      <c r="Q272" s="177" t="n"/>
      <c r="R272" s="177" t="n"/>
      <c r="S272" s="177" t="n"/>
      <c r="T272" s="177" t="n"/>
      <c r="U272" s="177" t="n"/>
      <c r="V272" s="177" t="n"/>
      <c r="W272" s="177" t="n"/>
      <c r="X272" s="177" t="n"/>
      <c r="Y272" s="177" t="n"/>
    </row>
    <row r="273">
      <c r="A273" s="177" t="n"/>
      <c r="B273" s="177" t="n"/>
      <c r="C273" s="177" t="n"/>
      <c r="D273" s="177" t="n"/>
      <c r="E273" s="177" t="n"/>
      <c r="F273" s="177" t="n"/>
      <c r="G273" s="177" t="n"/>
      <c r="H273" s="177" t="n"/>
      <c r="I273" s="177" t="n"/>
      <c r="J273" s="177" t="n"/>
      <c r="K273" s="177" t="n"/>
      <c r="L273" s="177" t="n"/>
      <c r="M273" s="177" t="n"/>
      <c r="N273" s="177" t="n"/>
      <c r="O273" s="177" t="n"/>
      <c r="P273" s="177" t="n"/>
      <c r="Q273" s="177" t="n"/>
      <c r="R273" s="177" t="n"/>
      <c r="S273" s="177" t="n"/>
      <c r="T273" s="177" t="n"/>
      <c r="U273" s="177" t="n"/>
      <c r="V273" s="177" t="n"/>
      <c r="W273" s="177" t="n"/>
      <c r="X273" s="177" t="n"/>
      <c r="Y273" s="177" t="n"/>
    </row>
    <row r="274">
      <c r="A274" s="177" t="n"/>
      <c r="B274" s="177" t="n"/>
      <c r="C274" s="177" t="n"/>
      <c r="D274" s="177" t="n"/>
      <c r="E274" s="177" t="n"/>
      <c r="F274" s="177" t="n"/>
      <c r="G274" s="177" t="n"/>
      <c r="H274" s="177" t="n"/>
      <c r="I274" s="177" t="n"/>
      <c r="J274" s="177" t="n"/>
      <c r="K274" s="177" t="n"/>
      <c r="L274" s="177" t="n"/>
      <c r="M274" s="177" t="n"/>
      <c r="N274" s="177" t="n"/>
      <c r="O274" s="177" t="n"/>
      <c r="P274" s="177" t="n"/>
      <c r="Q274" s="177" t="n"/>
      <c r="R274" s="177" t="n"/>
      <c r="S274" s="177" t="n"/>
      <c r="T274" s="177" t="n"/>
      <c r="U274" s="177" t="n"/>
      <c r="V274" s="177" t="n"/>
      <c r="W274" s="177" t="n"/>
      <c r="X274" s="177" t="n"/>
      <c r="Y274" s="177" t="n"/>
    </row>
    <row r="275">
      <c r="A275" s="177" t="n"/>
      <c r="B275" s="177" t="n"/>
      <c r="C275" s="177" t="n"/>
      <c r="D275" s="177" t="n"/>
      <c r="E275" s="177" t="n"/>
      <c r="F275" s="177" t="n"/>
      <c r="G275" s="177" t="n"/>
      <c r="H275" s="177" t="n"/>
      <c r="I275" s="177" t="n"/>
      <c r="J275" s="177" t="n"/>
      <c r="K275" s="177" t="n"/>
      <c r="L275" s="177" t="n"/>
      <c r="M275" s="177" t="n"/>
      <c r="N275" s="177" t="n"/>
      <c r="O275" s="177" t="n"/>
      <c r="P275" s="177" t="n"/>
      <c r="Q275" s="177" t="n"/>
      <c r="R275" s="177" t="n"/>
      <c r="S275" s="177" t="n"/>
      <c r="T275" s="177" t="n"/>
      <c r="U275" s="177" t="n"/>
      <c r="V275" s="177" t="n"/>
      <c r="W275" s="177" t="n"/>
      <c r="X275" s="177" t="n"/>
      <c r="Y275" s="177" t="n"/>
    </row>
    <row r="276">
      <c r="A276" s="177" t="n"/>
      <c r="B276" s="177" t="n"/>
      <c r="C276" s="177" t="n"/>
      <c r="D276" s="177" t="n"/>
      <c r="E276" s="177" t="n"/>
      <c r="F276" s="177" t="n"/>
      <c r="G276" s="177" t="n"/>
      <c r="H276" s="177" t="n"/>
      <c r="I276" s="177" t="n"/>
      <c r="J276" s="177" t="n"/>
      <c r="K276" s="177" t="n"/>
      <c r="L276" s="177" t="n"/>
      <c r="M276" s="177" t="n"/>
      <c r="N276" s="177" t="n"/>
      <c r="O276" s="177" t="n"/>
      <c r="P276" s="177" t="n"/>
      <c r="Q276" s="177" t="n"/>
      <c r="R276" s="177" t="n"/>
      <c r="S276" s="177" t="n"/>
      <c r="T276" s="177" t="n"/>
      <c r="U276" s="177" t="n"/>
      <c r="V276" s="177" t="n"/>
      <c r="W276" s="177" t="n"/>
      <c r="X276" s="177" t="n"/>
      <c r="Y276" s="177" t="n"/>
    </row>
    <row r="277">
      <c r="A277" s="177" t="n"/>
      <c r="B277" s="177" t="n"/>
      <c r="C277" s="177" t="n"/>
      <c r="D277" s="177" t="n"/>
      <c r="E277" s="177" t="n"/>
      <c r="F277" s="177" t="n"/>
      <c r="G277" s="177" t="n"/>
      <c r="H277" s="177" t="n"/>
      <c r="I277" s="177" t="n"/>
      <c r="J277" s="177" t="n"/>
      <c r="K277" s="177" t="n"/>
      <c r="L277" s="177" t="n"/>
      <c r="M277" s="177" t="n"/>
      <c r="N277" s="177" t="n"/>
      <c r="O277" s="177" t="n"/>
      <c r="P277" s="177" t="n"/>
      <c r="Q277" s="177" t="n"/>
      <c r="R277" s="177" t="n"/>
      <c r="S277" s="177" t="n"/>
      <c r="T277" s="177" t="n"/>
      <c r="U277" s="177" t="n"/>
      <c r="V277" s="177" t="n"/>
      <c r="W277" s="177" t="n"/>
      <c r="X277" s="177" t="n"/>
      <c r="Y277" s="177" t="n"/>
    </row>
    <row r="278">
      <c r="A278" s="177" t="n"/>
      <c r="B278" s="177" t="n"/>
      <c r="C278" s="177" t="n"/>
      <c r="D278" s="177" t="n"/>
      <c r="E278" s="177" t="n"/>
      <c r="F278" s="177" t="n"/>
      <c r="G278" s="177" t="n"/>
      <c r="H278" s="177" t="n"/>
      <c r="I278" s="177" t="n"/>
      <c r="J278" s="177" t="n"/>
      <c r="K278" s="177" t="n"/>
      <c r="L278" s="177" t="n"/>
      <c r="M278" s="177" t="n"/>
      <c r="N278" s="177" t="n"/>
      <c r="O278" s="177" t="n"/>
      <c r="P278" s="177" t="n"/>
      <c r="Q278" s="177" t="n"/>
      <c r="R278" s="177" t="n"/>
      <c r="S278" s="177" t="n"/>
      <c r="T278" s="177" t="n"/>
      <c r="U278" s="177" t="n"/>
      <c r="V278" s="177" t="n"/>
      <c r="W278" s="177" t="n"/>
      <c r="X278" s="177" t="n"/>
      <c r="Y278" s="177" t="n"/>
    </row>
    <row r="279">
      <c r="A279" s="177" t="n"/>
      <c r="B279" s="177" t="n"/>
      <c r="C279" s="177" t="n"/>
      <c r="D279" s="177" t="n"/>
      <c r="E279" s="177" t="n"/>
      <c r="F279" s="177" t="n"/>
      <c r="G279" s="177" t="n"/>
      <c r="H279" s="177" t="n"/>
      <c r="I279" s="177" t="n"/>
      <c r="J279" s="177" t="n"/>
      <c r="K279" s="177" t="n"/>
      <c r="L279" s="177" t="n"/>
      <c r="M279" s="177" t="n"/>
      <c r="N279" s="177" t="n"/>
      <c r="O279" s="177" t="n"/>
      <c r="P279" s="177" t="n"/>
      <c r="Q279" s="177" t="n"/>
      <c r="R279" s="177" t="n"/>
      <c r="S279" s="177" t="n"/>
      <c r="T279" s="177" t="n"/>
      <c r="U279" s="177" t="n"/>
      <c r="V279" s="177" t="n"/>
      <c r="W279" s="177" t="n"/>
      <c r="X279" s="177" t="n"/>
      <c r="Y279" s="177" t="n"/>
    </row>
    <row r="280">
      <c r="A280" s="177" t="n"/>
      <c r="B280" s="177" t="n"/>
      <c r="C280" s="177" t="n"/>
      <c r="D280" s="177" t="n"/>
      <c r="E280" s="177" t="n"/>
      <c r="F280" s="177" t="n"/>
      <c r="G280" s="177" t="n"/>
      <c r="H280" s="177" t="n"/>
      <c r="I280" s="177" t="n"/>
      <c r="J280" s="177" t="n"/>
      <c r="K280" s="177" t="n"/>
      <c r="L280" s="177" t="n"/>
      <c r="M280" s="177" t="n"/>
      <c r="N280" s="177" t="n"/>
      <c r="O280" s="177" t="n"/>
      <c r="P280" s="177" t="n"/>
      <c r="Q280" s="177" t="n"/>
      <c r="R280" s="177" t="n"/>
      <c r="S280" s="177" t="n"/>
      <c r="T280" s="177" t="n"/>
      <c r="U280" s="177" t="n"/>
      <c r="V280" s="177" t="n"/>
      <c r="W280" s="177" t="n"/>
      <c r="X280" s="177" t="n"/>
      <c r="Y280" s="177" t="n"/>
    </row>
    <row r="281">
      <c r="A281" s="177" t="n"/>
      <c r="B281" s="177" t="n"/>
      <c r="C281" s="177" t="n"/>
      <c r="D281" s="177" t="n"/>
      <c r="E281" s="177" t="n"/>
      <c r="F281" s="177" t="n"/>
      <c r="G281" s="177" t="n"/>
      <c r="H281" s="177" t="n"/>
      <c r="I281" s="177" t="n"/>
      <c r="J281" s="177" t="n"/>
      <c r="K281" s="177" t="n"/>
      <c r="L281" s="177" t="n"/>
      <c r="M281" s="177" t="n"/>
      <c r="N281" s="177" t="n"/>
      <c r="O281" s="177" t="n"/>
      <c r="P281" s="177" t="n"/>
      <c r="Q281" s="177" t="n"/>
      <c r="R281" s="177" t="n"/>
      <c r="S281" s="177" t="n"/>
      <c r="T281" s="177" t="n"/>
      <c r="U281" s="177" t="n"/>
      <c r="V281" s="177" t="n"/>
      <c r="W281" s="177" t="n"/>
      <c r="X281" s="177" t="n"/>
      <c r="Y281" s="177" t="n"/>
    </row>
    <row r="282">
      <c r="A282" s="177" t="n"/>
      <c r="B282" s="177" t="n"/>
      <c r="C282" s="177" t="n"/>
      <c r="D282" s="177" t="n"/>
      <c r="E282" s="177" t="n"/>
      <c r="F282" s="177" t="n"/>
      <c r="G282" s="177" t="n"/>
      <c r="H282" s="177" t="n"/>
      <c r="I282" s="177" t="n"/>
      <c r="J282" s="177" t="n"/>
      <c r="K282" s="177" t="n"/>
      <c r="L282" s="177" t="n"/>
      <c r="M282" s="177" t="n"/>
      <c r="N282" s="177" t="n"/>
      <c r="O282" s="177" t="n"/>
      <c r="P282" s="177" t="n"/>
      <c r="Q282" s="177" t="n"/>
      <c r="R282" s="177" t="n"/>
      <c r="S282" s="177" t="n"/>
      <c r="T282" s="177" t="n"/>
      <c r="U282" s="177" t="n"/>
      <c r="V282" s="177" t="n"/>
      <c r="W282" s="177" t="n"/>
      <c r="X282" s="177" t="n"/>
      <c r="Y282" s="177" t="n"/>
    </row>
    <row r="283">
      <c r="A283" s="177" t="n"/>
      <c r="B283" s="177" t="n"/>
      <c r="C283" s="177" t="n"/>
      <c r="D283" s="177" t="n"/>
      <c r="E283" s="177" t="n"/>
      <c r="F283" s="177" t="n"/>
      <c r="G283" s="177" t="n"/>
      <c r="H283" s="177" t="n"/>
      <c r="I283" s="177" t="n"/>
      <c r="J283" s="177" t="n"/>
      <c r="K283" s="177" t="n"/>
      <c r="L283" s="177" t="n"/>
      <c r="M283" s="177" t="n"/>
      <c r="N283" s="177" t="n"/>
      <c r="O283" s="177" t="n"/>
      <c r="P283" s="177" t="n"/>
      <c r="Q283" s="177" t="n"/>
      <c r="R283" s="177" t="n"/>
      <c r="S283" s="177" t="n"/>
      <c r="T283" s="177" t="n"/>
      <c r="U283" s="177" t="n"/>
      <c r="V283" s="177" t="n"/>
      <c r="W283" s="177" t="n"/>
      <c r="X283" s="177" t="n"/>
      <c r="Y283" s="177" t="n"/>
    </row>
    <row r="284">
      <c r="A284" s="177" t="n"/>
      <c r="B284" s="177" t="n"/>
      <c r="C284" s="177" t="n"/>
      <c r="D284" s="177" t="n"/>
      <c r="E284" s="177" t="n"/>
      <c r="F284" s="177" t="n"/>
      <c r="G284" s="177" t="n"/>
      <c r="H284" s="177" t="n"/>
      <c r="I284" s="177" t="n"/>
      <c r="J284" s="177" t="n"/>
      <c r="K284" s="177" t="n"/>
      <c r="L284" s="177" t="n"/>
      <c r="M284" s="177" t="n"/>
      <c r="N284" s="177" t="n"/>
      <c r="O284" s="177" t="n"/>
      <c r="P284" s="177" t="n"/>
      <c r="Q284" s="177" t="n"/>
      <c r="R284" s="177" t="n"/>
      <c r="S284" s="177" t="n"/>
      <c r="T284" s="177" t="n"/>
      <c r="U284" s="177" t="n"/>
      <c r="V284" s="177" t="n"/>
      <c r="W284" s="177" t="n"/>
      <c r="X284" s="177" t="n"/>
      <c r="Y284" s="177" t="n"/>
    </row>
    <row r="285">
      <c r="A285" s="177" t="n"/>
      <c r="B285" s="177" t="n"/>
      <c r="C285" s="177" t="n"/>
      <c r="D285" s="177" t="n"/>
      <c r="E285" s="177" t="n"/>
      <c r="F285" s="177" t="n"/>
      <c r="G285" s="177" t="n"/>
      <c r="H285" s="177" t="n"/>
      <c r="I285" s="177" t="n"/>
      <c r="J285" s="177" t="n"/>
      <c r="K285" s="177" t="n"/>
      <c r="L285" s="177" t="n"/>
      <c r="M285" s="177" t="n"/>
      <c r="N285" s="177" t="n"/>
      <c r="O285" s="177" t="n"/>
      <c r="P285" s="177" t="n"/>
      <c r="Q285" s="177" t="n"/>
      <c r="R285" s="177" t="n"/>
      <c r="S285" s="177" t="n"/>
      <c r="T285" s="177" t="n"/>
      <c r="U285" s="177" t="n"/>
      <c r="V285" s="177" t="n"/>
      <c r="W285" s="177" t="n"/>
      <c r="X285" s="177" t="n"/>
      <c r="Y285" s="177" t="n"/>
    </row>
    <row r="286">
      <c r="A286" s="177" t="n"/>
      <c r="B286" s="177" t="n"/>
      <c r="C286" s="177" t="n"/>
      <c r="D286" s="177" t="n"/>
      <c r="E286" s="177" t="n"/>
      <c r="F286" s="177" t="n"/>
      <c r="G286" s="177" t="n"/>
      <c r="H286" s="177" t="n"/>
      <c r="I286" s="177" t="n"/>
      <c r="J286" s="177" t="n"/>
      <c r="K286" s="177" t="n"/>
      <c r="L286" s="177" t="n"/>
      <c r="M286" s="177" t="n"/>
      <c r="N286" s="177" t="n"/>
      <c r="O286" s="177" t="n"/>
      <c r="P286" s="177" t="n"/>
      <c r="Q286" s="177" t="n"/>
      <c r="R286" s="177" t="n"/>
      <c r="S286" s="177" t="n"/>
      <c r="T286" s="177" t="n"/>
      <c r="U286" s="177" t="n"/>
      <c r="V286" s="177" t="n"/>
      <c r="W286" s="177" t="n"/>
      <c r="X286" s="177" t="n"/>
      <c r="Y286" s="177" t="n"/>
    </row>
    <row r="287">
      <c r="A287" s="177" t="n"/>
      <c r="B287" s="177" t="n"/>
      <c r="C287" s="177" t="n"/>
      <c r="D287" s="177" t="n"/>
      <c r="E287" s="177" t="n"/>
      <c r="F287" s="177" t="n"/>
      <c r="G287" s="177" t="n"/>
      <c r="H287" s="177" t="n"/>
      <c r="I287" s="177" t="n"/>
      <c r="J287" s="177" t="n"/>
      <c r="K287" s="177" t="n"/>
      <c r="L287" s="177" t="n"/>
      <c r="M287" s="177" t="n"/>
      <c r="N287" s="177" t="n"/>
      <c r="O287" s="177" t="n"/>
      <c r="P287" s="177" t="n"/>
      <c r="Q287" s="177" t="n"/>
      <c r="R287" s="177" t="n"/>
      <c r="S287" s="177" t="n"/>
      <c r="T287" s="177" t="n"/>
      <c r="U287" s="177" t="n"/>
      <c r="V287" s="177" t="n"/>
      <c r="W287" s="177" t="n"/>
      <c r="X287" s="177" t="n"/>
      <c r="Y287" s="177" t="n"/>
    </row>
    <row r="288">
      <c r="A288" s="177" t="n"/>
      <c r="B288" s="177" t="n"/>
      <c r="C288" s="177" t="n"/>
      <c r="D288" s="177" t="n"/>
      <c r="E288" s="177" t="n"/>
      <c r="F288" s="177" t="n"/>
      <c r="G288" s="177" t="n"/>
      <c r="H288" s="177" t="n"/>
      <c r="I288" s="177" t="n"/>
      <c r="J288" s="177" t="n"/>
      <c r="K288" s="177" t="n"/>
      <c r="L288" s="177" t="n"/>
      <c r="M288" s="177" t="n"/>
      <c r="N288" s="177" t="n"/>
      <c r="O288" s="177" t="n"/>
      <c r="P288" s="177" t="n"/>
      <c r="Q288" s="177" t="n"/>
      <c r="R288" s="177" t="n"/>
      <c r="S288" s="177" t="n"/>
      <c r="T288" s="177" t="n"/>
      <c r="U288" s="177" t="n"/>
      <c r="V288" s="177" t="n"/>
      <c r="W288" s="177" t="n"/>
      <c r="X288" s="177" t="n"/>
      <c r="Y288" s="177" t="n"/>
    </row>
    <row r="289">
      <c r="A289" s="177" t="n"/>
      <c r="B289" s="177" t="n"/>
      <c r="C289" s="177" t="n"/>
      <c r="D289" s="177" t="n"/>
      <c r="E289" s="177" t="n"/>
      <c r="F289" s="177" t="n"/>
      <c r="G289" s="177" t="n"/>
      <c r="H289" s="177" t="n"/>
      <c r="I289" s="177" t="n"/>
      <c r="J289" s="177" t="n"/>
      <c r="K289" s="177" t="n"/>
      <c r="L289" s="177" t="n"/>
      <c r="M289" s="177" t="n"/>
      <c r="N289" s="177" t="n"/>
      <c r="O289" s="177" t="n"/>
      <c r="P289" s="177" t="n"/>
      <c r="Q289" s="177" t="n"/>
      <c r="R289" s="177" t="n"/>
      <c r="S289" s="177" t="n"/>
      <c r="T289" s="177" t="n"/>
      <c r="U289" s="177" t="n"/>
      <c r="V289" s="177" t="n"/>
      <c r="W289" s="177" t="n"/>
      <c r="X289" s="177" t="n"/>
      <c r="Y289" s="177" t="n"/>
    </row>
    <row r="290">
      <c r="A290" s="177" t="n"/>
      <c r="B290" s="177" t="n"/>
      <c r="C290" s="177" t="n"/>
      <c r="D290" s="177" t="n"/>
      <c r="E290" s="177" t="n"/>
      <c r="F290" s="177" t="n"/>
      <c r="G290" s="177" t="n"/>
      <c r="H290" s="177" t="n"/>
      <c r="I290" s="177" t="n"/>
      <c r="J290" s="177" t="n"/>
      <c r="K290" s="177" t="n"/>
      <c r="L290" s="177" t="n"/>
      <c r="M290" s="177" t="n"/>
      <c r="N290" s="177" t="n"/>
      <c r="O290" s="177" t="n"/>
      <c r="P290" s="177" t="n"/>
      <c r="Q290" s="177" t="n"/>
      <c r="R290" s="177" t="n"/>
      <c r="S290" s="177" t="n"/>
      <c r="T290" s="177" t="n"/>
      <c r="U290" s="177" t="n"/>
      <c r="V290" s="177" t="n"/>
      <c r="W290" s="177" t="n"/>
      <c r="X290" s="177" t="n"/>
      <c r="Y290" s="177" t="n"/>
    </row>
    <row r="291">
      <c r="A291" s="177" t="n"/>
      <c r="B291" s="177" t="n"/>
      <c r="C291" s="177" t="n"/>
      <c r="D291" s="177" t="n"/>
      <c r="E291" s="177" t="n"/>
      <c r="F291" s="177" t="n"/>
      <c r="G291" s="177" t="n"/>
      <c r="H291" s="177" t="n"/>
      <c r="I291" s="177" t="n"/>
      <c r="J291" s="177" t="n"/>
      <c r="K291" s="177" t="n"/>
      <c r="L291" s="177" t="n"/>
      <c r="M291" s="177" t="n"/>
      <c r="N291" s="177" t="n"/>
      <c r="O291" s="177" t="n"/>
      <c r="P291" s="177" t="n"/>
      <c r="Q291" s="177" t="n"/>
      <c r="R291" s="177" t="n"/>
      <c r="S291" s="177" t="n"/>
      <c r="T291" s="177" t="n"/>
      <c r="U291" s="177" t="n"/>
      <c r="V291" s="177" t="n"/>
      <c r="W291" s="177" t="n"/>
      <c r="X291" s="177" t="n"/>
      <c r="Y291" s="177" t="n"/>
    </row>
    <row r="292">
      <c r="A292" s="177" t="n"/>
      <c r="B292" s="177" t="n"/>
      <c r="C292" s="177" t="n"/>
      <c r="D292" s="177" t="n"/>
      <c r="E292" s="177" t="n"/>
      <c r="F292" s="177" t="n"/>
      <c r="G292" s="177" t="n"/>
      <c r="H292" s="177" t="n"/>
      <c r="I292" s="177" t="n"/>
      <c r="J292" s="177" t="n"/>
      <c r="K292" s="177" t="n"/>
      <c r="L292" s="177" t="n"/>
      <c r="M292" s="177" t="n"/>
      <c r="N292" s="177" t="n"/>
      <c r="O292" s="177" t="n"/>
      <c r="P292" s="177" t="n"/>
      <c r="Q292" s="177" t="n"/>
      <c r="R292" s="177" t="n"/>
      <c r="S292" s="177" t="n"/>
      <c r="T292" s="177" t="n"/>
      <c r="U292" s="177" t="n"/>
      <c r="V292" s="177" t="n"/>
      <c r="W292" s="177" t="n"/>
      <c r="X292" s="177" t="n"/>
      <c r="Y292" s="177" t="n"/>
    </row>
    <row r="293">
      <c r="A293" s="177" t="n"/>
      <c r="B293" s="177" t="n"/>
      <c r="C293" s="177" t="n"/>
      <c r="D293" s="177" t="n"/>
      <c r="E293" s="177" t="n"/>
      <c r="F293" s="177" t="n"/>
      <c r="G293" s="177" t="n"/>
      <c r="H293" s="177" t="n"/>
      <c r="I293" s="177" t="n"/>
      <c r="J293" s="177" t="n"/>
      <c r="K293" s="177" t="n"/>
      <c r="L293" s="177" t="n"/>
      <c r="M293" s="177" t="n"/>
      <c r="N293" s="177" t="n"/>
      <c r="O293" s="177" t="n"/>
      <c r="P293" s="177" t="n"/>
      <c r="Q293" s="177" t="n"/>
      <c r="R293" s="177" t="n"/>
      <c r="S293" s="177" t="n"/>
      <c r="T293" s="177" t="n"/>
      <c r="U293" s="177" t="n"/>
      <c r="V293" s="177" t="n"/>
      <c r="W293" s="177" t="n"/>
      <c r="X293" s="177" t="n"/>
      <c r="Y293" s="177" t="n"/>
    </row>
    <row r="294">
      <c r="A294" s="177" t="n"/>
      <c r="B294" s="177" t="n"/>
      <c r="C294" s="177" t="n"/>
      <c r="D294" s="177" t="n"/>
      <c r="E294" s="177" t="n"/>
      <c r="F294" s="177" t="n"/>
      <c r="G294" s="177" t="n"/>
      <c r="H294" s="177" t="n"/>
      <c r="I294" s="177" t="n"/>
      <c r="J294" s="177" t="n"/>
      <c r="K294" s="177" t="n"/>
      <c r="L294" s="177" t="n"/>
      <c r="M294" s="177" t="n"/>
      <c r="N294" s="177" t="n"/>
      <c r="O294" s="177" t="n"/>
      <c r="P294" s="177" t="n"/>
      <c r="Q294" s="177" t="n"/>
      <c r="R294" s="177" t="n"/>
      <c r="S294" s="177" t="n"/>
      <c r="T294" s="177" t="n"/>
      <c r="U294" s="177" t="n"/>
      <c r="V294" s="177" t="n"/>
      <c r="W294" s="177" t="n"/>
      <c r="X294" s="177" t="n"/>
      <c r="Y294" s="177" t="n"/>
    </row>
    <row r="295">
      <c r="A295" s="177" t="n"/>
      <c r="B295" s="177" t="n"/>
      <c r="C295" s="177" t="n"/>
      <c r="D295" s="177" t="n"/>
      <c r="E295" s="177" t="n"/>
      <c r="F295" s="177" t="n"/>
      <c r="G295" s="177" t="n"/>
      <c r="H295" s="177" t="n"/>
      <c r="I295" s="177" t="n"/>
      <c r="J295" s="177" t="n"/>
      <c r="K295" s="177" t="n"/>
      <c r="L295" s="177" t="n"/>
      <c r="M295" s="177" t="n"/>
      <c r="N295" s="177" t="n"/>
      <c r="O295" s="177" t="n"/>
      <c r="P295" s="177" t="n"/>
      <c r="Q295" s="177" t="n"/>
      <c r="R295" s="177" t="n"/>
      <c r="S295" s="177" t="n"/>
      <c r="T295" s="177" t="n"/>
      <c r="U295" s="177" t="n"/>
      <c r="V295" s="177" t="n"/>
      <c r="W295" s="177" t="n"/>
      <c r="X295" s="177" t="n"/>
      <c r="Y295" s="177" t="n"/>
    </row>
    <row r="296">
      <c r="A296" s="177" t="n"/>
      <c r="B296" s="177" t="n"/>
      <c r="C296" s="177" t="n"/>
      <c r="D296" s="177" t="n"/>
      <c r="E296" s="177" t="n"/>
      <c r="F296" s="177" t="n"/>
      <c r="G296" s="177" t="n"/>
      <c r="H296" s="177" t="n"/>
      <c r="I296" s="177" t="n"/>
      <c r="J296" s="177" t="n"/>
      <c r="K296" s="177" t="n"/>
      <c r="L296" s="177" t="n"/>
      <c r="M296" s="177" t="n"/>
      <c r="N296" s="177" t="n"/>
      <c r="O296" s="177" t="n"/>
      <c r="P296" s="177" t="n"/>
      <c r="Q296" s="177" t="n"/>
      <c r="R296" s="177" t="n"/>
      <c r="S296" s="177" t="n"/>
      <c r="T296" s="177" t="n"/>
      <c r="U296" s="177" t="n"/>
      <c r="V296" s="177" t="n"/>
      <c r="W296" s="177" t="n"/>
      <c r="X296" s="177" t="n"/>
      <c r="Y296" s="177" t="n"/>
    </row>
    <row r="297">
      <c r="A297" s="177" t="n"/>
      <c r="B297" s="177" t="n"/>
      <c r="C297" s="177" t="n"/>
      <c r="D297" s="177" t="n"/>
      <c r="E297" s="177" t="n"/>
      <c r="F297" s="177" t="n"/>
      <c r="G297" s="177" t="n"/>
      <c r="H297" s="177" t="n"/>
      <c r="I297" s="177" t="n"/>
      <c r="J297" s="177" t="n"/>
      <c r="K297" s="177" t="n"/>
      <c r="L297" s="177" t="n"/>
      <c r="M297" s="177" t="n"/>
      <c r="N297" s="177" t="n"/>
      <c r="O297" s="177" t="n"/>
      <c r="P297" s="177" t="n"/>
      <c r="Q297" s="177" t="n"/>
      <c r="R297" s="177" t="n"/>
      <c r="S297" s="177" t="n"/>
      <c r="T297" s="177" t="n"/>
      <c r="U297" s="177" t="n"/>
      <c r="V297" s="177" t="n"/>
      <c r="W297" s="177" t="n"/>
      <c r="X297" s="177" t="n"/>
      <c r="Y297" s="177" t="n"/>
    </row>
    <row r="298">
      <c r="A298" s="177" t="n"/>
      <c r="B298" s="177" t="n"/>
      <c r="C298" s="177" t="n"/>
      <c r="D298" s="177" t="n"/>
      <c r="E298" s="177" t="n"/>
      <c r="F298" s="177" t="n"/>
      <c r="G298" s="177" t="n"/>
      <c r="H298" s="177" t="n"/>
      <c r="I298" s="177" t="n"/>
      <c r="J298" s="177" t="n"/>
      <c r="K298" s="177" t="n"/>
      <c r="L298" s="177" t="n"/>
      <c r="M298" s="177" t="n"/>
      <c r="N298" s="177" t="n"/>
      <c r="O298" s="177" t="n"/>
      <c r="P298" s="177" t="n"/>
      <c r="Q298" s="177" t="n"/>
      <c r="R298" s="177" t="n"/>
      <c r="S298" s="177" t="n"/>
      <c r="T298" s="177" t="n"/>
      <c r="U298" s="177" t="n"/>
      <c r="V298" s="177" t="n"/>
      <c r="W298" s="177" t="n"/>
      <c r="X298" s="177" t="n"/>
      <c r="Y298" s="177" t="n"/>
    </row>
    <row r="299">
      <c r="A299" s="177" t="n"/>
      <c r="B299" s="177" t="n"/>
      <c r="C299" s="177" t="n"/>
      <c r="D299" s="177" t="n"/>
      <c r="E299" s="177" t="n"/>
      <c r="F299" s="177" t="n"/>
      <c r="G299" s="177" t="n"/>
      <c r="H299" s="177" t="n"/>
      <c r="I299" s="177" t="n"/>
      <c r="J299" s="177" t="n"/>
      <c r="K299" s="177" t="n"/>
      <c r="L299" s="177" t="n"/>
      <c r="M299" s="177" t="n"/>
      <c r="N299" s="177" t="n"/>
      <c r="O299" s="177" t="n"/>
      <c r="P299" s="177" t="n"/>
      <c r="Q299" s="177" t="n"/>
      <c r="R299" s="177" t="n"/>
      <c r="S299" s="177" t="n"/>
      <c r="T299" s="177" t="n"/>
      <c r="U299" s="177" t="n"/>
      <c r="V299" s="177" t="n"/>
      <c r="W299" s="177" t="n"/>
      <c r="X299" s="177" t="n"/>
      <c r="Y299" s="177" t="n"/>
    </row>
    <row r="300">
      <c r="A300" s="177" t="n"/>
      <c r="B300" s="177" t="n"/>
      <c r="C300" s="177" t="n"/>
      <c r="D300" s="177" t="n"/>
      <c r="E300" s="177" t="n"/>
      <c r="F300" s="177" t="n"/>
      <c r="G300" s="177" t="n"/>
      <c r="H300" s="177" t="n"/>
      <c r="I300" s="177" t="n"/>
      <c r="J300" s="177" t="n"/>
      <c r="K300" s="177" t="n"/>
      <c r="L300" s="177" t="n"/>
      <c r="M300" s="177" t="n"/>
      <c r="N300" s="177" t="n"/>
      <c r="O300" s="177" t="n"/>
      <c r="P300" s="177" t="n"/>
      <c r="Q300" s="177" t="n"/>
      <c r="R300" s="177" t="n"/>
      <c r="S300" s="177" t="n"/>
      <c r="T300" s="177" t="n"/>
      <c r="U300" s="177" t="n"/>
      <c r="V300" s="177" t="n"/>
      <c r="W300" s="177" t="n"/>
      <c r="X300" s="177" t="n"/>
      <c r="Y300" s="177" t="n"/>
    </row>
    <row r="301">
      <c r="A301" s="177" t="n"/>
      <c r="B301" s="177" t="n"/>
      <c r="C301" s="177" t="n"/>
      <c r="D301" s="177" t="n"/>
      <c r="E301" s="177" t="n"/>
      <c r="F301" s="177" t="n"/>
      <c r="G301" s="177" t="n"/>
      <c r="H301" s="177" t="n"/>
      <c r="I301" s="177" t="n"/>
      <c r="J301" s="177" t="n"/>
      <c r="K301" s="177" t="n"/>
      <c r="L301" s="177" t="n"/>
      <c r="M301" s="177" t="n"/>
      <c r="N301" s="177" t="n"/>
      <c r="O301" s="177" t="n"/>
      <c r="P301" s="177" t="n"/>
      <c r="Q301" s="177" t="n"/>
      <c r="R301" s="177" t="n"/>
      <c r="S301" s="177" t="n"/>
      <c r="T301" s="177" t="n"/>
      <c r="U301" s="177" t="n"/>
      <c r="V301" s="177" t="n"/>
      <c r="W301" s="177" t="n"/>
      <c r="X301" s="177" t="n"/>
      <c r="Y301" s="177" t="n"/>
    </row>
    <row r="302">
      <c r="A302" s="177" t="n"/>
      <c r="B302" s="177" t="n"/>
      <c r="C302" s="177" t="n"/>
      <c r="D302" s="177" t="n"/>
      <c r="E302" s="177" t="n"/>
      <c r="F302" s="177" t="n"/>
      <c r="G302" s="177" t="n"/>
      <c r="H302" s="177" t="n"/>
      <c r="I302" s="177" t="n"/>
      <c r="J302" s="177" t="n"/>
      <c r="K302" s="177" t="n"/>
      <c r="L302" s="177" t="n"/>
      <c r="M302" s="177" t="n"/>
      <c r="N302" s="177" t="n"/>
      <c r="O302" s="177" t="n"/>
      <c r="P302" s="177" t="n"/>
      <c r="Q302" s="177" t="n"/>
      <c r="R302" s="177" t="n"/>
      <c r="S302" s="177" t="n"/>
      <c r="T302" s="177" t="n"/>
      <c r="U302" s="177" t="n"/>
      <c r="V302" s="177" t="n"/>
      <c r="W302" s="177" t="n"/>
      <c r="X302" s="177" t="n"/>
      <c r="Y302" s="177" t="n"/>
    </row>
    <row r="303">
      <c r="A303" s="177" t="n"/>
      <c r="B303" s="177" t="n"/>
      <c r="C303" s="177" t="n"/>
      <c r="D303" s="177" t="n"/>
      <c r="E303" s="177" t="n"/>
      <c r="F303" s="177" t="n"/>
      <c r="G303" s="177" t="n"/>
      <c r="H303" s="177" t="n"/>
      <c r="I303" s="177" t="n"/>
      <c r="J303" s="177" t="n"/>
      <c r="K303" s="177" t="n"/>
      <c r="L303" s="177" t="n"/>
      <c r="M303" s="177" t="n"/>
      <c r="N303" s="177" t="n"/>
      <c r="O303" s="177" t="n"/>
      <c r="P303" s="177" t="n"/>
      <c r="Q303" s="177" t="n"/>
      <c r="R303" s="177" t="n"/>
      <c r="S303" s="177" t="n"/>
      <c r="T303" s="177" t="n"/>
      <c r="U303" s="177" t="n"/>
      <c r="V303" s="177" t="n"/>
      <c r="W303" s="177" t="n"/>
      <c r="X303" s="177" t="n"/>
      <c r="Y303" s="177" t="n"/>
    </row>
    <row r="304">
      <c r="A304" s="177" t="n"/>
      <c r="B304" s="177" t="n"/>
      <c r="C304" s="177" t="n"/>
      <c r="D304" s="177" t="n"/>
      <c r="E304" s="177" t="n"/>
      <c r="F304" s="177" t="n"/>
      <c r="G304" s="177" t="n"/>
      <c r="H304" s="177" t="n"/>
      <c r="I304" s="177" t="n"/>
      <c r="J304" s="177" t="n"/>
      <c r="K304" s="177" t="n"/>
      <c r="L304" s="177" t="n"/>
      <c r="M304" s="177" t="n"/>
      <c r="N304" s="177" t="n"/>
      <c r="O304" s="177" t="n"/>
      <c r="P304" s="177" t="n"/>
      <c r="Q304" s="177" t="n"/>
      <c r="R304" s="177" t="n"/>
      <c r="S304" s="177" t="n"/>
      <c r="T304" s="177" t="n"/>
      <c r="U304" s="177" t="n"/>
      <c r="V304" s="177" t="n"/>
      <c r="W304" s="177" t="n"/>
      <c r="X304" s="177" t="n"/>
      <c r="Y304" s="177" t="n"/>
    </row>
    <row r="305">
      <c r="A305" s="177" t="n"/>
      <c r="B305" s="177" t="n"/>
      <c r="C305" s="177" t="n"/>
      <c r="D305" s="177" t="n"/>
      <c r="E305" s="177" t="n"/>
      <c r="F305" s="177" t="n"/>
      <c r="G305" s="177" t="n"/>
      <c r="H305" s="177" t="n"/>
      <c r="I305" s="177" t="n"/>
      <c r="J305" s="177" t="n"/>
      <c r="K305" s="177" t="n"/>
      <c r="L305" s="177" t="n"/>
      <c r="M305" s="177" t="n"/>
      <c r="N305" s="177" t="n"/>
      <c r="O305" s="177" t="n"/>
      <c r="P305" s="177" t="n"/>
      <c r="Q305" s="177" t="n"/>
      <c r="R305" s="177" t="n"/>
      <c r="S305" s="177" t="n"/>
      <c r="T305" s="177" t="n"/>
      <c r="U305" s="177" t="n"/>
      <c r="V305" s="177" t="n"/>
      <c r="W305" s="177" t="n"/>
      <c r="X305" s="177" t="n"/>
      <c r="Y305" s="177" t="n"/>
    </row>
    <row r="306">
      <c r="A306" s="177" t="n"/>
      <c r="B306" s="177" t="n"/>
      <c r="C306" s="177" t="n"/>
      <c r="D306" s="177" t="n"/>
      <c r="E306" s="177" t="n"/>
      <c r="F306" s="177" t="n"/>
      <c r="G306" s="177" t="n"/>
      <c r="H306" s="177" t="n"/>
      <c r="I306" s="177" t="n"/>
      <c r="J306" s="177" t="n"/>
      <c r="K306" s="177" t="n"/>
      <c r="L306" s="177" t="n"/>
      <c r="M306" s="177" t="n"/>
      <c r="N306" s="177" t="n"/>
      <c r="O306" s="177" t="n"/>
      <c r="P306" s="177" t="n"/>
      <c r="Q306" s="177" t="n"/>
      <c r="R306" s="177" t="n"/>
      <c r="S306" s="177" t="n"/>
      <c r="T306" s="177" t="n"/>
      <c r="U306" s="177" t="n"/>
      <c r="V306" s="177" t="n"/>
      <c r="W306" s="177" t="n"/>
      <c r="X306" s="177" t="n"/>
      <c r="Y306" s="177" t="n"/>
    </row>
    <row r="307">
      <c r="A307" s="177" t="n"/>
      <c r="B307" s="177" t="n"/>
      <c r="C307" s="177" t="n"/>
      <c r="D307" s="177" t="n"/>
      <c r="E307" s="177" t="n"/>
      <c r="F307" s="177" t="n"/>
      <c r="G307" s="177" t="n"/>
      <c r="H307" s="177" t="n"/>
      <c r="I307" s="177" t="n"/>
      <c r="J307" s="177" t="n"/>
      <c r="K307" s="177" t="n"/>
      <c r="L307" s="177" t="n"/>
      <c r="M307" s="177" t="n"/>
      <c r="N307" s="177" t="n"/>
      <c r="O307" s="177" t="n"/>
      <c r="P307" s="177" t="n"/>
      <c r="Q307" s="177" t="n"/>
      <c r="R307" s="177" t="n"/>
      <c r="S307" s="177" t="n"/>
      <c r="T307" s="177" t="n"/>
      <c r="U307" s="177" t="n"/>
      <c r="V307" s="177" t="n"/>
      <c r="W307" s="177" t="n"/>
      <c r="X307" s="177" t="n"/>
      <c r="Y307" s="177" t="n"/>
    </row>
    <row r="308">
      <c r="A308" s="177" t="n"/>
      <c r="B308" s="177" t="n"/>
      <c r="C308" s="177" t="n"/>
      <c r="D308" s="177" t="n"/>
      <c r="E308" s="177" t="n"/>
      <c r="F308" s="177" t="n"/>
      <c r="G308" s="177" t="n"/>
      <c r="H308" s="177" t="n"/>
      <c r="I308" s="177" t="n"/>
      <c r="J308" s="177" t="n"/>
      <c r="K308" s="177" t="n"/>
      <c r="L308" s="177" t="n"/>
      <c r="M308" s="177" t="n"/>
      <c r="N308" s="177" t="n"/>
      <c r="O308" s="177" t="n"/>
      <c r="P308" s="177" t="n"/>
      <c r="Q308" s="177" t="n"/>
      <c r="R308" s="177" t="n"/>
      <c r="S308" s="177" t="n"/>
      <c r="T308" s="177" t="n"/>
      <c r="U308" s="177" t="n"/>
      <c r="V308" s="177" t="n"/>
      <c r="W308" s="177" t="n"/>
      <c r="X308" s="177" t="n"/>
      <c r="Y308" s="177" t="n"/>
    </row>
    <row r="309">
      <c r="A309" s="177" t="n"/>
      <c r="B309" s="177" t="n"/>
      <c r="C309" s="177" t="n"/>
      <c r="D309" s="177" t="n"/>
      <c r="E309" s="177" t="n"/>
      <c r="F309" s="177" t="n"/>
      <c r="G309" s="177" t="n"/>
      <c r="H309" s="177" t="n"/>
      <c r="I309" s="177" t="n"/>
      <c r="J309" s="177" t="n"/>
      <c r="K309" s="177" t="n"/>
      <c r="L309" s="177" t="n"/>
      <c r="M309" s="177" t="n"/>
      <c r="N309" s="177" t="n"/>
      <c r="O309" s="177" t="n"/>
      <c r="P309" s="177" t="n"/>
      <c r="Q309" s="177" t="n"/>
      <c r="R309" s="177" t="n"/>
      <c r="S309" s="177" t="n"/>
      <c r="T309" s="177" t="n"/>
      <c r="U309" s="177" t="n"/>
      <c r="V309" s="177" t="n"/>
      <c r="W309" s="177" t="n"/>
      <c r="X309" s="177" t="n"/>
      <c r="Y309" s="177" t="n"/>
    </row>
    <row r="310">
      <c r="A310" s="177" t="n"/>
      <c r="B310" s="177" t="n"/>
      <c r="C310" s="177" t="n"/>
      <c r="D310" s="177" t="n"/>
      <c r="E310" s="177" t="n"/>
      <c r="F310" s="177" t="n"/>
      <c r="G310" s="177" t="n"/>
      <c r="H310" s="177" t="n"/>
      <c r="I310" s="177" t="n"/>
      <c r="J310" s="177" t="n"/>
      <c r="K310" s="177" t="n"/>
      <c r="L310" s="177" t="n"/>
      <c r="M310" s="177" t="n"/>
      <c r="N310" s="177" t="n"/>
      <c r="O310" s="177" t="n"/>
      <c r="P310" s="177" t="n"/>
      <c r="Q310" s="177" t="n"/>
      <c r="R310" s="177" t="n"/>
      <c r="S310" s="177" t="n"/>
      <c r="T310" s="177" t="n"/>
      <c r="U310" s="177" t="n"/>
      <c r="V310" s="177" t="n"/>
      <c r="W310" s="177" t="n"/>
      <c r="X310" s="177" t="n"/>
      <c r="Y310" s="177" t="n"/>
    </row>
    <row r="311">
      <c r="A311" s="177" t="n"/>
      <c r="B311" s="177" t="n"/>
      <c r="C311" s="177" t="n"/>
      <c r="D311" s="177" t="n"/>
      <c r="E311" s="177" t="n"/>
      <c r="F311" s="177" t="n"/>
      <c r="G311" s="177" t="n"/>
      <c r="H311" s="177" t="n"/>
      <c r="I311" s="177" t="n"/>
      <c r="J311" s="177" t="n"/>
      <c r="K311" s="177" t="n"/>
      <c r="L311" s="177" t="n"/>
      <c r="M311" s="177" t="n"/>
      <c r="N311" s="177" t="n"/>
      <c r="O311" s="177" t="n"/>
      <c r="P311" s="177" t="n"/>
      <c r="Q311" s="177" t="n"/>
      <c r="R311" s="177" t="n"/>
      <c r="S311" s="177" t="n"/>
      <c r="T311" s="177" t="n"/>
      <c r="U311" s="177" t="n"/>
      <c r="V311" s="177" t="n"/>
      <c r="W311" s="177" t="n"/>
      <c r="X311" s="177" t="n"/>
      <c r="Y311" s="177" t="n"/>
    </row>
    <row r="312">
      <c r="A312" s="177" t="n"/>
      <c r="B312" s="177" t="n"/>
      <c r="C312" s="177" t="n"/>
      <c r="D312" s="177" t="n"/>
      <c r="E312" s="177" t="n"/>
      <c r="F312" s="177" t="n"/>
      <c r="G312" s="177" t="n"/>
      <c r="H312" s="177" t="n"/>
      <c r="I312" s="177" t="n"/>
      <c r="J312" s="177" t="n"/>
      <c r="K312" s="177" t="n"/>
      <c r="L312" s="177" t="n"/>
      <c r="M312" s="177" t="n"/>
      <c r="N312" s="177" t="n"/>
      <c r="O312" s="177" t="n"/>
      <c r="P312" s="177" t="n"/>
      <c r="Q312" s="177" t="n"/>
      <c r="R312" s="177" t="n"/>
      <c r="S312" s="177" t="n"/>
      <c r="T312" s="177" t="n"/>
      <c r="U312" s="177" t="n"/>
      <c r="V312" s="177" t="n"/>
      <c r="W312" s="177" t="n"/>
      <c r="X312" s="177" t="n"/>
      <c r="Y312" s="177" t="n"/>
    </row>
    <row r="313">
      <c r="A313" s="177" t="n"/>
      <c r="B313" s="177" t="n"/>
      <c r="C313" s="177" t="n"/>
      <c r="D313" s="177" t="n"/>
      <c r="E313" s="177" t="n"/>
      <c r="F313" s="177" t="n"/>
      <c r="G313" s="177" t="n"/>
      <c r="H313" s="177" t="n"/>
      <c r="I313" s="177" t="n"/>
      <c r="J313" s="177" t="n"/>
      <c r="K313" s="177" t="n"/>
      <c r="L313" s="177" t="n"/>
      <c r="M313" s="177" t="n"/>
      <c r="N313" s="177" t="n"/>
      <c r="O313" s="177" t="n"/>
      <c r="P313" s="177" t="n"/>
      <c r="Q313" s="177" t="n"/>
      <c r="R313" s="177" t="n"/>
      <c r="S313" s="177" t="n"/>
      <c r="T313" s="177" t="n"/>
      <c r="U313" s="177" t="n"/>
      <c r="V313" s="177" t="n"/>
      <c r="W313" s="177" t="n"/>
      <c r="X313" s="177" t="n"/>
      <c r="Y313" s="177" t="n"/>
    </row>
    <row r="314">
      <c r="A314" s="177" t="n"/>
      <c r="B314" s="177" t="n"/>
      <c r="C314" s="177" t="n"/>
      <c r="D314" s="177" t="n"/>
      <c r="E314" s="177" t="n"/>
      <c r="F314" s="177" t="n"/>
      <c r="G314" s="177" t="n"/>
      <c r="H314" s="177" t="n"/>
      <c r="I314" s="177" t="n"/>
      <c r="J314" s="177" t="n"/>
      <c r="K314" s="177" t="n"/>
      <c r="L314" s="177" t="n"/>
      <c r="M314" s="177" t="n"/>
      <c r="N314" s="177" t="n"/>
      <c r="O314" s="177" t="n"/>
      <c r="P314" s="177" t="n"/>
      <c r="Q314" s="177" t="n"/>
      <c r="R314" s="177" t="n"/>
      <c r="S314" s="177" t="n"/>
      <c r="T314" s="177" t="n"/>
      <c r="U314" s="177" t="n"/>
      <c r="V314" s="177" t="n"/>
      <c r="W314" s="177" t="n"/>
      <c r="X314" s="177" t="n"/>
      <c r="Y314" s="177" t="n"/>
    </row>
    <row r="315">
      <c r="A315" s="177" t="n"/>
      <c r="B315" s="177" t="n"/>
      <c r="C315" s="177" t="n"/>
      <c r="D315" s="177" t="n"/>
      <c r="E315" s="177" t="n"/>
      <c r="F315" s="177" t="n"/>
      <c r="G315" s="177" t="n"/>
      <c r="H315" s="177" t="n"/>
      <c r="I315" s="177" t="n"/>
      <c r="J315" s="177" t="n"/>
      <c r="K315" s="177" t="n"/>
      <c r="L315" s="177" t="n"/>
      <c r="M315" s="177" t="n"/>
      <c r="N315" s="177" t="n"/>
      <c r="O315" s="177" t="n"/>
      <c r="P315" s="177" t="n"/>
      <c r="Q315" s="177" t="n"/>
      <c r="R315" s="177" t="n"/>
      <c r="S315" s="177" t="n"/>
      <c r="T315" s="177" t="n"/>
      <c r="U315" s="177" t="n"/>
      <c r="V315" s="177" t="n"/>
      <c r="W315" s="177" t="n"/>
      <c r="X315" s="177" t="n"/>
      <c r="Y315" s="177" t="n"/>
    </row>
    <row r="316">
      <c r="A316" s="177" t="n"/>
      <c r="B316" s="177" t="n"/>
      <c r="C316" s="177" t="n"/>
      <c r="D316" s="177" t="n"/>
      <c r="E316" s="177" t="n"/>
      <c r="F316" s="177" t="n"/>
      <c r="G316" s="177" t="n"/>
      <c r="H316" s="177" t="n"/>
      <c r="I316" s="177" t="n"/>
      <c r="J316" s="177" t="n"/>
      <c r="K316" s="177" t="n"/>
      <c r="L316" s="177" t="n"/>
      <c r="M316" s="177" t="n"/>
      <c r="N316" s="177" t="n"/>
      <c r="O316" s="177" t="n"/>
      <c r="P316" s="177" t="n"/>
      <c r="Q316" s="177" t="n"/>
      <c r="R316" s="177" t="n"/>
      <c r="S316" s="177" t="n"/>
      <c r="T316" s="177" t="n"/>
      <c r="U316" s="177" t="n"/>
      <c r="V316" s="177" t="n"/>
      <c r="W316" s="177" t="n"/>
      <c r="X316" s="177" t="n"/>
      <c r="Y316" s="177" t="n"/>
    </row>
    <row r="317">
      <c r="A317" s="177" t="n"/>
      <c r="B317" s="177" t="n"/>
      <c r="C317" s="177" t="n"/>
      <c r="D317" s="177" t="n"/>
      <c r="E317" s="177" t="n"/>
      <c r="F317" s="177" t="n"/>
      <c r="G317" s="177" t="n"/>
      <c r="H317" s="177" t="n"/>
      <c r="I317" s="177" t="n"/>
      <c r="J317" s="177" t="n"/>
      <c r="K317" s="177" t="n"/>
      <c r="L317" s="177" t="n"/>
      <c r="M317" s="177" t="n"/>
      <c r="N317" s="177" t="n"/>
      <c r="O317" s="177" t="n"/>
      <c r="P317" s="177" t="n"/>
      <c r="Q317" s="177" t="n"/>
      <c r="R317" s="177" t="n"/>
      <c r="S317" s="177" t="n"/>
      <c r="T317" s="177" t="n"/>
      <c r="U317" s="177" t="n"/>
      <c r="V317" s="177" t="n"/>
      <c r="W317" s="177" t="n"/>
      <c r="X317" s="177" t="n"/>
      <c r="Y317" s="177" t="n"/>
    </row>
    <row r="318">
      <c r="A318" s="177" t="n"/>
      <c r="B318" s="177" t="n"/>
      <c r="C318" s="177" t="n"/>
      <c r="D318" s="177" t="n"/>
      <c r="E318" s="177" t="n"/>
      <c r="F318" s="177" t="n"/>
      <c r="G318" s="177" t="n"/>
      <c r="H318" s="177" t="n"/>
      <c r="I318" s="177" t="n"/>
      <c r="J318" s="177" t="n"/>
      <c r="K318" s="177" t="n"/>
      <c r="L318" s="177" t="n"/>
      <c r="M318" s="177" t="n"/>
      <c r="N318" s="177" t="n"/>
      <c r="O318" s="177" t="n"/>
      <c r="P318" s="177" t="n"/>
      <c r="Q318" s="177" t="n"/>
      <c r="R318" s="177" t="n"/>
      <c r="S318" s="177" t="n"/>
      <c r="T318" s="177" t="n"/>
      <c r="U318" s="177" t="n"/>
      <c r="V318" s="177" t="n"/>
      <c r="W318" s="177" t="n"/>
      <c r="X318" s="177" t="n"/>
      <c r="Y318" s="177" t="n"/>
    </row>
    <row r="319">
      <c r="A319" s="177" t="n"/>
      <c r="B319" s="177" t="n"/>
      <c r="C319" s="177" t="n"/>
      <c r="D319" s="177" t="n"/>
      <c r="E319" s="177" t="n"/>
      <c r="F319" s="177" t="n"/>
      <c r="G319" s="177" t="n"/>
      <c r="H319" s="177" t="n"/>
      <c r="I319" s="177" t="n"/>
      <c r="J319" s="177" t="n"/>
      <c r="K319" s="177" t="n"/>
      <c r="L319" s="177" t="n"/>
      <c r="M319" s="177" t="n"/>
      <c r="N319" s="177" t="n"/>
      <c r="O319" s="177" t="n"/>
      <c r="P319" s="177" t="n"/>
      <c r="Q319" s="177" t="n"/>
      <c r="R319" s="177" t="n"/>
      <c r="S319" s="177" t="n"/>
      <c r="T319" s="177" t="n"/>
      <c r="U319" s="177" t="n"/>
      <c r="V319" s="177" t="n"/>
      <c r="W319" s="177" t="n"/>
      <c r="X319" s="177" t="n"/>
      <c r="Y319" s="177" t="n"/>
    </row>
    <row r="320">
      <c r="A320" s="177" t="n"/>
      <c r="B320" s="177" t="n"/>
      <c r="C320" s="177" t="n"/>
      <c r="D320" s="177" t="n"/>
      <c r="E320" s="177" t="n"/>
      <c r="F320" s="177" t="n"/>
      <c r="G320" s="177" t="n"/>
      <c r="H320" s="177" t="n"/>
      <c r="I320" s="177" t="n"/>
      <c r="J320" s="177" t="n"/>
      <c r="K320" s="177" t="n"/>
      <c r="L320" s="177" t="n"/>
      <c r="M320" s="177" t="n"/>
      <c r="N320" s="177" t="n"/>
      <c r="O320" s="177" t="n"/>
      <c r="P320" s="177" t="n"/>
      <c r="Q320" s="177" t="n"/>
      <c r="R320" s="177" t="n"/>
      <c r="S320" s="177" t="n"/>
      <c r="T320" s="177" t="n"/>
      <c r="U320" s="177" t="n"/>
      <c r="V320" s="177" t="n"/>
      <c r="W320" s="177" t="n"/>
      <c r="X320" s="177" t="n"/>
      <c r="Y320" s="177" t="n"/>
    </row>
    <row r="321">
      <c r="A321" s="177" t="n"/>
      <c r="B321" s="177" t="n"/>
      <c r="C321" s="177" t="n"/>
      <c r="D321" s="177" t="n"/>
      <c r="E321" s="177" t="n"/>
      <c r="F321" s="177" t="n"/>
      <c r="G321" s="177" t="n"/>
      <c r="H321" s="177" t="n"/>
      <c r="I321" s="177" t="n"/>
      <c r="J321" s="177" t="n"/>
      <c r="K321" s="177" t="n"/>
      <c r="L321" s="177" t="n"/>
      <c r="M321" s="177" t="n"/>
      <c r="N321" s="177" t="n"/>
      <c r="O321" s="177" t="n"/>
      <c r="P321" s="177" t="n"/>
      <c r="Q321" s="177" t="n"/>
      <c r="R321" s="177" t="n"/>
      <c r="S321" s="177" t="n"/>
      <c r="T321" s="177" t="n"/>
      <c r="U321" s="177" t="n"/>
      <c r="V321" s="177" t="n"/>
      <c r="W321" s="177" t="n"/>
      <c r="X321" s="177" t="n"/>
      <c r="Y321" s="177" t="n"/>
    </row>
    <row r="322">
      <c r="A322" s="177" t="n"/>
      <c r="B322" s="177" t="n"/>
      <c r="C322" s="177" t="n"/>
      <c r="D322" s="177" t="n"/>
      <c r="E322" s="177" t="n"/>
      <c r="F322" s="177" t="n"/>
      <c r="G322" s="177" t="n"/>
      <c r="H322" s="177" t="n"/>
      <c r="I322" s="177" t="n"/>
      <c r="J322" s="177" t="n"/>
      <c r="K322" s="177" t="n"/>
      <c r="L322" s="177" t="n"/>
      <c r="M322" s="177" t="n"/>
      <c r="N322" s="177" t="n"/>
      <c r="O322" s="177" t="n"/>
      <c r="P322" s="177" t="n"/>
      <c r="Q322" s="177" t="n"/>
      <c r="R322" s="177" t="n"/>
      <c r="S322" s="177" t="n"/>
      <c r="T322" s="177" t="n"/>
      <c r="U322" s="177" t="n"/>
      <c r="V322" s="177" t="n"/>
      <c r="W322" s="177" t="n"/>
      <c r="X322" s="177" t="n"/>
      <c r="Y322" s="177" t="n"/>
    </row>
    <row r="323">
      <c r="A323" s="177" t="n"/>
      <c r="B323" s="177" t="n"/>
      <c r="C323" s="177" t="n"/>
      <c r="D323" s="177" t="n"/>
      <c r="E323" s="177" t="n"/>
      <c r="F323" s="177" t="n"/>
      <c r="G323" s="177" t="n"/>
      <c r="H323" s="177" t="n"/>
      <c r="I323" s="177" t="n"/>
      <c r="J323" s="177" t="n"/>
      <c r="K323" s="177" t="n"/>
      <c r="L323" s="177" t="n"/>
      <c r="M323" s="177" t="n"/>
      <c r="N323" s="177" t="n"/>
      <c r="O323" s="177" t="n"/>
      <c r="P323" s="177" t="n"/>
      <c r="Q323" s="177" t="n"/>
      <c r="R323" s="177" t="n"/>
      <c r="S323" s="177" t="n"/>
      <c r="T323" s="177" t="n"/>
      <c r="U323" s="177" t="n"/>
      <c r="V323" s="177" t="n"/>
      <c r="W323" s="177" t="n"/>
      <c r="X323" s="177" t="n"/>
      <c r="Y323" s="177" t="n"/>
    </row>
    <row r="324">
      <c r="A324" s="177" t="n"/>
      <c r="B324" s="177" t="n"/>
      <c r="C324" s="177" t="n"/>
      <c r="D324" s="177" t="n"/>
      <c r="E324" s="177" t="n"/>
      <c r="F324" s="177" t="n"/>
      <c r="G324" s="177" t="n"/>
      <c r="H324" s="177" t="n"/>
      <c r="I324" s="177" t="n"/>
      <c r="J324" s="177" t="n"/>
      <c r="K324" s="177" t="n"/>
      <c r="L324" s="177" t="n"/>
      <c r="M324" s="177" t="n"/>
      <c r="N324" s="177" t="n"/>
      <c r="O324" s="177" t="n"/>
      <c r="P324" s="177" t="n"/>
      <c r="Q324" s="177" t="n"/>
      <c r="R324" s="177" t="n"/>
      <c r="S324" s="177" t="n"/>
      <c r="T324" s="177" t="n"/>
      <c r="U324" s="177" t="n"/>
      <c r="V324" s="177" t="n"/>
      <c r="W324" s="177" t="n"/>
      <c r="X324" s="177" t="n"/>
      <c r="Y324" s="177" t="n"/>
    </row>
    <row r="325">
      <c r="A325" s="177" t="n"/>
      <c r="B325" s="177" t="n"/>
      <c r="C325" s="177" t="n"/>
      <c r="D325" s="177" t="n"/>
      <c r="E325" s="177" t="n"/>
      <c r="F325" s="177" t="n"/>
      <c r="G325" s="177" t="n"/>
      <c r="H325" s="177" t="n"/>
      <c r="I325" s="177" t="n"/>
      <c r="J325" s="177" t="n"/>
      <c r="K325" s="177" t="n"/>
      <c r="L325" s="177" t="n"/>
      <c r="M325" s="177" t="n"/>
      <c r="N325" s="177" t="n"/>
      <c r="O325" s="177" t="n"/>
      <c r="P325" s="177" t="n"/>
      <c r="Q325" s="177" t="n"/>
      <c r="R325" s="177" t="n"/>
      <c r="S325" s="177" t="n"/>
      <c r="T325" s="177" t="n"/>
      <c r="U325" s="177" t="n"/>
      <c r="V325" s="177" t="n"/>
      <c r="W325" s="177" t="n"/>
      <c r="X325" s="177" t="n"/>
      <c r="Y325" s="177" t="n"/>
    </row>
    <row r="326">
      <c r="A326" s="177" t="n"/>
      <c r="B326" s="177" t="n"/>
      <c r="C326" s="177" t="n"/>
      <c r="D326" s="177" t="n"/>
      <c r="E326" s="177" t="n"/>
      <c r="F326" s="177" t="n"/>
      <c r="G326" s="177" t="n"/>
      <c r="H326" s="177" t="n"/>
      <c r="I326" s="177" t="n"/>
      <c r="J326" s="177" t="n"/>
      <c r="K326" s="177" t="n"/>
      <c r="L326" s="177" t="n"/>
      <c r="M326" s="177" t="n"/>
      <c r="N326" s="177" t="n"/>
      <c r="O326" s="177" t="n"/>
      <c r="P326" s="177" t="n"/>
      <c r="Q326" s="177" t="n"/>
      <c r="R326" s="177" t="n"/>
      <c r="S326" s="177" t="n"/>
      <c r="T326" s="177" t="n"/>
      <c r="U326" s="177" t="n"/>
      <c r="V326" s="177" t="n"/>
      <c r="W326" s="177" t="n"/>
      <c r="X326" s="177" t="n"/>
      <c r="Y326" s="177" t="n"/>
    </row>
    <row r="327">
      <c r="A327" s="177" t="n"/>
      <c r="B327" s="177" t="n"/>
      <c r="C327" s="177" t="n"/>
      <c r="D327" s="177" t="n"/>
      <c r="E327" s="177" t="n"/>
      <c r="F327" s="177" t="n"/>
      <c r="G327" s="177" t="n"/>
      <c r="H327" s="177" t="n"/>
      <c r="I327" s="177" t="n"/>
      <c r="J327" s="177" t="n"/>
      <c r="K327" s="177" t="n"/>
      <c r="L327" s="177" t="n"/>
      <c r="M327" s="177" t="n"/>
      <c r="N327" s="177" t="n"/>
      <c r="O327" s="177" t="n"/>
      <c r="P327" s="177" t="n"/>
      <c r="Q327" s="177" t="n"/>
      <c r="R327" s="177" t="n"/>
      <c r="S327" s="177" t="n"/>
      <c r="T327" s="177" t="n"/>
      <c r="U327" s="177" t="n"/>
      <c r="V327" s="177" t="n"/>
      <c r="W327" s="177" t="n"/>
      <c r="X327" s="177" t="n"/>
      <c r="Y327" s="177" t="n"/>
    </row>
    <row r="328">
      <c r="A328" s="177" t="n"/>
      <c r="B328" s="177" t="n"/>
      <c r="C328" s="177" t="n"/>
      <c r="D328" s="177" t="n"/>
      <c r="E328" s="177" t="n"/>
      <c r="F328" s="177" t="n"/>
      <c r="G328" s="177" t="n"/>
      <c r="H328" s="177" t="n"/>
      <c r="I328" s="177" t="n"/>
      <c r="J328" s="177" t="n"/>
      <c r="K328" s="177" t="n"/>
      <c r="L328" s="177" t="n"/>
      <c r="M328" s="177" t="n"/>
      <c r="N328" s="177" t="n"/>
      <c r="O328" s="177" t="n"/>
      <c r="P328" s="177" t="n"/>
      <c r="Q328" s="177" t="n"/>
      <c r="R328" s="177" t="n"/>
      <c r="S328" s="177" t="n"/>
      <c r="T328" s="177" t="n"/>
      <c r="U328" s="177" t="n"/>
      <c r="V328" s="177" t="n"/>
      <c r="W328" s="177" t="n"/>
      <c r="X328" s="177" t="n"/>
      <c r="Y328" s="177" t="n"/>
    </row>
    <row r="329">
      <c r="A329" s="177" t="n"/>
      <c r="B329" s="177" t="n"/>
      <c r="C329" s="177" t="n"/>
      <c r="D329" s="177" t="n"/>
      <c r="E329" s="177" t="n"/>
      <c r="F329" s="177" t="n"/>
      <c r="G329" s="177" t="n"/>
      <c r="H329" s="177" t="n"/>
      <c r="I329" s="177" t="n"/>
      <c r="J329" s="177" t="n"/>
      <c r="K329" s="177" t="n"/>
      <c r="L329" s="177" t="n"/>
      <c r="M329" s="177" t="n"/>
      <c r="N329" s="177" t="n"/>
      <c r="O329" s="177" t="n"/>
      <c r="P329" s="177" t="n"/>
      <c r="Q329" s="177" t="n"/>
      <c r="R329" s="177" t="n"/>
      <c r="S329" s="177" t="n"/>
      <c r="T329" s="177" t="n"/>
      <c r="U329" s="177" t="n"/>
      <c r="V329" s="177" t="n"/>
      <c r="W329" s="177" t="n"/>
      <c r="X329" s="177" t="n"/>
      <c r="Y329" s="177" t="n"/>
    </row>
    <row r="330">
      <c r="A330" s="177" t="n"/>
      <c r="B330" s="177" t="n"/>
      <c r="C330" s="177" t="n"/>
      <c r="D330" s="177" t="n"/>
      <c r="E330" s="177" t="n"/>
      <c r="F330" s="177" t="n"/>
      <c r="G330" s="177" t="n"/>
      <c r="H330" s="177" t="n"/>
      <c r="I330" s="177" t="n"/>
      <c r="J330" s="177" t="n"/>
      <c r="K330" s="177" t="n"/>
      <c r="L330" s="177" t="n"/>
      <c r="M330" s="177" t="n"/>
      <c r="N330" s="177" t="n"/>
      <c r="O330" s="177" t="n"/>
      <c r="P330" s="177" t="n"/>
      <c r="Q330" s="177" t="n"/>
      <c r="R330" s="177" t="n"/>
      <c r="S330" s="177" t="n"/>
      <c r="T330" s="177" t="n"/>
      <c r="U330" s="177" t="n"/>
      <c r="V330" s="177" t="n"/>
      <c r="W330" s="177" t="n"/>
      <c r="X330" s="177" t="n"/>
      <c r="Y330" s="177" t="n"/>
    </row>
    <row r="331">
      <c r="A331" s="177" t="n"/>
      <c r="B331" s="177" t="n"/>
      <c r="C331" s="177" t="n"/>
      <c r="D331" s="177" t="n"/>
      <c r="E331" s="177" t="n"/>
      <c r="F331" s="177" t="n"/>
      <c r="G331" s="177" t="n"/>
      <c r="H331" s="177" t="n"/>
      <c r="I331" s="177" t="n"/>
      <c r="J331" s="177" t="n"/>
      <c r="K331" s="177" t="n"/>
      <c r="L331" s="177" t="n"/>
      <c r="M331" s="177" t="n"/>
      <c r="N331" s="177" t="n"/>
      <c r="O331" s="177" t="n"/>
      <c r="P331" s="177" t="n"/>
      <c r="Q331" s="177" t="n"/>
      <c r="R331" s="177" t="n"/>
      <c r="S331" s="177" t="n"/>
      <c r="T331" s="177" t="n"/>
      <c r="U331" s="177" t="n"/>
      <c r="V331" s="177" t="n"/>
      <c r="W331" s="177" t="n"/>
      <c r="X331" s="177" t="n"/>
      <c r="Y331" s="177" t="n"/>
    </row>
    <row r="332">
      <c r="A332" s="177" t="n"/>
      <c r="B332" s="177" t="n"/>
      <c r="C332" s="177" t="n"/>
      <c r="D332" s="177" t="n"/>
      <c r="E332" s="177" t="n"/>
      <c r="F332" s="177" t="n"/>
      <c r="G332" s="177" t="n"/>
      <c r="H332" s="177" t="n"/>
      <c r="I332" s="177" t="n"/>
      <c r="J332" s="177" t="n"/>
      <c r="K332" s="177" t="n"/>
      <c r="L332" s="177" t="n"/>
      <c r="M332" s="177" t="n"/>
      <c r="N332" s="177" t="n"/>
      <c r="O332" s="177" t="n"/>
      <c r="P332" s="177" t="n"/>
      <c r="Q332" s="177" t="n"/>
      <c r="R332" s="177" t="n"/>
      <c r="S332" s="177" t="n"/>
      <c r="T332" s="177" t="n"/>
      <c r="U332" s="177" t="n"/>
      <c r="V332" s="177" t="n"/>
      <c r="W332" s="177" t="n"/>
      <c r="X332" s="177" t="n"/>
      <c r="Y332" s="177" t="n"/>
    </row>
    <row r="333">
      <c r="A333" s="177" t="n"/>
      <c r="B333" s="177" t="n"/>
      <c r="C333" s="177" t="n"/>
      <c r="D333" s="177" t="n"/>
      <c r="E333" s="177" t="n"/>
      <c r="F333" s="177" t="n"/>
      <c r="G333" s="177" t="n"/>
      <c r="H333" s="177" t="n"/>
      <c r="I333" s="177" t="n"/>
      <c r="J333" s="177" t="n"/>
      <c r="K333" s="177" t="n"/>
      <c r="L333" s="177" t="n"/>
      <c r="M333" s="177" t="n"/>
      <c r="N333" s="177" t="n"/>
      <c r="O333" s="177" t="n"/>
      <c r="P333" s="177" t="n"/>
      <c r="Q333" s="177" t="n"/>
      <c r="R333" s="177" t="n"/>
      <c r="S333" s="177" t="n"/>
      <c r="T333" s="177" t="n"/>
      <c r="U333" s="177" t="n"/>
      <c r="V333" s="177" t="n"/>
      <c r="W333" s="177" t="n"/>
      <c r="X333" s="177" t="n"/>
      <c r="Y333" s="177" t="n"/>
    </row>
    <row r="334">
      <c r="A334" s="177" t="n"/>
      <c r="B334" s="177" t="n"/>
      <c r="C334" s="177" t="n"/>
      <c r="D334" s="177" t="n"/>
      <c r="E334" s="177" t="n"/>
      <c r="F334" s="177" t="n"/>
      <c r="G334" s="177" t="n"/>
      <c r="H334" s="177" t="n"/>
      <c r="I334" s="177" t="n"/>
      <c r="J334" s="177" t="n"/>
      <c r="K334" s="177" t="n"/>
      <c r="L334" s="177" t="n"/>
      <c r="M334" s="177" t="n"/>
      <c r="N334" s="177" t="n"/>
      <c r="O334" s="177" t="n"/>
      <c r="P334" s="177" t="n"/>
      <c r="Q334" s="177" t="n"/>
      <c r="R334" s="177" t="n"/>
      <c r="S334" s="177" t="n"/>
      <c r="T334" s="177" t="n"/>
      <c r="U334" s="177" t="n"/>
      <c r="V334" s="177" t="n"/>
      <c r="W334" s="177" t="n"/>
      <c r="X334" s="177" t="n"/>
      <c r="Y334" s="177" t="n"/>
    </row>
    <row r="335">
      <c r="A335" s="177" t="n"/>
      <c r="B335" s="177" t="n"/>
      <c r="C335" s="177" t="n"/>
      <c r="D335" s="177" t="n"/>
      <c r="E335" s="177" t="n"/>
      <c r="F335" s="177" t="n"/>
      <c r="G335" s="177" t="n"/>
      <c r="H335" s="177" t="n"/>
      <c r="I335" s="177" t="n"/>
      <c r="J335" s="177" t="n"/>
      <c r="K335" s="177" t="n"/>
      <c r="L335" s="177" t="n"/>
      <c r="M335" s="177" t="n"/>
      <c r="N335" s="177" t="n"/>
      <c r="O335" s="177" t="n"/>
      <c r="P335" s="177" t="n"/>
      <c r="Q335" s="177" t="n"/>
      <c r="R335" s="177" t="n"/>
      <c r="S335" s="177" t="n"/>
      <c r="T335" s="177" t="n"/>
      <c r="U335" s="177" t="n"/>
      <c r="V335" s="177" t="n"/>
      <c r="W335" s="177" t="n"/>
      <c r="X335" s="177" t="n"/>
      <c r="Y335" s="177" t="n"/>
    </row>
    <row r="336">
      <c r="A336" s="177" t="n"/>
      <c r="B336" s="177" t="n"/>
      <c r="C336" s="177" t="n"/>
      <c r="D336" s="177" t="n"/>
      <c r="E336" s="177" t="n"/>
      <c r="F336" s="177" t="n"/>
      <c r="G336" s="177" t="n"/>
      <c r="H336" s="177" t="n"/>
      <c r="I336" s="177" t="n"/>
      <c r="J336" s="177" t="n"/>
      <c r="K336" s="177" t="n"/>
      <c r="L336" s="177" t="n"/>
      <c r="M336" s="177" t="n"/>
      <c r="N336" s="177" t="n"/>
      <c r="O336" s="177" t="n"/>
      <c r="P336" s="177" t="n"/>
      <c r="Q336" s="177" t="n"/>
      <c r="R336" s="177" t="n"/>
      <c r="S336" s="177" t="n"/>
      <c r="T336" s="177" t="n"/>
      <c r="U336" s="177" t="n"/>
      <c r="V336" s="177" t="n"/>
      <c r="W336" s="177" t="n"/>
      <c r="X336" s="177" t="n"/>
      <c r="Y336" s="177" t="n"/>
    </row>
    <row r="337">
      <c r="A337" s="177" t="n"/>
      <c r="B337" s="177" t="n"/>
      <c r="C337" s="177" t="n"/>
      <c r="D337" s="177" t="n"/>
      <c r="E337" s="177" t="n"/>
      <c r="F337" s="177" t="n"/>
      <c r="G337" s="177" t="n"/>
      <c r="H337" s="177" t="n"/>
      <c r="I337" s="177" t="n"/>
      <c r="J337" s="177" t="n"/>
      <c r="K337" s="177" t="n"/>
      <c r="L337" s="177" t="n"/>
      <c r="M337" s="177" t="n"/>
      <c r="N337" s="177" t="n"/>
      <c r="O337" s="177" t="n"/>
      <c r="P337" s="177" t="n"/>
      <c r="Q337" s="177" t="n"/>
      <c r="R337" s="177" t="n"/>
      <c r="S337" s="177" t="n"/>
      <c r="T337" s="177" t="n"/>
      <c r="U337" s="177" t="n"/>
      <c r="V337" s="177" t="n"/>
      <c r="W337" s="177" t="n"/>
      <c r="X337" s="177" t="n"/>
      <c r="Y337" s="177" t="n"/>
    </row>
    <row r="338">
      <c r="A338" s="177" t="n"/>
      <c r="B338" s="177" t="n"/>
      <c r="C338" s="177" t="n"/>
      <c r="D338" s="177" t="n"/>
      <c r="E338" s="177" t="n"/>
      <c r="F338" s="177" t="n"/>
      <c r="G338" s="177" t="n"/>
      <c r="H338" s="177" t="n"/>
      <c r="I338" s="177" t="n"/>
      <c r="J338" s="177" t="n"/>
      <c r="K338" s="177" t="n"/>
      <c r="L338" s="177" t="n"/>
      <c r="M338" s="177" t="n"/>
      <c r="N338" s="177" t="n"/>
      <c r="O338" s="177" t="n"/>
      <c r="P338" s="177" t="n"/>
      <c r="Q338" s="177" t="n"/>
      <c r="R338" s="177" t="n"/>
      <c r="S338" s="177" t="n"/>
      <c r="T338" s="177" t="n"/>
      <c r="U338" s="177" t="n"/>
      <c r="V338" s="177" t="n"/>
      <c r="W338" s="177" t="n"/>
      <c r="X338" s="177" t="n"/>
      <c r="Y338" s="177" t="n"/>
    </row>
    <row r="339">
      <c r="A339" s="177" t="n"/>
      <c r="B339" s="177" t="n"/>
      <c r="C339" s="177" t="n"/>
      <c r="D339" s="177" t="n"/>
      <c r="E339" s="177" t="n"/>
      <c r="F339" s="177" t="n"/>
      <c r="G339" s="177" t="n"/>
      <c r="H339" s="177" t="n"/>
      <c r="I339" s="177" t="n"/>
      <c r="J339" s="177" t="n"/>
      <c r="K339" s="177" t="n"/>
      <c r="L339" s="177" t="n"/>
      <c r="M339" s="177" t="n"/>
      <c r="N339" s="177" t="n"/>
      <c r="O339" s="177" t="n"/>
      <c r="P339" s="177" t="n"/>
      <c r="Q339" s="177" t="n"/>
      <c r="R339" s="177" t="n"/>
      <c r="S339" s="177" t="n"/>
      <c r="T339" s="177" t="n"/>
      <c r="U339" s="177" t="n"/>
      <c r="V339" s="177" t="n"/>
      <c r="W339" s="177" t="n"/>
      <c r="X339" s="177" t="n"/>
      <c r="Y339" s="177" t="n"/>
    </row>
    <row r="340">
      <c r="A340" s="177" t="n"/>
      <c r="B340" s="177" t="n"/>
      <c r="C340" s="177" t="n"/>
      <c r="D340" s="177" t="n"/>
      <c r="E340" s="177" t="n"/>
      <c r="F340" s="177" t="n"/>
      <c r="G340" s="177" t="n"/>
      <c r="H340" s="177" t="n"/>
      <c r="I340" s="177" t="n"/>
      <c r="J340" s="177" t="n"/>
      <c r="K340" s="177" t="n"/>
      <c r="L340" s="177" t="n"/>
      <c r="M340" s="177" t="n"/>
      <c r="N340" s="177" t="n"/>
      <c r="O340" s="177" t="n"/>
      <c r="P340" s="177" t="n"/>
      <c r="Q340" s="177" t="n"/>
      <c r="R340" s="177" t="n"/>
      <c r="S340" s="177" t="n"/>
      <c r="T340" s="177" t="n"/>
      <c r="U340" s="177" t="n"/>
      <c r="V340" s="177" t="n"/>
      <c r="W340" s="177" t="n"/>
      <c r="X340" s="177" t="n"/>
      <c r="Y340" s="177" t="n"/>
    </row>
    <row r="341">
      <c r="A341" s="177" t="n"/>
      <c r="B341" s="177" t="n"/>
      <c r="C341" s="177" t="n"/>
      <c r="D341" s="177" t="n"/>
      <c r="E341" s="177" t="n"/>
      <c r="F341" s="177" t="n"/>
      <c r="G341" s="177" t="n"/>
      <c r="H341" s="177" t="n"/>
      <c r="I341" s="177" t="n"/>
      <c r="J341" s="177" t="n"/>
      <c r="K341" s="177" t="n"/>
      <c r="L341" s="177" t="n"/>
      <c r="M341" s="177" t="n"/>
      <c r="N341" s="177" t="n"/>
      <c r="O341" s="177" t="n"/>
      <c r="P341" s="177" t="n"/>
      <c r="Q341" s="177" t="n"/>
      <c r="R341" s="177" t="n"/>
      <c r="S341" s="177" t="n"/>
      <c r="T341" s="177" t="n"/>
      <c r="U341" s="177" t="n"/>
      <c r="V341" s="177" t="n"/>
      <c r="W341" s="177" t="n"/>
      <c r="X341" s="177" t="n"/>
      <c r="Y341" s="177" t="n"/>
    </row>
    <row r="342">
      <c r="A342" s="177" t="n"/>
      <c r="B342" s="177" t="n"/>
      <c r="C342" s="177" t="n"/>
      <c r="D342" s="177" t="n"/>
      <c r="E342" s="177" t="n"/>
      <c r="F342" s="177" t="n"/>
      <c r="G342" s="177" t="n"/>
      <c r="H342" s="177" t="n"/>
      <c r="I342" s="177" t="n"/>
      <c r="J342" s="177" t="n"/>
      <c r="K342" s="177" t="n"/>
      <c r="L342" s="177" t="n"/>
      <c r="M342" s="177" t="n"/>
      <c r="N342" s="177" t="n"/>
      <c r="O342" s="177" t="n"/>
      <c r="P342" s="177" t="n"/>
      <c r="Q342" s="177" t="n"/>
      <c r="R342" s="177" t="n"/>
      <c r="S342" s="177" t="n"/>
      <c r="T342" s="177" t="n"/>
      <c r="U342" s="177" t="n"/>
      <c r="V342" s="177" t="n"/>
      <c r="W342" s="177" t="n"/>
      <c r="X342" s="177" t="n"/>
      <c r="Y342" s="177" t="n"/>
    </row>
    <row r="343">
      <c r="A343" s="177" t="n"/>
      <c r="B343" s="177" t="n"/>
      <c r="C343" s="177" t="n"/>
      <c r="D343" s="177" t="n"/>
      <c r="E343" s="177" t="n"/>
      <c r="F343" s="177" t="n"/>
      <c r="G343" s="177" t="n"/>
      <c r="H343" s="177" t="n"/>
      <c r="I343" s="177" t="n"/>
      <c r="J343" s="177" t="n"/>
      <c r="K343" s="177" t="n"/>
      <c r="L343" s="177" t="n"/>
      <c r="M343" s="177" t="n"/>
      <c r="N343" s="177" t="n"/>
      <c r="O343" s="177" t="n"/>
      <c r="P343" s="177" t="n"/>
      <c r="Q343" s="177" t="n"/>
      <c r="R343" s="177" t="n"/>
      <c r="S343" s="177" t="n"/>
      <c r="T343" s="177" t="n"/>
      <c r="U343" s="177" t="n"/>
      <c r="V343" s="177" t="n"/>
      <c r="W343" s="177" t="n"/>
      <c r="X343" s="177" t="n"/>
      <c r="Y343" s="177" t="n"/>
    </row>
    <row r="344">
      <c r="A344" s="177" t="n"/>
      <c r="B344" s="177" t="n"/>
      <c r="C344" s="177" t="n"/>
      <c r="D344" s="177" t="n"/>
      <c r="E344" s="177" t="n"/>
      <c r="F344" s="177" t="n"/>
      <c r="G344" s="177" t="n"/>
      <c r="H344" s="177" t="n"/>
      <c r="I344" s="177" t="n"/>
      <c r="J344" s="177" t="n"/>
      <c r="K344" s="177" t="n"/>
      <c r="L344" s="177" t="n"/>
      <c r="M344" s="177" t="n"/>
      <c r="N344" s="177" t="n"/>
      <c r="O344" s="177" t="n"/>
      <c r="P344" s="177" t="n"/>
      <c r="Q344" s="177" t="n"/>
      <c r="R344" s="177" t="n"/>
      <c r="S344" s="177" t="n"/>
      <c r="T344" s="177" t="n"/>
      <c r="U344" s="177" t="n"/>
      <c r="V344" s="177" t="n"/>
      <c r="W344" s="177" t="n"/>
      <c r="X344" s="177" t="n"/>
      <c r="Y344" s="177" t="n"/>
    </row>
    <row r="345">
      <c r="A345" s="177" t="n"/>
      <c r="B345" s="177" t="n"/>
      <c r="C345" s="177" t="n"/>
      <c r="D345" s="177" t="n"/>
      <c r="E345" s="177" t="n"/>
      <c r="F345" s="177" t="n"/>
      <c r="G345" s="177" t="n"/>
      <c r="H345" s="177" t="n"/>
      <c r="I345" s="177" t="n"/>
      <c r="J345" s="177" t="n"/>
      <c r="K345" s="177" t="n"/>
      <c r="L345" s="177" t="n"/>
      <c r="M345" s="177" t="n"/>
      <c r="N345" s="177" t="n"/>
      <c r="O345" s="177" t="n"/>
      <c r="P345" s="177" t="n"/>
      <c r="Q345" s="177" t="n"/>
      <c r="R345" s="177" t="n"/>
      <c r="S345" s="177" t="n"/>
      <c r="T345" s="177" t="n"/>
      <c r="U345" s="177" t="n"/>
      <c r="V345" s="177" t="n"/>
      <c r="W345" s="177" t="n"/>
      <c r="X345" s="177" t="n"/>
      <c r="Y345" s="177" t="n"/>
    </row>
    <row r="346">
      <c r="A346" s="177" t="n"/>
      <c r="B346" s="177" t="n"/>
      <c r="C346" s="177" t="n"/>
      <c r="D346" s="177" t="n"/>
      <c r="E346" s="177" t="n"/>
      <c r="F346" s="177" t="n"/>
      <c r="G346" s="177" t="n"/>
      <c r="H346" s="177" t="n"/>
      <c r="I346" s="177" t="n"/>
      <c r="J346" s="177" t="n"/>
      <c r="K346" s="177" t="n"/>
      <c r="L346" s="177" t="n"/>
      <c r="M346" s="177" t="n"/>
      <c r="N346" s="177" t="n"/>
      <c r="O346" s="177" t="n"/>
      <c r="P346" s="177" t="n"/>
      <c r="Q346" s="177" t="n"/>
      <c r="R346" s="177" t="n"/>
      <c r="S346" s="177" t="n"/>
      <c r="T346" s="177" t="n"/>
      <c r="U346" s="177" t="n"/>
      <c r="V346" s="177" t="n"/>
      <c r="W346" s="177" t="n"/>
      <c r="X346" s="177" t="n"/>
      <c r="Y346" s="177" t="n"/>
    </row>
    <row r="347">
      <c r="A347" s="177" t="n"/>
      <c r="B347" s="177" t="n"/>
      <c r="C347" s="177" t="n"/>
      <c r="D347" s="177" t="n"/>
      <c r="E347" s="177" t="n"/>
      <c r="F347" s="177" t="n"/>
      <c r="G347" s="177" t="n"/>
      <c r="H347" s="177" t="n"/>
      <c r="I347" s="177" t="n"/>
      <c r="J347" s="177" t="n"/>
      <c r="K347" s="177" t="n"/>
      <c r="L347" s="177" t="n"/>
      <c r="M347" s="177" t="n"/>
      <c r="N347" s="177" t="n"/>
      <c r="O347" s="177" t="n"/>
      <c r="P347" s="177" t="n"/>
      <c r="Q347" s="177" t="n"/>
      <c r="R347" s="177" t="n"/>
      <c r="S347" s="177" t="n"/>
      <c r="T347" s="177" t="n"/>
      <c r="U347" s="177" t="n"/>
      <c r="V347" s="177" t="n"/>
      <c r="W347" s="177" t="n"/>
      <c r="X347" s="177" t="n"/>
      <c r="Y347" s="177" t="n"/>
    </row>
    <row r="348">
      <c r="A348" s="177" t="n"/>
      <c r="B348" s="177" t="n"/>
      <c r="C348" s="177" t="n"/>
      <c r="D348" s="177" t="n"/>
      <c r="E348" s="177" t="n"/>
      <c r="F348" s="177" t="n"/>
      <c r="G348" s="177" t="n"/>
      <c r="H348" s="177" t="n"/>
      <c r="I348" s="177" t="n"/>
      <c r="J348" s="177" t="n"/>
      <c r="K348" s="177" t="n"/>
      <c r="L348" s="177" t="n"/>
      <c r="M348" s="177" t="n"/>
      <c r="N348" s="177" t="n"/>
      <c r="O348" s="177" t="n"/>
      <c r="P348" s="177" t="n"/>
      <c r="Q348" s="177" t="n"/>
      <c r="R348" s="177" t="n"/>
      <c r="S348" s="177" t="n"/>
      <c r="T348" s="177" t="n"/>
      <c r="U348" s="177" t="n"/>
      <c r="V348" s="177" t="n"/>
      <c r="W348" s="177" t="n"/>
      <c r="X348" s="177" t="n"/>
      <c r="Y348" s="177" t="n"/>
    </row>
    <row r="349">
      <c r="A349" s="177" t="n"/>
      <c r="B349" s="177" t="n"/>
      <c r="C349" s="177" t="n"/>
      <c r="D349" s="177" t="n"/>
      <c r="E349" s="177" t="n"/>
      <c r="F349" s="177" t="n"/>
      <c r="G349" s="177" t="n"/>
      <c r="H349" s="177" t="n"/>
      <c r="I349" s="177" t="n"/>
      <c r="J349" s="177" t="n"/>
      <c r="K349" s="177" t="n"/>
      <c r="L349" s="177" t="n"/>
      <c r="M349" s="177" t="n"/>
      <c r="N349" s="177" t="n"/>
      <c r="O349" s="177" t="n"/>
      <c r="P349" s="177" t="n"/>
      <c r="Q349" s="177" t="n"/>
      <c r="R349" s="177" t="n"/>
      <c r="S349" s="177" t="n"/>
      <c r="T349" s="177" t="n"/>
      <c r="U349" s="177" t="n"/>
      <c r="V349" s="177" t="n"/>
      <c r="W349" s="177" t="n"/>
      <c r="X349" s="177" t="n"/>
      <c r="Y349" s="177" t="n"/>
    </row>
    <row r="350">
      <c r="A350" s="177" t="n"/>
      <c r="B350" s="177" t="n"/>
      <c r="C350" s="177" t="n"/>
      <c r="D350" s="177" t="n"/>
      <c r="E350" s="177" t="n"/>
      <c r="F350" s="177" t="n"/>
      <c r="G350" s="177" t="n"/>
      <c r="H350" s="177" t="n"/>
      <c r="I350" s="177" t="n"/>
      <c r="J350" s="177" t="n"/>
      <c r="K350" s="177" t="n"/>
      <c r="L350" s="177" t="n"/>
      <c r="M350" s="177" t="n"/>
      <c r="N350" s="177" t="n"/>
      <c r="O350" s="177" t="n"/>
      <c r="P350" s="177" t="n"/>
      <c r="Q350" s="177" t="n"/>
      <c r="R350" s="177" t="n"/>
      <c r="S350" s="177" t="n"/>
      <c r="T350" s="177" t="n"/>
      <c r="U350" s="177" t="n"/>
      <c r="V350" s="177" t="n"/>
      <c r="W350" s="177" t="n"/>
      <c r="X350" s="177" t="n"/>
      <c r="Y350" s="177" t="n"/>
    </row>
    <row r="351">
      <c r="A351" s="177" t="n"/>
      <c r="B351" s="177" t="n"/>
      <c r="C351" s="177" t="n"/>
      <c r="D351" s="177" t="n"/>
      <c r="E351" s="177" t="n"/>
      <c r="F351" s="177" t="n"/>
      <c r="G351" s="177" t="n"/>
      <c r="H351" s="177" t="n"/>
      <c r="I351" s="177" t="n"/>
      <c r="J351" s="177" t="n"/>
      <c r="K351" s="177" t="n"/>
      <c r="L351" s="177" t="n"/>
      <c r="M351" s="177" t="n"/>
      <c r="N351" s="177" t="n"/>
      <c r="O351" s="177" t="n"/>
      <c r="P351" s="177" t="n"/>
      <c r="Q351" s="177" t="n"/>
      <c r="R351" s="177" t="n"/>
      <c r="S351" s="177" t="n"/>
      <c r="T351" s="177" t="n"/>
      <c r="U351" s="177" t="n"/>
      <c r="V351" s="177" t="n"/>
      <c r="W351" s="177" t="n"/>
      <c r="X351" s="177" t="n"/>
      <c r="Y351" s="177" t="n"/>
    </row>
    <row r="352">
      <c r="A352" s="177" t="n"/>
      <c r="B352" s="177" t="n"/>
      <c r="C352" s="177" t="n"/>
      <c r="D352" s="177" t="n"/>
      <c r="E352" s="177" t="n"/>
      <c r="F352" s="177" t="n"/>
      <c r="G352" s="177" t="n"/>
      <c r="H352" s="177" t="n"/>
      <c r="I352" s="177" t="n"/>
      <c r="J352" s="177" t="n"/>
      <c r="K352" s="177" t="n"/>
      <c r="L352" s="177" t="n"/>
      <c r="M352" s="177" t="n"/>
      <c r="N352" s="177" t="n"/>
      <c r="O352" s="177" t="n"/>
      <c r="P352" s="177" t="n"/>
      <c r="Q352" s="177" t="n"/>
      <c r="R352" s="177" t="n"/>
      <c r="S352" s="177" t="n"/>
      <c r="T352" s="177" t="n"/>
      <c r="U352" s="177" t="n"/>
      <c r="V352" s="177" t="n"/>
      <c r="W352" s="177" t="n"/>
      <c r="X352" s="177" t="n"/>
      <c r="Y352" s="177" t="n"/>
    </row>
    <row r="353">
      <c r="A353" s="177" t="n"/>
      <c r="B353" s="177" t="n"/>
      <c r="C353" s="177" t="n"/>
      <c r="D353" s="177" t="n"/>
      <c r="E353" s="177" t="n"/>
      <c r="F353" s="177" t="n"/>
      <c r="G353" s="177" t="n"/>
      <c r="H353" s="177" t="n"/>
      <c r="I353" s="177" t="n"/>
      <c r="J353" s="177" t="n"/>
      <c r="K353" s="177" t="n"/>
      <c r="L353" s="177" t="n"/>
      <c r="M353" s="177" t="n"/>
      <c r="N353" s="177" t="n"/>
      <c r="O353" s="177" t="n"/>
      <c r="P353" s="177" t="n"/>
      <c r="Q353" s="177" t="n"/>
      <c r="R353" s="177" t="n"/>
      <c r="S353" s="177" t="n"/>
      <c r="T353" s="177" t="n"/>
      <c r="U353" s="177" t="n"/>
      <c r="V353" s="177" t="n"/>
      <c r="W353" s="177" t="n"/>
      <c r="X353" s="177" t="n"/>
      <c r="Y353" s="177" t="n"/>
    </row>
    <row r="354">
      <c r="A354" s="177" t="n"/>
      <c r="B354" s="177" t="n"/>
      <c r="C354" s="177" t="n"/>
      <c r="D354" s="177" t="n"/>
      <c r="E354" s="177" t="n"/>
      <c r="F354" s="177" t="n"/>
      <c r="G354" s="177" t="n"/>
      <c r="H354" s="177" t="n"/>
      <c r="I354" s="177" t="n"/>
      <c r="J354" s="177" t="n"/>
      <c r="K354" s="177" t="n"/>
      <c r="L354" s="177" t="n"/>
      <c r="M354" s="177" t="n"/>
      <c r="N354" s="177" t="n"/>
      <c r="O354" s="177" t="n"/>
      <c r="P354" s="177" t="n"/>
      <c r="Q354" s="177" t="n"/>
      <c r="R354" s="177" t="n"/>
      <c r="S354" s="177" t="n"/>
      <c r="T354" s="177" t="n"/>
      <c r="U354" s="177" t="n"/>
      <c r="V354" s="177" t="n"/>
      <c r="W354" s="177" t="n"/>
      <c r="X354" s="177" t="n"/>
      <c r="Y354" s="177" t="n"/>
    </row>
    <row r="355">
      <c r="A355" s="177" t="n"/>
      <c r="B355" s="177" t="n"/>
      <c r="C355" s="177" t="n"/>
      <c r="D355" s="177" t="n"/>
      <c r="E355" s="177" t="n"/>
      <c r="F355" s="177" t="n"/>
      <c r="G355" s="177" t="n"/>
      <c r="H355" s="177" t="n"/>
      <c r="I355" s="177" t="n"/>
      <c r="J355" s="177" t="n"/>
      <c r="K355" s="177" t="n"/>
      <c r="L355" s="177" t="n"/>
      <c r="M355" s="177" t="n"/>
      <c r="N355" s="177" t="n"/>
      <c r="O355" s="177" t="n"/>
      <c r="P355" s="177" t="n"/>
      <c r="Q355" s="177" t="n"/>
      <c r="R355" s="177" t="n"/>
      <c r="S355" s="177" t="n"/>
      <c r="T355" s="177" t="n"/>
      <c r="U355" s="177" t="n"/>
      <c r="V355" s="177" t="n"/>
      <c r="W355" s="177" t="n"/>
      <c r="X355" s="177" t="n"/>
      <c r="Y355" s="177" t="n"/>
    </row>
    <row r="356">
      <c r="A356" s="177" t="n"/>
      <c r="B356" s="177" t="n"/>
      <c r="C356" s="177" t="n"/>
      <c r="D356" s="177" t="n"/>
      <c r="E356" s="177" t="n"/>
      <c r="F356" s="177" t="n"/>
      <c r="G356" s="177" t="n"/>
      <c r="H356" s="177" t="n"/>
      <c r="I356" s="177" t="n"/>
      <c r="J356" s="177" t="n"/>
      <c r="K356" s="177" t="n"/>
      <c r="L356" s="177" t="n"/>
      <c r="M356" s="177" t="n"/>
      <c r="N356" s="177" t="n"/>
      <c r="O356" s="177" t="n"/>
      <c r="P356" s="177" t="n"/>
      <c r="Q356" s="177" t="n"/>
      <c r="R356" s="177" t="n"/>
      <c r="S356" s="177" t="n"/>
      <c r="T356" s="177" t="n"/>
      <c r="U356" s="177" t="n"/>
      <c r="V356" s="177" t="n"/>
      <c r="W356" s="177" t="n"/>
      <c r="X356" s="177" t="n"/>
      <c r="Y356" s="177" t="n"/>
    </row>
    <row r="357">
      <c r="A357" s="177" t="n"/>
      <c r="B357" s="177" t="n"/>
      <c r="C357" s="177" t="n"/>
      <c r="D357" s="177" t="n"/>
      <c r="E357" s="177" t="n"/>
      <c r="F357" s="177" t="n"/>
      <c r="G357" s="177" t="n"/>
      <c r="H357" s="177" t="n"/>
      <c r="I357" s="177" t="n"/>
      <c r="J357" s="177" t="n"/>
      <c r="K357" s="177" t="n"/>
      <c r="L357" s="177" t="n"/>
      <c r="M357" s="177" t="n"/>
      <c r="N357" s="177" t="n"/>
      <c r="O357" s="177" t="n"/>
      <c r="P357" s="177" t="n"/>
      <c r="Q357" s="177" t="n"/>
      <c r="R357" s="177" t="n"/>
      <c r="S357" s="177" t="n"/>
      <c r="T357" s="177" t="n"/>
      <c r="U357" s="177" t="n"/>
      <c r="V357" s="177" t="n"/>
      <c r="W357" s="177" t="n"/>
      <c r="X357" s="177" t="n"/>
      <c r="Y357" s="177" t="n"/>
    </row>
    <row r="358">
      <c r="A358" s="177" t="n"/>
      <c r="B358" s="177" t="n"/>
      <c r="C358" s="177" t="n"/>
      <c r="D358" s="177" t="n"/>
      <c r="E358" s="177" t="n"/>
      <c r="F358" s="177" t="n"/>
      <c r="G358" s="177" t="n"/>
      <c r="H358" s="177" t="n"/>
      <c r="I358" s="177" t="n"/>
      <c r="J358" s="177" t="n"/>
      <c r="K358" s="177" t="n"/>
      <c r="L358" s="177" t="n"/>
      <c r="M358" s="177" t="n"/>
      <c r="N358" s="177" t="n"/>
      <c r="O358" s="177" t="n"/>
      <c r="P358" s="177" t="n"/>
      <c r="Q358" s="177" t="n"/>
      <c r="R358" s="177" t="n"/>
      <c r="S358" s="177" t="n"/>
      <c r="T358" s="177" t="n"/>
      <c r="U358" s="177" t="n"/>
      <c r="V358" s="177" t="n"/>
      <c r="W358" s="177" t="n"/>
      <c r="X358" s="177" t="n"/>
      <c r="Y358" s="177" t="n"/>
    </row>
    <row r="359">
      <c r="A359" s="177" t="n"/>
      <c r="B359" s="177" t="n"/>
      <c r="C359" s="177" t="n"/>
      <c r="D359" s="177" t="n"/>
      <c r="E359" s="177" t="n"/>
      <c r="F359" s="177" t="n"/>
      <c r="G359" s="177" t="n"/>
      <c r="H359" s="177" t="n"/>
      <c r="I359" s="177" t="n"/>
      <c r="J359" s="177" t="n"/>
      <c r="K359" s="177" t="n"/>
      <c r="L359" s="177" t="n"/>
      <c r="M359" s="177" t="n"/>
      <c r="N359" s="177" t="n"/>
      <c r="O359" s="177" t="n"/>
      <c r="P359" s="177" t="n"/>
      <c r="Q359" s="177" t="n"/>
      <c r="R359" s="177" t="n"/>
      <c r="S359" s="177" t="n"/>
      <c r="T359" s="177" t="n"/>
      <c r="U359" s="177" t="n"/>
      <c r="V359" s="177" t="n"/>
      <c r="W359" s="177" t="n"/>
      <c r="X359" s="177" t="n"/>
      <c r="Y359" s="177" t="n"/>
    </row>
    <row r="360">
      <c r="A360" s="177" t="n"/>
      <c r="B360" s="177" t="n"/>
      <c r="C360" s="177" t="n"/>
      <c r="D360" s="177" t="n"/>
      <c r="E360" s="177" t="n"/>
      <c r="F360" s="177" t="n"/>
      <c r="G360" s="177" t="n"/>
      <c r="H360" s="177" t="n"/>
      <c r="I360" s="177" t="n"/>
      <c r="J360" s="177" t="n"/>
      <c r="K360" s="177" t="n"/>
      <c r="L360" s="177" t="n"/>
      <c r="M360" s="177" t="n"/>
      <c r="N360" s="177" t="n"/>
      <c r="O360" s="177" t="n"/>
      <c r="P360" s="177" t="n"/>
      <c r="Q360" s="177" t="n"/>
      <c r="R360" s="177" t="n"/>
      <c r="S360" s="177" t="n"/>
      <c r="T360" s="177" t="n"/>
      <c r="U360" s="177" t="n"/>
      <c r="V360" s="177" t="n"/>
      <c r="W360" s="177" t="n"/>
      <c r="X360" s="177" t="n"/>
      <c r="Y360" s="177" t="n"/>
    </row>
    <row r="361">
      <c r="A361" s="177" t="n"/>
      <c r="B361" s="177" t="n"/>
      <c r="C361" s="177" t="n"/>
      <c r="D361" s="177" t="n"/>
      <c r="E361" s="177" t="n"/>
      <c r="F361" s="177" t="n"/>
      <c r="G361" s="177" t="n"/>
      <c r="H361" s="177" t="n"/>
      <c r="I361" s="177" t="n"/>
      <c r="J361" s="177" t="n"/>
      <c r="K361" s="177" t="n"/>
      <c r="L361" s="177" t="n"/>
      <c r="M361" s="177" t="n"/>
      <c r="N361" s="177" t="n"/>
      <c r="O361" s="177" t="n"/>
      <c r="P361" s="177" t="n"/>
      <c r="Q361" s="177" t="n"/>
      <c r="R361" s="177" t="n"/>
      <c r="S361" s="177" t="n"/>
      <c r="T361" s="177" t="n"/>
      <c r="U361" s="177" t="n"/>
      <c r="V361" s="177" t="n"/>
      <c r="W361" s="177" t="n"/>
      <c r="X361" s="177" t="n"/>
      <c r="Y361" s="177" t="n"/>
    </row>
    <row r="362">
      <c r="A362" s="177" t="n"/>
      <c r="B362" s="177" t="n"/>
      <c r="C362" s="177" t="n"/>
      <c r="D362" s="177" t="n"/>
      <c r="E362" s="177" t="n"/>
      <c r="F362" s="177" t="n"/>
      <c r="G362" s="177" t="n"/>
      <c r="H362" s="177" t="n"/>
      <c r="I362" s="177" t="n"/>
      <c r="J362" s="177" t="n"/>
      <c r="K362" s="177" t="n"/>
      <c r="L362" s="177" t="n"/>
      <c r="M362" s="177" t="n"/>
      <c r="N362" s="177" t="n"/>
      <c r="O362" s="177" t="n"/>
      <c r="P362" s="177" t="n"/>
      <c r="Q362" s="177" t="n"/>
      <c r="R362" s="177" t="n"/>
      <c r="S362" s="177" t="n"/>
      <c r="T362" s="177" t="n"/>
      <c r="U362" s="177" t="n"/>
      <c r="V362" s="177" t="n"/>
      <c r="W362" s="177" t="n"/>
      <c r="X362" s="177" t="n"/>
      <c r="Y362" s="177" t="n"/>
    </row>
    <row r="363">
      <c r="A363" s="177" t="n"/>
      <c r="B363" s="177" t="n"/>
      <c r="C363" s="177" t="n"/>
      <c r="D363" s="177" t="n"/>
      <c r="E363" s="177" t="n"/>
      <c r="F363" s="177" t="n"/>
      <c r="G363" s="177" t="n"/>
      <c r="H363" s="177" t="n"/>
      <c r="I363" s="177" t="n"/>
      <c r="J363" s="177" t="n"/>
      <c r="K363" s="177" t="n"/>
      <c r="L363" s="177" t="n"/>
      <c r="M363" s="177" t="n"/>
      <c r="N363" s="177" t="n"/>
      <c r="O363" s="177" t="n"/>
      <c r="P363" s="177" t="n"/>
      <c r="Q363" s="177" t="n"/>
      <c r="R363" s="177" t="n"/>
      <c r="S363" s="177" t="n"/>
      <c r="T363" s="177" t="n"/>
      <c r="U363" s="177" t="n"/>
      <c r="V363" s="177" t="n"/>
      <c r="W363" s="177" t="n"/>
      <c r="X363" s="177" t="n"/>
      <c r="Y363" s="177" t="n"/>
    </row>
    <row r="364">
      <c r="A364" s="177" t="n"/>
      <c r="B364" s="177" t="n"/>
      <c r="C364" s="177" t="n"/>
      <c r="D364" s="177" t="n"/>
      <c r="E364" s="177" t="n"/>
      <c r="F364" s="177" t="n"/>
      <c r="G364" s="177" t="n"/>
      <c r="H364" s="177" t="n"/>
      <c r="I364" s="177" t="n"/>
      <c r="J364" s="177" t="n"/>
      <c r="K364" s="177" t="n"/>
      <c r="L364" s="177" t="n"/>
      <c r="M364" s="177" t="n"/>
      <c r="N364" s="177" t="n"/>
      <c r="O364" s="177" t="n"/>
      <c r="P364" s="177" t="n"/>
      <c r="Q364" s="177" t="n"/>
      <c r="R364" s="177" t="n"/>
      <c r="S364" s="177" t="n"/>
      <c r="T364" s="177" t="n"/>
      <c r="U364" s="177" t="n"/>
      <c r="V364" s="177" t="n"/>
      <c r="W364" s="177" t="n"/>
      <c r="X364" s="177" t="n"/>
      <c r="Y364" s="177" t="n"/>
    </row>
    <row r="365">
      <c r="A365" s="177" t="n"/>
      <c r="B365" s="177" t="n"/>
      <c r="C365" s="177" t="n"/>
      <c r="D365" s="177" t="n"/>
      <c r="E365" s="177" t="n"/>
      <c r="F365" s="177" t="n"/>
      <c r="G365" s="177" t="n"/>
      <c r="H365" s="177" t="n"/>
      <c r="I365" s="177" t="n"/>
      <c r="J365" s="177" t="n"/>
      <c r="K365" s="177" t="n"/>
      <c r="L365" s="177" t="n"/>
      <c r="M365" s="177" t="n"/>
      <c r="N365" s="177" t="n"/>
      <c r="O365" s="177" t="n"/>
      <c r="P365" s="177" t="n"/>
      <c r="Q365" s="177" t="n"/>
      <c r="R365" s="177" t="n"/>
      <c r="S365" s="177" t="n"/>
      <c r="T365" s="177" t="n"/>
      <c r="U365" s="177" t="n"/>
      <c r="V365" s="177" t="n"/>
      <c r="W365" s="177" t="n"/>
      <c r="X365" s="177" t="n"/>
      <c r="Y365" s="177" t="n"/>
    </row>
    <row r="366">
      <c r="A366" s="177" t="n"/>
      <c r="B366" s="177" t="n"/>
      <c r="C366" s="177" t="n"/>
      <c r="D366" s="177" t="n"/>
      <c r="E366" s="177" t="n"/>
      <c r="F366" s="177" t="n"/>
      <c r="G366" s="177" t="n"/>
      <c r="H366" s="177" t="n"/>
      <c r="I366" s="177" t="n"/>
      <c r="J366" s="177" t="n"/>
      <c r="K366" s="177" t="n"/>
      <c r="L366" s="177" t="n"/>
      <c r="M366" s="177" t="n"/>
      <c r="N366" s="177" t="n"/>
      <c r="O366" s="177" t="n"/>
      <c r="P366" s="177" t="n"/>
      <c r="Q366" s="177" t="n"/>
      <c r="R366" s="177" t="n"/>
      <c r="S366" s="177" t="n"/>
      <c r="T366" s="177" t="n"/>
      <c r="U366" s="177" t="n"/>
      <c r="V366" s="177" t="n"/>
      <c r="W366" s="177" t="n"/>
      <c r="X366" s="177" t="n"/>
      <c r="Y366" s="177" t="n"/>
    </row>
    <row r="367">
      <c r="A367" s="177" t="n"/>
      <c r="B367" s="177" t="n"/>
      <c r="C367" s="177" t="n"/>
      <c r="D367" s="177" t="n"/>
      <c r="E367" s="177" t="n"/>
      <c r="F367" s="177" t="n"/>
      <c r="G367" s="177" t="n"/>
      <c r="H367" s="177" t="n"/>
      <c r="I367" s="177" t="n"/>
      <c r="J367" s="177" t="n"/>
      <c r="K367" s="177" t="n"/>
      <c r="L367" s="177" t="n"/>
      <c r="M367" s="177" t="n"/>
      <c r="N367" s="177" t="n"/>
      <c r="O367" s="177" t="n"/>
      <c r="P367" s="177" t="n"/>
      <c r="Q367" s="177" t="n"/>
      <c r="R367" s="177" t="n"/>
      <c r="S367" s="177" t="n"/>
      <c r="T367" s="177" t="n"/>
      <c r="U367" s="177" t="n"/>
      <c r="V367" s="177" t="n"/>
      <c r="W367" s="177" t="n"/>
      <c r="X367" s="177" t="n"/>
      <c r="Y367" s="177" t="n"/>
    </row>
    <row r="368">
      <c r="A368" s="177" t="n"/>
      <c r="B368" s="177" t="n"/>
      <c r="C368" s="177" t="n"/>
      <c r="D368" s="177" t="n"/>
      <c r="E368" s="177" t="n"/>
      <c r="F368" s="177" t="n"/>
      <c r="G368" s="177" t="n"/>
      <c r="H368" s="177" t="n"/>
      <c r="I368" s="177" t="n"/>
      <c r="J368" s="177" t="n"/>
      <c r="K368" s="177" t="n"/>
      <c r="L368" s="177" t="n"/>
      <c r="M368" s="177" t="n"/>
      <c r="N368" s="177" t="n"/>
      <c r="O368" s="177" t="n"/>
      <c r="P368" s="177" t="n"/>
      <c r="Q368" s="177" t="n"/>
      <c r="R368" s="177" t="n"/>
      <c r="S368" s="177" t="n"/>
      <c r="T368" s="177" t="n"/>
      <c r="U368" s="177" t="n"/>
      <c r="V368" s="177" t="n"/>
      <c r="W368" s="177" t="n"/>
      <c r="X368" s="177" t="n"/>
      <c r="Y368" s="177" t="n"/>
    </row>
    <row r="369">
      <c r="A369" s="177" t="n"/>
      <c r="B369" s="177" t="n"/>
      <c r="C369" s="177" t="n"/>
      <c r="D369" s="177" t="n"/>
      <c r="E369" s="177" t="n"/>
      <c r="F369" s="177" t="n"/>
      <c r="G369" s="177" t="n"/>
      <c r="H369" s="177" t="n"/>
      <c r="I369" s="177" t="n"/>
      <c r="J369" s="177" t="n"/>
      <c r="K369" s="177" t="n"/>
      <c r="L369" s="177" t="n"/>
      <c r="M369" s="177" t="n"/>
      <c r="N369" s="177" t="n"/>
      <c r="O369" s="177" t="n"/>
      <c r="P369" s="177" t="n"/>
      <c r="Q369" s="177" t="n"/>
      <c r="R369" s="177" t="n"/>
      <c r="S369" s="177" t="n"/>
      <c r="T369" s="177" t="n"/>
      <c r="U369" s="177" t="n"/>
      <c r="V369" s="177" t="n"/>
      <c r="W369" s="177" t="n"/>
      <c r="X369" s="177" t="n"/>
      <c r="Y369" s="177" t="n"/>
    </row>
    <row r="370">
      <c r="A370" s="177" t="n"/>
      <c r="B370" s="177" t="n"/>
      <c r="C370" s="177" t="n"/>
      <c r="D370" s="177" t="n"/>
      <c r="E370" s="177" t="n"/>
      <c r="F370" s="177" t="n"/>
      <c r="G370" s="177" t="n"/>
      <c r="H370" s="177" t="n"/>
      <c r="I370" s="177" t="n"/>
      <c r="J370" s="177" t="n"/>
      <c r="K370" s="177" t="n"/>
      <c r="L370" s="177" t="n"/>
      <c r="M370" s="177" t="n"/>
      <c r="N370" s="177" t="n"/>
      <c r="O370" s="177" t="n"/>
      <c r="P370" s="177" t="n"/>
      <c r="Q370" s="177" t="n"/>
      <c r="R370" s="177" t="n"/>
      <c r="S370" s="177" t="n"/>
      <c r="T370" s="177" t="n"/>
      <c r="U370" s="177" t="n"/>
      <c r="V370" s="177" t="n"/>
      <c r="W370" s="177" t="n"/>
      <c r="X370" s="177" t="n"/>
      <c r="Y370" s="177" t="n"/>
    </row>
    <row r="371">
      <c r="A371" s="177" t="n"/>
      <c r="B371" s="177" t="n"/>
      <c r="C371" s="177" t="n"/>
      <c r="D371" s="177" t="n"/>
      <c r="E371" s="177" t="n"/>
      <c r="F371" s="177" t="n"/>
      <c r="G371" s="177" t="n"/>
      <c r="H371" s="177" t="n"/>
      <c r="I371" s="177" t="n"/>
      <c r="J371" s="177" t="n"/>
      <c r="K371" s="177" t="n"/>
      <c r="L371" s="177" t="n"/>
      <c r="M371" s="177" t="n"/>
      <c r="N371" s="177" t="n"/>
      <c r="O371" s="177" t="n"/>
      <c r="P371" s="177" t="n"/>
      <c r="Q371" s="177" t="n"/>
      <c r="R371" s="177" t="n"/>
      <c r="S371" s="177" t="n"/>
      <c r="T371" s="177" t="n"/>
      <c r="U371" s="177" t="n"/>
      <c r="V371" s="177" t="n"/>
      <c r="W371" s="177" t="n"/>
      <c r="X371" s="177" t="n"/>
      <c r="Y371" s="177" t="n"/>
    </row>
    <row r="372">
      <c r="A372" s="177" t="n"/>
      <c r="B372" s="177" t="n"/>
      <c r="C372" s="177" t="n"/>
      <c r="D372" s="177" t="n"/>
      <c r="E372" s="177" t="n"/>
      <c r="F372" s="177" t="n"/>
      <c r="G372" s="177" t="n"/>
      <c r="H372" s="177" t="n"/>
      <c r="I372" s="177" t="n"/>
      <c r="J372" s="177" t="n"/>
      <c r="K372" s="177" t="n"/>
      <c r="L372" s="177" t="n"/>
      <c r="M372" s="177" t="n"/>
      <c r="N372" s="177" t="n"/>
      <c r="O372" s="177" t="n"/>
      <c r="P372" s="177" t="n"/>
      <c r="Q372" s="177" t="n"/>
      <c r="R372" s="177" t="n"/>
      <c r="S372" s="177" t="n"/>
      <c r="T372" s="177" t="n"/>
      <c r="U372" s="177" t="n"/>
      <c r="V372" s="177" t="n"/>
      <c r="W372" s="177" t="n"/>
      <c r="X372" s="177" t="n"/>
      <c r="Y372" s="177" t="n"/>
    </row>
    <row r="373">
      <c r="A373" s="177" t="n"/>
      <c r="B373" s="177" t="n"/>
      <c r="C373" s="177" t="n"/>
      <c r="D373" s="177" t="n"/>
      <c r="E373" s="177" t="n"/>
      <c r="F373" s="177" t="n"/>
      <c r="G373" s="177" t="n"/>
      <c r="H373" s="177" t="n"/>
      <c r="I373" s="177" t="n"/>
      <c r="J373" s="177" t="n"/>
      <c r="K373" s="177" t="n"/>
      <c r="L373" s="177" t="n"/>
      <c r="M373" s="177" t="n"/>
      <c r="N373" s="177" t="n"/>
      <c r="O373" s="177" t="n"/>
      <c r="P373" s="177" t="n"/>
      <c r="Q373" s="177" t="n"/>
      <c r="R373" s="177" t="n"/>
      <c r="S373" s="177" t="n"/>
      <c r="T373" s="177" t="n"/>
      <c r="U373" s="177" t="n"/>
      <c r="V373" s="177" t="n"/>
      <c r="W373" s="177" t="n"/>
      <c r="X373" s="177" t="n"/>
      <c r="Y373" s="177" t="n"/>
    </row>
    <row r="374">
      <c r="A374" s="177" t="n"/>
      <c r="B374" s="177" t="n"/>
      <c r="C374" s="177" t="n"/>
      <c r="D374" s="177" t="n"/>
      <c r="E374" s="177" t="n"/>
      <c r="F374" s="177" t="n"/>
      <c r="G374" s="177" t="n"/>
      <c r="H374" s="177" t="n"/>
      <c r="I374" s="177" t="n"/>
      <c r="J374" s="177" t="n"/>
      <c r="K374" s="177" t="n"/>
      <c r="L374" s="177" t="n"/>
      <c r="M374" s="177" t="n"/>
      <c r="N374" s="177" t="n"/>
      <c r="O374" s="177" t="n"/>
      <c r="P374" s="177" t="n"/>
      <c r="Q374" s="177" t="n"/>
      <c r="R374" s="177" t="n"/>
      <c r="S374" s="177" t="n"/>
      <c r="T374" s="177" t="n"/>
      <c r="U374" s="177" t="n"/>
      <c r="V374" s="177" t="n"/>
      <c r="W374" s="177" t="n"/>
      <c r="X374" s="177" t="n"/>
      <c r="Y374" s="177" t="n"/>
    </row>
    <row r="375">
      <c r="A375" s="177" t="n"/>
      <c r="B375" s="177" t="n"/>
      <c r="C375" s="177" t="n"/>
      <c r="D375" s="177" t="n"/>
      <c r="E375" s="177" t="n"/>
      <c r="F375" s="177" t="n"/>
      <c r="G375" s="177" t="n"/>
      <c r="H375" s="177" t="n"/>
      <c r="I375" s="177" t="n"/>
      <c r="J375" s="177" t="n"/>
      <c r="K375" s="177" t="n"/>
      <c r="L375" s="177" t="n"/>
      <c r="M375" s="177" t="n"/>
      <c r="N375" s="177" t="n"/>
      <c r="O375" s="177" t="n"/>
      <c r="P375" s="177" t="n"/>
      <c r="Q375" s="177" t="n"/>
      <c r="R375" s="177" t="n"/>
      <c r="S375" s="177" t="n"/>
      <c r="T375" s="177" t="n"/>
      <c r="U375" s="177" t="n"/>
      <c r="V375" s="177" t="n"/>
      <c r="W375" s="177" t="n"/>
      <c r="X375" s="177" t="n"/>
      <c r="Y375" s="177" t="n"/>
    </row>
    <row r="376">
      <c r="A376" s="177" t="n"/>
      <c r="B376" s="177" t="n"/>
      <c r="C376" s="177" t="n"/>
      <c r="D376" s="177" t="n"/>
      <c r="E376" s="177" t="n"/>
      <c r="F376" s="177" t="n"/>
      <c r="G376" s="177" t="n"/>
      <c r="H376" s="177" t="n"/>
      <c r="I376" s="177" t="n"/>
      <c r="J376" s="177" t="n"/>
      <c r="K376" s="177" t="n"/>
      <c r="L376" s="177" t="n"/>
      <c r="M376" s="177" t="n"/>
      <c r="N376" s="177" t="n"/>
      <c r="O376" s="177" t="n"/>
      <c r="P376" s="177" t="n"/>
      <c r="Q376" s="177" t="n"/>
      <c r="R376" s="177" t="n"/>
      <c r="S376" s="177" t="n"/>
      <c r="T376" s="177" t="n"/>
      <c r="U376" s="177" t="n"/>
      <c r="V376" s="177" t="n"/>
      <c r="W376" s="177" t="n"/>
      <c r="X376" s="177" t="n"/>
      <c r="Y376" s="177" t="n"/>
    </row>
    <row r="377">
      <c r="A377" s="177" t="n"/>
      <c r="B377" s="177" t="n"/>
      <c r="C377" s="177" t="n"/>
      <c r="D377" s="177" t="n"/>
      <c r="E377" s="177" t="n"/>
      <c r="F377" s="177" t="n"/>
      <c r="G377" s="177" t="n"/>
      <c r="H377" s="177" t="n"/>
      <c r="I377" s="177" t="n"/>
      <c r="J377" s="177" t="n"/>
      <c r="K377" s="177" t="n"/>
      <c r="L377" s="177" t="n"/>
      <c r="M377" s="177" t="n"/>
      <c r="N377" s="177" t="n"/>
      <c r="O377" s="177" t="n"/>
      <c r="P377" s="177" t="n"/>
      <c r="Q377" s="177" t="n"/>
      <c r="R377" s="177" t="n"/>
      <c r="S377" s="177" t="n"/>
      <c r="T377" s="177" t="n"/>
      <c r="U377" s="177" t="n"/>
      <c r="V377" s="177" t="n"/>
      <c r="W377" s="177" t="n"/>
      <c r="X377" s="177" t="n"/>
      <c r="Y377" s="177" t="n"/>
    </row>
    <row r="378">
      <c r="A378" s="177" t="n"/>
      <c r="B378" s="177" t="n"/>
      <c r="C378" s="177" t="n"/>
      <c r="D378" s="177" t="n"/>
      <c r="E378" s="177" t="n"/>
      <c r="F378" s="177" t="n"/>
      <c r="G378" s="177" t="n"/>
      <c r="H378" s="177" t="n"/>
      <c r="I378" s="177" t="n"/>
      <c r="J378" s="177" t="n"/>
      <c r="K378" s="177" t="n"/>
      <c r="L378" s="177" t="n"/>
      <c r="M378" s="177" t="n"/>
      <c r="N378" s="177" t="n"/>
      <c r="O378" s="177" t="n"/>
      <c r="P378" s="177" t="n"/>
      <c r="Q378" s="177" t="n"/>
      <c r="R378" s="177" t="n"/>
      <c r="S378" s="177" t="n"/>
      <c r="T378" s="177" t="n"/>
      <c r="U378" s="177" t="n"/>
      <c r="V378" s="177" t="n"/>
      <c r="W378" s="177" t="n"/>
      <c r="X378" s="177" t="n"/>
      <c r="Y378" s="177" t="n"/>
    </row>
    <row r="379">
      <c r="A379" s="177" t="n"/>
      <c r="B379" s="177" t="n"/>
      <c r="C379" s="177" t="n"/>
      <c r="D379" s="177" t="n"/>
      <c r="E379" s="177" t="n"/>
      <c r="F379" s="177" t="n"/>
      <c r="G379" s="177" t="n"/>
      <c r="H379" s="177" t="n"/>
      <c r="I379" s="177" t="n"/>
      <c r="J379" s="177" t="n"/>
      <c r="K379" s="177" t="n"/>
      <c r="L379" s="177" t="n"/>
      <c r="M379" s="177" t="n"/>
      <c r="N379" s="177" t="n"/>
      <c r="O379" s="177" t="n"/>
      <c r="P379" s="177" t="n"/>
      <c r="Q379" s="177" t="n"/>
      <c r="R379" s="177" t="n"/>
      <c r="S379" s="177" t="n"/>
      <c r="T379" s="177" t="n"/>
      <c r="U379" s="177" t="n"/>
      <c r="V379" s="177" t="n"/>
      <c r="W379" s="177" t="n"/>
      <c r="X379" s="177" t="n"/>
      <c r="Y379" s="177" t="n"/>
    </row>
    <row r="380">
      <c r="A380" s="177" t="n"/>
      <c r="B380" s="177" t="n"/>
      <c r="C380" s="177" t="n"/>
      <c r="D380" s="177" t="n"/>
      <c r="E380" s="177" t="n"/>
      <c r="F380" s="177" t="n"/>
      <c r="G380" s="177" t="n"/>
      <c r="H380" s="177" t="n"/>
      <c r="I380" s="177" t="n"/>
      <c r="J380" s="177" t="n"/>
      <c r="K380" s="177" t="n"/>
      <c r="L380" s="177" t="n"/>
      <c r="M380" s="177" t="n"/>
      <c r="N380" s="177" t="n"/>
      <c r="O380" s="177" t="n"/>
      <c r="P380" s="177" t="n"/>
      <c r="Q380" s="177" t="n"/>
      <c r="R380" s="177" t="n"/>
      <c r="S380" s="177" t="n"/>
      <c r="T380" s="177" t="n"/>
      <c r="U380" s="177" t="n"/>
      <c r="V380" s="177" t="n"/>
      <c r="W380" s="177" t="n"/>
      <c r="X380" s="177" t="n"/>
      <c r="Y380" s="177" t="n"/>
    </row>
    <row r="381">
      <c r="A381" s="177" t="n"/>
      <c r="B381" s="177" t="n"/>
      <c r="C381" s="177" t="n"/>
      <c r="D381" s="177" t="n"/>
      <c r="E381" s="177" t="n"/>
      <c r="F381" s="177" t="n"/>
      <c r="G381" s="177" t="n"/>
      <c r="H381" s="177" t="n"/>
      <c r="I381" s="177" t="n"/>
      <c r="J381" s="177" t="n"/>
      <c r="K381" s="177" t="n"/>
      <c r="L381" s="177" t="n"/>
      <c r="M381" s="177" t="n"/>
      <c r="N381" s="177" t="n"/>
      <c r="O381" s="177" t="n"/>
      <c r="P381" s="177" t="n"/>
      <c r="Q381" s="177" t="n"/>
      <c r="R381" s="177" t="n"/>
      <c r="S381" s="177" t="n"/>
      <c r="T381" s="177" t="n"/>
      <c r="U381" s="177" t="n"/>
      <c r="V381" s="177" t="n"/>
      <c r="W381" s="177" t="n"/>
      <c r="X381" s="177" t="n"/>
      <c r="Y381" s="177" t="n"/>
    </row>
    <row r="382">
      <c r="A382" s="177" t="n"/>
      <c r="B382" s="177" t="n"/>
      <c r="C382" s="177" t="n"/>
      <c r="D382" s="177" t="n"/>
      <c r="E382" s="177" t="n"/>
      <c r="F382" s="177" t="n"/>
      <c r="G382" s="177" t="n"/>
      <c r="H382" s="177" t="n"/>
      <c r="I382" s="177" t="n"/>
      <c r="J382" s="177" t="n"/>
      <c r="K382" s="177" t="n"/>
      <c r="L382" s="177" t="n"/>
      <c r="M382" s="177" t="n"/>
      <c r="N382" s="177" t="n"/>
      <c r="O382" s="177" t="n"/>
      <c r="P382" s="177" t="n"/>
      <c r="Q382" s="177" t="n"/>
      <c r="R382" s="177" t="n"/>
      <c r="S382" s="177" t="n"/>
      <c r="T382" s="177" t="n"/>
      <c r="U382" s="177" t="n"/>
      <c r="V382" s="177" t="n"/>
      <c r="W382" s="177" t="n"/>
      <c r="X382" s="177" t="n"/>
      <c r="Y382" s="177" t="n"/>
    </row>
    <row r="383">
      <c r="A383" s="177" t="n"/>
      <c r="B383" s="177" t="n"/>
      <c r="C383" s="177" t="n"/>
      <c r="D383" s="177" t="n"/>
      <c r="E383" s="177" t="n"/>
      <c r="F383" s="177" t="n"/>
      <c r="G383" s="177" t="n"/>
      <c r="H383" s="177" t="n"/>
      <c r="I383" s="177" t="n"/>
      <c r="J383" s="177" t="n"/>
      <c r="K383" s="177" t="n"/>
      <c r="L383" s="177" t="n"/>
      <c r="M383" s="177" t="n"/>
      <c r="N383" s="177" t="n"/>
      <c r="O383" s="177" t="n"/>
      <c r="P383" s="177" t="n"/>
      <c r="Q383" s="177" t="n"/>
      <c r="R383" s="177" t="n"/>
      <c r="S383" s="177" t="n"/>
      <c r="T383" s="177" t="n"/>
      <c r="U383" s="177" t="n"/>
      <c r="V383" s="177" t="n"/>
      <c r="W383" s="177" t="n"/>
      <c r="X383" s="177" t="n"/>
      <c r="Y383" s="177" t="n"/>
    </row>
    <row r="384">
      <c r="A384" s="177" t="n"/>
      <c r="B384" s="177" t="n"/>
      <c r="C384" s="177" t="n"/>
      <c r="D384" s="177" t="n"/>
      <c r="E384" s="177" t="n"/>
      <c r="F384" s="177" t="n"/>
      <c r="G384" s="177" t="n"/>
      <c r="H384" s="177" t="n"/>
      <c r="I384" s="177" t="n"/>
      <c r="J384" s="177" t="n"/>
      <c r="K384" s="177" t="n"/>
      <c r="L384" s="177" t="n"/>
      <c r="M384" s="177" t="n"/>
      <c r="N384" s="177" t="n"/>
      <c r="O384" s="177" t="n"/>
      <c r="P384" s="177" t="n"/>
      <c r="Q384" s="177" t="n"/>
      <c r="R384" s="177" t="n"/>
      <c r="S384" s="177" t="n"/>
      <c r="T384" s="177" t="n"/>
      <c r="U384" s="177" t="n"/>
      <c r="V384" s="177" t="n"/>
      <c r="W384" s="177" t="n"/>
      <c r="X384" s="177" t="n"/>
      <c r="Y384" s="177" t="n"/>
    </row>
    <row r="385">
      <c r="A385" s="177" t="n"/>
      <c r="B385" s="177" t="n"/>
      <c r="C385" s="177" t="n"/>
      <c r="D385" s="177" t="n"/>
      <c r="E385" s="177" t="n"/>
      <c r="F385" s="177" t="n"/>
      <c r="G385" s="177" t="n"/>
      <c r="H385" s="177" t="n"/>
      <c r="I385" s="177" t="n"/>
      <c r="J385" s="177" t="n"/>
      <c r="K385" s="177" t="n"/>
      <c r="L385" s="177" t="n"/>
      <c r="M385" s="177" t="n"/>
      <c r="N385" s="177" t="n"/>
      <c r="O385" s="177" t="n"/>
      <c r="P385" s="177" t="n"/>
      <c r="Q385" s="177" t="n"/>
      <c r="R385" s="177" t="n"/>
      <c r="S385" s="177" t="n"/>
      <c r="T385" s="177" t="n"/>
      <c r="U385" s="177" t="n"/>
      <c r="V385" s="177" t="n"/>
      <c r="W385" s="177" t="n"/>
      <c r="X385" s="177" t="n"/>
      <c r="Y385" s="177" t="n"/>
    </row>
    <row r="386">
      <c r="A386" s="177" t="n"/>
      <c r="B386" s="177" t="n"/>
      <c r="C386" s="177" t="n"/>
      <c r="D386" s="177" t="n"/>
      <c r="E386" s="177" t="n"/>
      <c r="F386" s="177" t="n"/>
      <c r="G386" s="177" t="n"/>
      <c r="H386" s="177" t="n"/>
      <c r="I386" s="177" t="n"/>
      <c r="J386" s="177" t="n"/>
      <c r="K386" s="177" t="n"/>
      <c r="L386" s="177" t="n"/>
      <c r="M386" s="177" t="n"/>
      <c r="N386" s="177" t="n"/>
      <c r="O386" s="177" t="n"/>
      <c r="P386" s="177" t="n"/>
      <c r="Q386" s="177" t="n"/>
      <c r="R386" s="177" t="n"/>
      <c r="S386" s="177" t="n"/>
      <c r="T386" s="177" t="n"/>
      <c r="U386" s="177" t="n"/>
      <c r="V386" s="177" t="n"/>
      <c r="W386" s="177" t="n"/>
      <c r="X386" s="177" t="n"/>
      <c r="Y386" s="177" t="n"/>
    </row>
    <row r="387">
      <c r="A387" s="177" t="n"/>
      <c r="B387" s="177" t="n"/>
      <c r="C387" s="177" t="n"/>
      <c r="D387" s="177" t="n"/>
      <c r="E387" s="177" t="n"/>
      <c r="F387" s="177" t="n"/>
      <c r="G387" s="177" t="n"/>
      <c r="H387" s="177" t="n"/>
      <c r="I387" s="177" t="n"/>
      <c r="J387" s="177" t="n"/>
      <c r="K387" s="177" t="n"/>
      <c r="L387" s="177" t="n"/>
      <c r="M387" s="177" t="n"/>
      <c r="N387" s="177" t="n"/>
      <c r="O387" s="177" t="n"/>
      <c r="P387" s="177" t="n"/>
      <c r="Q387" s="177" t="n"/>
      <c r="R387" s="177" t="n"/>
      <c r="S387" s="177" t="n"/>
      <c r="T387" s="177" t="n"/>
      <c r="U387" s="177" t="n"/>
      <c r="V387" s="177" t="n"/>
      <c r="W387" s="177" t="n"/>
      <c r="X387" s="177" t="n"/>
      <c r="Y387" s="177" t="n"/>
    </row>
    <row r="388">
      <c r="A388" s="177" t="n"/>
      <c r="B388" s="177" t="n"/>
      <c r="C388" s="177" t="n"/>
      <c r="D388" s="177" t="n"/>
      <c r="E388" s="177" t="n"/>
      <c r="F388" s="177" t="n"/>
      <c r="G388" s="177" t="n"/>
      <c r="H388" s="177" t="n"/>
      <c r="I388" s="177" t="n"/>
      <c r="J388" s="177" t="n"/>
      <c r="K388" s="177" t="n"/>
      <c r="L388" s="177" t="n"/>
      <c r="M388" s="177" t="n"/>
      <c r="N388" s="177" t="n"/>
      <c r="O388" s="177" t="n"/>
      <c r="P388" s="177" t="n"/>
      <c r="Q388" s="177" t="n"/>
      <c r="R388" s="177" t="n"/>
      <c r="S388" s="177" t="n"/>
      <c r="T388" s="177" t="n"/>
      <c r="U388" s="177" t="n"/>
      <c r="V388" s="177" t="n"/>
      <c r="W388" s="177" t="n"/>
      <c r="X388" s="177" t="n"/>
      <c r="Y388" s="177" t="n"/>
    </row>
    <row r="389">
      <c r="A389" s="177" t="n"/>
      <c r="B389" s="177" t="n"/>
      <c r="C389" s="177" t="n"/>
      <c r="D389" s="177" t="n"/>
      <c r="E389" s="177" t="n"/>
      <c r="F389" s="177" t="n"/>
      <c r="G389" s="177" t="n"/>
      <c r="H389" s="177" t="n"/>
      <c r="I389" s="177" t="n"/>
      <c r="J389" s="177" t="n"/>
      <c r="K389" s="177" t="n"/>
      <c r="L389" s="177" t="n"/>
      <c r="M389" s="177" t="n"/>
      <c r="N389" s="177" t="n"/>
      <c r="O389" s="177" t="n"/>
      <c r="P389" s="177" t="n"/>
      <c r="Q389" s="177" t="n"/>
      <c r="R389" s="177" t="n"/>
      <c r="S389" s="177" t="n"/>
      <c r="T389" s="177" t="n"/>
      <c r="U389" s="177" t="n"/>
      <c r="V389" s="177" t="n"/>
      <c r="W389" s="177" t="n"/>
      <c r="X389" s="177" t="n"/>
      <c r="Y389" s="177" t="n"/>
    </row>
    <row r="390">
      <c r="A390" s="177" t="n"/>
      <c r="B390" s="177" t="n"/>
      <c r="C390" s="177" t="n"/>
      <c r="D390" s="177" t="n"/>
      <c r="E390" s="177" t="n"/>
      <c r="F390" s="177" t="n"/>
      <c r="G390" s="177" t="n"/>
      <c r="H390" s="177" t="n"/>
      <c r="I390" s="177" t="n"/>
      <c r="J390" s="177" t="n"/>
      <c r="K390" s="177" t="n"/>
      <c r="L390" s="177" t="n"/>
      <c r="M390" s="177" t="n"/>
      <c r="N390" s="177" t="n"/>
      <c r="O390" s="177" t="n"/>
      <c r="P390" s="177" t="n"/>
      <c r="Q390" s="177" t="n"/>
      <c r="R390" s="177" t="n"/>
      <c r="S390" s="177" t="n"/>
      <c r="T390" s="177" t="n"/>
      <c r="U390" s="177" t="n"/>
      <c r="V390" s="177" t="n"/>
      <c r="W390" s="177" t="n"/>
      <c r="X390" s="177" t="n"/>
      <c r="Y390" s="177" t="n"/>
    </row>
    <row r="391">
      <c r="A391" s="177" t="n"/>
      <c r="B391" s="177" t="n"/>
      <c r="C391" s="177" t="n"/>
      <c r="D391" s="177" t="n"/>
      <c r="E391" s="177" t="n"/>
      <c r="F391" s="177" t="n"/>
      <c r="G391" s="177" t="n"/>
      <c r="H391" s="177" t="n"/>
      <c r="I391" s="177" t="n"/>
      <c r="J391" s="177" t="n"/>
      <c r="K391" s="177" t="n"/>
      <c r="L391" s="177" t="n"/>
      <c r="M391" s="177" t="n"/>
      <c r="N391" s="177" t="n"/>
      <c r="O391" s="177" t="n"/>
      <c r="P391" s="177" t="n"/>
      <c r="Q391" s="177" t="n"/>
      <c r="R391" s="177" t="n"/>
      <c r="S391" s="177" t="n"/>
      <c r="T391" s="177" t="n"/>
      <c r="U391" s="177" t="n"/>
      <c r="V391" s="177" t="n"/>
      <c r="W391" s="177" t="n"/>
      <c r="X391" s="177" t="n"/>
      <c r="Y391" s="177" t="n"/>
    </row>
    <row r="392">
      <c r="A392" s="177" t="n"/>
      <c r="B392" s="177" t="n"/>
      <c r="C392" s="177" t="n"/>
      <c r="D392" s="177" t="n"/>
      <c r="E392" s="177" t="n"/>
      <c r="F392" s="177" t="n"/>
      <c r="G392" s="177" t="n"/>
      <c r="H392" s="177" t="n"/>
      <c r="I392" s="177" t="n"/>
      <c r="J392" s="177" t="n"/>
      <c r="K392" s="177" t="n"/>
      <c r="L392" s="177" t="n"/>
      <c r="M392" s="177" t="n"/>
      <c r="N392" s="177" t="n"/>
      <c r="O392" s="177" t="n"/>
      <c r="P392" s="177" t="n"/>
      <c r="Q392" s="177" t="n"/>
      <c r="R392" s="177" t="n"/>
      <c r="S392" s="177" t="n"/>
      <c r="T392" s="177" t="n"/>
      <c r="U392" s="177" t="n"/>
      <c r="V392" s="177" t="n"/>
      <c r="W392" s="177" t="n"/>
      <c r="X392" s="177" t="n"/>
      <c r="Y392" s="177" t="n"/>
    </row>
    <row r="393">
      <c r="A393" s="177" t="n"/>
      <c r="B393" s="177" t="n"/>
      <c r="C393" s="177" t="n"/>
      <c r="D393" s="177" t="n"/>
      <c r="E393" s="177" t="n"/>
      <c r="F393" s="177" t="n"/>
      <c r="G393" s="177" t="n"/>
      <c r="H393" s="177" t="n"/>
      <c r="I393" s="177" t="n"/>
      <c r="J393" s="177" t="n"/>
      <c r="K393" s="177" t="n"/>
      <c r="L393" s="177" t="n"/>
      <c r="M393" s="177" t="n"/>
      <c r="N393" s="177" t="n"/>
      <c r="O393" s="177" t="n"/>
      <c r="P393" s="177" t="n"/>
      <c r="Q393" s="177" t="n"/>
      <c r="R393" s="177" t="n"/>
      <c r="S393" s="177" t="n"/>
      <c r="T393" s="177" t="n"/>
      <c r="U393" s="177" t="n"/>
      <c r="V393" s="177" t="n"/>
      <c r="W393" s="177" t="n"/>
      <c r="X393" s="177" t="n"/>
      <c r="Y393" s="177" t="n"/>
    </row>
    <row r="394">
      <c r="A394" s="177" t="n"/>
      <c r="B394" s="177" t="n"/>
      <c r="C394" s="177" t="n"/>
      <c r="D394" s="177" t="n"/>
      <c r="E394" s="177" t="n"/>
      <c r="F394" s="177" t="n"/>
      <c r="G394" s="177" t="n"/>
      <c r="H394" s="177" t="n"/>
      <c r="I394" s="177" t="n"/>
      <c r="J394" s="177" t="n"/>
      <c r="K394" s="177" t="n"/>
      <c r="L394" s="177" t="n"/>
      <c r="M394" s="177" t="n"/>
      <c r="N394" s="177" t="n"/>
      <c r="O394" s="177" t="n"/>
      <c r="P394" s="177" t="n"/>
      <c r="Q394" s="177" t="n"/>
      <c r="R394" s="177" t="n"/>
      <c r="S394" s="177" t="n"/>
      <c r="T394" s="177" t="n"/>
      <c r="U394" s="177" t="n"/>
      <c r="V394" s="177" t="n"/>
      <c r="W394" s="177" t="n"/>
      <c r="X394" s="177" t="n"/>
      <c r="Y394" s="177" t="n"/>
    </row>
    <row r="395">
      <c r="A395" s="177" t="n"/>
      <c r="B395" s="177" t="n"/>
      <c r="C395" s="177" t="n"/>
      <c r="D395" s="177" t="n"/>
      <c r="E395" s="177" t="n"/>
      <c r="F395" s="177" t="n"/>
      <c r="G395" s="177" t="n"/>
      <c r="H395" s="177" t="n"/>
      <c r="I395" s="177" t="n"/>
      <c r="J395" s="177" t="n"/>
      <c r="K395" s="177" t="n"/>
      <c r="L395" s="177" t="n"/>
      <c r="M395" s="177" t="n"/>
      <c r="N395" s="177" t="n"/>
      <c r="O395" s="177" t="n"/>
      <c r="P395" s="177" t="n"/>
      <c r="Q395" s="177" t="n"/>
      <c r="R395" s="177" t="n"/>
      <c r="S395" s="177" t="n"/>
      <c r="T395" s="177" t="n"/>
      <c r="U395" s="177" t="n"/>
      <c r="V395" s="177" t="n"/>
      <c r="W395" s="177" t="n"/>
      <c r="X395" s="177" t="n"/>
      <c r="Y395" s="177" t="n"/>
    </row>
    <row r="396">
      <c r="A396" s="177" t="n"/>
      <c r="B396" s="177" t="n"/>
      <c r="C396" s="177" t="n"/>
      <c r="D396" s="177" t="n"/>
      <c r="E396" s="177" t="n"/>
      <c r="F396" s="177" t="n"/>
      <c r="G396" s="177" t="n"/>
      <c r="H396" s="177" t="n"/>
      <c r="I396" s="177" t="n"/>
      <c r="J396" s="177" t="n"/>
      <c r="K396" s="177" t="n"/>
      <c r="L396" s="177" t="n"/>
      <c r="M396" s="177" t="n"/>
      <c r="N396" s="177" t="n"/>
      <c r="O396" s="177" t="n"/>
      <c r="P396" s="177" t="n"/>
      <c r="Q396" s="177" t="n"/>
      <c r="R396" s="177" t="n"/>
      <c r="S396" s="177" t="n"/>
      <c r="T396" s="177" t="n"/>
      <c r="U396" s="177" t="n"/>
      <c r="V396" s="177" t="n"/>
      <c r="W396" s="177" t="n"/>
      <c r="X396" s="177" t="n"/>
      <c r="Y396" s="177" t="n"/>
    </row>
    <row r="397">
      <c r="A397" s="177" t="n"/>
      <c r="B397" s="177" t="n"/>
      <c r="C397" s="177" t="n"/>
      <c r="D397" s="177" t="n"/>
      <c r="E397" s="177" t="n"/>
      <c r="F397" s="177" t="n"/>
      <c r="G397" s="177" t="n"/>
      <c r="H397" s="177" t="n"/>
      <c r="I397" s="177" t="n"/>
      <c r="J397" s="177" t="n"/>
      <c r="K397" s="177" t="n"/>
      <c r="L397" s="177" t="n"/>
      <c r="M397" s="177" t="n"/>
      <c r="N397" s="177" t="n"/>
      <c r="O397" s="177" t="n"/>
      <c r="P397" s="177" t="n"/>
      <c r="Q397" s="177" t="n"/>
      <c r="R397" s="177" t="n"/>
      <c r="S397" s="177" t="n"/>
      <c r="T397" s="177" t="n"/>
      <c r="U397" s="177" t="n"/>
      <c r="V397" s="177" t="n"/>
      <c r="W397" s="177" t="n"/>
      <c r="X397" s="177" t="n"/>
      <c r="Y397" s="177" t="n"/>
    </row>
    <row r="398">
      <c r="A398" s="177" t="n"/>
      <c r="B398" s="177" t="n"/>
      <c r="C398" s="177" t="n"/>
      <c r="D398" s="177" t="n"/>
      <c r="E398" s="177" t="n"/>
      <c r="F398" s="177" t="n"/>
      <c r="G398" s="177" t="n"/>
      <c r="H398" s="177" t="n"/>
      <c r="I398" s="177" t="n"/>
      <c r="J398" s="177" t="n"/>
      <c r="K398" s="177" t="n"/>
      <c r="L398" s="177" t="n"/>
      <c r="M398" s="177" t="n"/>
      <c r="N398" s="177" t="n"/>
      <c r="O398" s="177" t="n"/>
      <c r="P398" s="177" t="n"/>
      <c r="Q398" s="177" t="n"/>
      <c r="R398" s="177" t="n"/>
      <c r="S398" s="177" t="n"/>
      <c r="T398" s="177" t="n"/>
      <c r="U398" s="177" t="n"/>
      <c r="V398" s="177" t="n"/>
      <c r="W398" s="177" t="n"/>
      <c r="X398" s="177" t="n"/>
      <c r="Y398" s="177" t="n"/>
    </row>
    <row r="399">
      <c r="A399" s="177" t="n"/>
      <c r="B399" s="177" t="n"/>
      <c r="C399" s="177" t="n"/>
      <c r="D399" s="177" t="n"/>
      <c r="E399" s="177" t="n"/>
      <c r="F399" s="177" t="n"/>
      <c r="G399" s="177" t="n"/>
      <c r="H399" s="177" t="n"/>
      <c r="I399" s="177" t="n"/>
      <c r="J399" s="177" t="n"/>
      <c r="K399" s="177" t="n"/>
      <c r="L399" s="177" t="n"/>
      <c r="M399" s="177" t="n"/>
      <c r="N399" s="177" t="n"/>
      <c r="O399" s="177" t="n"/>
      <c r="P399" s="177" t="n"/>
      <c r="Q399" s="177" t="n"/>
      <c r="R399" s="177" t="n"/>
      <c r="S399" s="177" t="n"/>
      <c r="T399" s="177" t="n"/>
      <c r="U399" s="177" t="n"/>
      <c r="V399" s="177" t="n"/>
      <c r="W399" s="177" t="n"/>
      <c r="X399" s="177" t="n"/>
      <c r="Y399" s="177" t="n"/>
    </row>
    <row r="400">
      <c r="A400" s="177" t="n"/>
      <c r="B400" s="177" t="n"/>
      <c r="C400" s="177" t="n"/>
      <c r="D400" s="177" t="n"/>
      <c r="E400" s="177" t="n"/>
      <c r="F400" s="177" t="n"/>
      <c r="G400" s="177" t="n"/>
      <c r="H400" s="177" t="n"/>
      <c r="I400" s="177" t="n"/>
      <c r="J400" s="177" t="n"/>
      <c r="K400" s="177" t="n"/>
      <c r="L400" s="177" t="n"/>
      <c r="M400" s="177" t="n"/>
      <c r="N400" s="177" t="n"/>
      <c r="O400" s="177" t="n"/>
      <c r="P400" s="177" t="n"/>
      <c r="Q400" s="177" t="n"/>
      <c r="R400" s="177" t="n"/>
      <c r="S400" s="177" t="n"/>
      <c r="T400" s="177" t="n"/>
      <c r="U400" s="177" t="n"/>
      <c r="V400" s="177" t="n"/>
      <c r="W400" s="177" t="n"/>
      <c r="X400" s="177" t="n"/>
      <c r="Y400" s="177" t="n"/>
    </row>
    <row r="401">
      <c r="A401" s="177" t="n"/>
      <c r="B401" s="177" t="n"/>
      <c r="C401" s="177" t="n"/>
      <c r="D401" s="177" t="n"/>
      <c r="E401" s="177" t="n"/>
      <c r="F401" s="177" t="n"/>
      <c r="G401" s="177" t="n"/>
      <c r="H401" s="177" t="n"/>
      <c r="I401" s="177" t="n"/>
      <c r="J401" s="177" t="n"/>
      <c r="K401" s="177" t="n"/>
      <c r="L401" s="177" t="n"/>
      <c r="M401" s="177" t="n"/>
      <c r="N401" s="177" t="n"/>
      <c r="O401" s="177" t="n"/>
      <c r="P401" s="177" t="n"/>
      <c r="Q401" s="177" t="n"/>
      <c r="R401" s="177" t="n"/>
      <c r="S401" s="177" t="n"/>
      <c r="T401" s="177" t="n"/>
      <c r="U401" s="177" t="n"/>
      <c r="V401" s="177" t="n"/>
      <c r="W401" s="177" t="n"/>
      <c r="X401" s="177" t="n"/>
      <c r="Y401" s="177" t="n"/>
    </row>
    <row r="402">
      <c r="A402" s="177" t="n"/>
      <c r="B402" s="177" t="n"/>
      <c r="C402" s="177" t="n"/>
      <c r="D402" s="177" t="n"/>
      <c r="E402" s="177" t="n"/>
      <c r="F402" s="177" t="n"/>
      <c r="G402" s="177" t="n"/>
      <c r="H402" s="177" t="n"/>
      <c r="I402" s="177" t="n"/>
      <c r="J402" s="177" t="n"/>
      <c r="K402" s="177" t="n"/>
      <c r="L402" s="177" t="n"/>
      <c r="M402" s="177" t="n"/>
      <c r="N402" s="177" t="n"/>
      <c r="O402" s="177" t="n"/>
      <c r="P402" s="177" t="n"/>
      <c r="Q402" s="177" t="n"/>
      <c r="R402" s="177" t="n"/>
      <c r="S402" s="177" t="n"/>
      <c r="T402" s="177" t="n"/>
      <c r="U402" s="177" t="n"/>
      <c r="V402" s="177" t="n"/>
      <c r="W402" s="177" t="n"/>
      <c r="X402" s="177" t="n"/>
      <c r="Y402" s="177" t="n"/>
    </row>
    <row r="403">
      <c r="A403" s="177" t="n"/>
      <c r="B403" s="177" t="n"/>
      <c r="C403" s="177" t="n"/>
      <c r="D403" s="177" t="n"/>
      <c r="E403" s="177" t="n"/>
      <c r="F403" s="177" t="n"/>
      <c r="G403" s="177" t="n"/>
      <c r="H403" s="177" t="n"/>
      <c r="I403" s="177" t="n"/>
      <c r="J403" s="177" t="n"/>
      <c r="K403" s="177" t="n"/>
      <c r="L403" s="177" t="n"/>
      <c r="M403" s="177" t="n"/>
      <c r="N403" s="177" t="n"/>
      <c r="O403" s="177" t="n"/>
      <c r="P403" s="177" t="n"/>
      <c r="Q403" s="177" t="n"/>
      <c r="R403" s="177" t="n"/>
      <c r="S403" s="177" t="n"/>
      <c r="T403" s="177" t="n"/>
      <c r="U403" s="177" t="n"/>
      <c r="V403" s="177" t="n"/>
      <c r="W403" s="177" t="n"/>
      <c r="X403" s="177" t="n"/>
      <c r="Y403" s="177" t="n"/>
    </row>
    <row r="404">
      <c r="A404" s="177" t="n"/>
      <c r="B404" s="177" t="n"/>
      <c r="C404" s="177" t="n"/>
      <c r="D404" s="177" t="n"/>
      <c r="E404" s="177" t="n"/>
      <c r="F404" s="177" t="n"/>
      <c r="G404" s="177" t="n"/>
      <c r="H404" s="177" t="n"/>
      <c r="I404" s="177" t="n"/>
      <c r="J404" s="177" t="n"/>
      <c r="K404" s="177" t="n"/>
      <c r="L404" s="177" t="n"/>
      <c r="M404" s="177" t="n"/>
      <c r="N404" s="177" t="n"/>
      <c r="O404" s="177" t="n"/>
      <c r="P404" s="177" t="n"/>
      <c r="Q404" s="177" t="n"/>
      <c r="R404" s="177" t="n"/>
      <c r="S404" s="177" t="n"/>
      <c r="T404" s="177" t="n"/>
      <c r="U404" s="177" t="n"/>
      <c r="V404" s="177" t="n"/>
      <c r="W404" s="177" t="n"/>
      <c r="X404" s="177" t="n"/>
      <c r="Y404" s="177" t="n"/>
    </row>
    <row r="405">
      <c r="A405" s="177" t="n"/>
      <c r="B405" s="177" t="n"/>
      <c r="C405" s="177" t="n"/>
      <c r="D405" s="177" t="n"/>
      <c r="E405" s="177" t="n"/>
      <c r="F405" s="177" t="n"/>
      <c r="G405" s="177" t="n"/>
      <c r="H405" s="177" t="n"/>
      <c r="I405" s="177" t="n"/>
      <c r="J405" s="177" t="n"/>
      <c r="K405" s="177" t="n"/>
      <c r="L405" s="177" t="n"/>
      <c r="M405" s="177" t="n"/>
      <c r="N405" s="177" t="n"/>
      <c r="O405" s="177" t="n"/>
      <c r="P405" s="177" t="n"/>
      <c r="Q405" s="177" t="n"/>
      <c r="R405" s="177" t="n"/>
      <c r="S405" s="177" t="n"/>
      <c r="T405" s="177" t="n"/>
      <c r="U405" s="177" t="n"/>
      <c r="V405" s="177" t="n"/>
      <c r="W405" s="177" t="n"/>
      <c r="X405" s="177" t="n"/>
      <c r="Y405" s="177" t="n"/>
    </row>
    <row r="406">
      <c r="A406" s="177" t="n"/>
      <c r="B406" s="177" t="n"/>
      <c r="C406" s="177" t="n"/>
      <c r="D406" s="177" t="n"/>
      <c r="E406" s="177" t="n"/>
      <c r="F406" s="177" t="n"/>
      <c r="G406" s="177" t="n"/>
      <c r="H406" s="177" t="n"/>
      <c r="I406" s="177" t="n"/>
      <c r="J406" s="177" t="n"/>
      <c r="K406" s="177" t="n"/>
      <c r="L406" s="177" t="n"/>
      <c r="M406" s="177" t="n"/>
      <c r="N406" s="177" t="n"/>
      <c r="O406" s="177" t="n"/>
      <c r="P406" s="177" t="n"/>
      <c r="Q406" s="177" t="n"/>
      <c r="R406" s="177" t="n"/>
      <c r="S406" s="177" t="n"/>
      <c r="T406" s="177" t="n"/>
      <c r="U406" s="177" t="n"/>
      <c r="V406" s="177" t="n"/>
      <c r="W406" s="177" t="n"/>
      <c r="X406" s="177" t="n"/>
      <c r="Y406" s="177" t="n"/>
    </row>
    <row r="407">
      <c r="A407" s="177" t="n"/>
      <c r="B407" s="177" t="n"/>
      <c r="C407" s="177" t="n"/>
      <c r="D407" s="177" t="n"/>
      <c r="E407" s="177" t="n"/>
      <c r="F407" s="177" t="n"/>
      <c r="G407" s="177" t="n"/>
      <c r="H407" s="177" t="n"/>
      <c r="I407" s="177" t="n"/>
      <c r="J407" s="177" t="n"/>
      <c r="K407" s="177" t="n"/>
      <c r="L407" s="177" t="n"/>
      <c r="M407" s="177" t="n"/>
      <c r="N407" s="177" t="n"/>
      <c r="O407" s="177" t="n"/>
      <c r="P407" s="177" t="n"/>
      <c r="Q407" s="177" t="n"/>
      <c r="R407" s="177" t="n"/>
      <c r="S407" s="177" t="n"/>
      <c r="T407" s="177" t="n"/>
      <c r="U407" s="177" t="n"/>
      <c r="V407" s="177" t="n"/>
      <c r="W407" s="177" t="n"/>
      <c r="X407" s="177" t="n"/>
      <c r="Y407" s="177" t="n"/>
    </row>
    <row r="408">
      <c r="A408" s="177" t="n"/>
      <c r="B408" s="177" t="n"/>
      <c r="C408" s="177" t="n"/>
      <c r="D408" s="177" t="n"/>
      <c r="E408" s="177" t="n"/>
      <c r="F408" s="177" t="n"/>
      <c r="G408" s="177" t="n"/>
      <c r="H408" s="177" t="n"/>
      <c r="I408" s="177" t="n"/>
      <c r="J408" s="177" t="n"/>
      <c r="K408" s="177" t="n"/>
      <c r="L408" s="177" t="n"/>
      <c r="M408" s="177" t="n"/>
      <c r="N408" s="177" t="n"/>
      <c r="O408" s="177" t="n"/>
      <c r="P408" s="177" t="n"/>
      <c r="Q408" s="177" t="n"/>
      <c r="R408" s="177" t="n"/>
      <c r="S408" s="177" t="n"/>
      <c r="T408" s="177" t="n"/>
      <c r="U408" s="177" t="n"/>
      <c r="V408" s="177" t="n"/>
      <c r="W408" s="177" t="n"/>
      <c r="X408" s="177" t="n"/>
      <c r="Y408" s="177" t="n"/>
    </row>
    <row r="409">
      <c r="A409" s="177" t="n"/>
      <c r="B409" s="177" t="n"/>
      <c r="C409" s="177" t="n"/>
      <c r="D409" s="177" t="n"/>
      <c r="E409" s="177" t="n"/>
      <c r="F409" s="177" t="n"/>
      <c r="G409" s="177" t="n"/>
      <c r="H409" s="177" t="n"/>
      <c r="I409" s="177" t="n"/>
      <c r="J409" s="177" t="n"/>
      <c r="K409" s="177" t="n"/>
      <c r="L409" s="177" t="n"/>
      <c r="M409" s="177" t="n"/>
      <c r="N409" s="177" t="n"/>
      <c r="O409" s="177" t="n"/>
      <c r="P409" s="177" t="n"/>
      <c r="Q409" s="177" t="n"/>
      <c r="R409" s="177" t="n"/>
      <c r="S409" s="177" t="n"/>
      <c r="T409" s="177" t="n"/>
      <c r="U409" s="177" t="n"/>
      <c r="V409" s="177" t="n"/>
      <c r="W409" s="177" t="n"/>
      <c r="X409" s="177" t="n"/>
      <c r="Y409" s="177" t="n"/>
    </row>
    <row r="410">
      <c r="A410" s="177" t="n"/>
      <c r="B410" s="177" t="n"/>
      <c r="C410" s="177" t="n"/>
      <c r="D410" s="177" t="n"/>
      <c r="E410" s="177" t="n"/>
      <c r="F410" s="177" t="n"/>
      <c r="G410" s="177" t="n"/>
      <c r="H410" s="177" t="n"/>
      <c r="I410" s="177" t="n"/>
      <c r="J410" s="177" t="n"/>
      <c r="K410" s="177" t="n"/>
      <c r="L410" s="177" t="n"/>
      <c r="M410" s="177" t="n"/>
      <c r="N410" s="177" t="n"/>
      <c r="O410" s="177" t="n"/>
      <c r="P410" s="177" t="n"/>
      <c r="Q410" s="177" t="n"/>
      <c r="R410" s="177" t="n"/>
      <c r="S410" s="177" t="n"/>
      <c r="T410" s="177" t="n"/>
      <c r="U410" s="177" t="n"/>
      <c r="V410" s="177" t="n"/>
      <c r="W410" s="177" t="n"/>
      <c r="X410" s="177" t="n"/>
      <c r="Y410" s="177" t="n"/>
    </row>
    <row r="411">
      <c r="A411" s="177" t="n"/>
      <c r="B411" s="177" t="n"/>
      <c r="C411" s="177" t="n"/>
      <c r="D411" s="177" t="n"/>
      <c r="E411" s="177" t="n"/>
      <c r="F411" s="177" t="n"/>
      <c r="G411" s="177" t="n"/>
      <c r="H411" s="177" t="n"/>
      <c r="I411" s="177" t="n"/>
      <c r="J411" s="177" t="n"/>
      <c r="K411" s="177" t="n"/>
      <c r="L411" s="177" t="n"/>
      <c r="M411" s="177" t="n"/>
      <c r="N411" s="177" t="n"/>
      <c r="O411" s="177" t="n"/>
      <c r="P411" s="177" t="n"/>
      <c r="Q411" s="177" t="n"/>
      <c r="R411" s="177" t="n"/>
      <c r="S411" s="177" t="n"/>
      <c r="T411" s="177" t="n"/>
      <c r="U411" s="177" t="n"/>
      <c r="V411" s="177" t="n"/>
      <c r="W411" s="177" t="n"/>
      <c r="X411" s="177" t="n"/>
      <c r="Y411" s="177" t="n"/>
    </row>
    <row r="412">
      <c r="A412" s="177" t="n"/>
      <c r="B412" s="177" t="n"/>
      <c r="C412" s="177" t="n"/>
      <c r="D412" s="177" t="n"/>
      <c r="E412" s="177" t="n"/>
      <c r="F412" s="177" t="n"/>
      <c r="G412" s="177" t="n"/>
      <c r="H412" s="177" t="n"/>
      <c r="I412" s="177" t="n"/>
      <c r="J412" s="177" t="n"/>
      <c r="K412" s="177" t="n"/>
      <c r="L412" s="177" t="n"/>
      <c r="M412" s="177" t="n"/>
      <c r="N412" s="177" t="n"/>
      <c r="O412" s="177" t="n"/>
      <c r="P412" s="177" t="n"/>
      <c r="Q412" s="177" t="n"/>
      <c r="R412" s="177" t="n"/>
      <c r="S412" s="177" t="n"/>
      <c r="T412" s="177" t="n"/>
      <c r="U412" s="177" t="n"/>
      <c r="V412" s="177" t="n"/>
      <c r="W412" s="177" t="n"/>
      <c r="X412" s="177" t="n"/>
      <c r="Y412" s="177" t="n"/>
    </row>
    <row r="413">
      <c r="A413" s="177" t="n"/>
      <c r="B413" s="177" t="n"/>
      <c r="C413" s="177" t="n"/>
      <c r="D413" s="177" t="n"/>
      <c r="E413" s="177" t="n"/>
      <c r="F413" s="177" t="n"/>
      <c r="G413" s="177" t="n"/>
      <c r="H413" s="177" t="n"/>
      <c r="I413" s="177" t="n"/>
      <c r="J413" s="177" t="n"/>
      <c r="K413" s="177" t="n"/>
      <c r="L413" s="177" t="n"/>
      <c r="M413" s="177" t="n"/>
      <c r="N413" s="177" t="n"/>
      <c r="O413" s="177" t="n"/>
      <c r="P413" s="177" t="n"/>
      <c r="Q413" s="177" t="n"/>
      <c r="R413" s="177" t="n"/>
      <c r="S413" s="177" t="n"/>
      <c r="T413" s="177" t="n"/>
      <c r="U413" s="177" t="n"/>
      <c r="V413" s="177" t="n"/>
      <c r="W413" s="177" t="n"/>
      <c r="X413" s="177" t="n"/>
      <c r="Y413" s="177" t="n"/>
    </row>
    <row r="414">
      <c r="A414" s="177" t="n"/>
      <c r="B414" s="177" t="n"/>
      <c r="C414" s="177" t="n"/>
      <c r="D414" s="177" t="n"/>
      <c r="E414" s="177" t="n"/>
      <c r="F414" s="177" t="n"/>
      <c r="G414" s="177" t="n"/>
      <c r="H414" s="177" t="n"/>
      <c r="I414" s="177" t="n"/>
      <c r="J414" s="177" t="n"/>
      <c r="K414" s="177" t="n"/>
      <c r="L414" s="177" t="n"/>
      <c r="M414" s="177" t="n"/>
      <c r="N414" s="177" t="n"/>
      <c r="O414" s="177" t="n"/>
      <c r="P414" s="177" t="n"/>
      <c r="Q414" s="177" t="n"/>
      <c r="R414" s="177" t="n"/>
      <c r="S414" s="177" t="n"/>
      <c r="T414" s="177" t="n"/>
      <c r="U414" s="177" t="n"/>
      <c r="V414" s="177" t="n"/>
      <c r="W414" s="177" t="n"/>
      <c r="X414" s="177" t="n"/>
      <c r="Y414" s="177" t="n"/>
    </row>
    <row r="415">
      <c r="A415" s="177" t="n"/>
      <c r="B415" s="177" t="n"/>
      <c r="C415" s="177" t="n"/>
      <c r="D415" s="177" t="n"/>
      <c r="E415" s="177" t="n"/>
      <c r="F415" s="177" t="n"/>
      <c r="G415" s="177" t="n"/>
      <c r="H415" s="177" t="n"/>
      <c r="I415" s="177" t="n"/>
      <c r="J415" s="177" t="n"/>
      <c r="K415" s="177" t="n"/>
      <c r="L415" s="177" t="n"/>
      <c r="M415" s="177" t="n"/>
      <c r="N415" s="177" t="n"/>
      <c r="O415" s="177" t="n"/>
      <c r="P415" s="177" t="n"/>
      <c r="Q415" s="177" t="n"/>
      <c r="R415" s="177" t="n"/>
      <c r="S415" s="177" t="n"/>
      <c r="T415" s="177" t="n"/>
      <c r="U415" s="177" t="n"/>
      <c r="V415" s="177" t="n"/>
      <c r="W415" s="177" t="n"/>
      <c r="X415" s="177" t="n"/>
      <c r="Y415" s="177" t="n"/>
    </row>
    <row r="416">
      <c r="A416" s="177" t="n"/>
      <c r="B416" s="177" t="n"/>
      <c r="C416" s="177" t="n"/>
      <c r="D416" s="177" t="n"/>
      <c r="E416" s="177" t="n"/>
      <c r="F416" s="177" t="n"/>
      <c r="G416" s="177" t="n"/>
      <c r="H416" s="177" t="n"/>
      <c r="I416" s="177" t="n"/>
      <c r="J416" s="177" t="n"/>
      <c r="K416" s="177" t="n"/>
      <c r="L416" s="177" t="n"/>
      <c r="M416" s="177" t="n"/>
      <c r="N416" s="177" t="n"/>
      <c r="O416" s="177" t="n"/>
      <c r="P416" s="177" t="n"/>
      <c r="Q416" s="177" t="n"/>
      <c r="R416" s="177" t="n"/>
      <c r="S416" s="177" t="n"/>
      <c r="T416" s="177" t="n"/>
      <c r="U416" s="177" t="n"/>
      <c r="V416" s="177" t="n"/>
      <c r="W416" s="177" t="n"/>
      <c r="X416" s="177" t="n"/>
      <c r="Y416" s="177" t="n"/>
    </row>
    <row r="417">
      <c r="A417" s="177" t="n"/>
      <c r="B417" s="177" t="n"/>
      <c r="C417" s="177" t="n"/>
      <c r="D417" s="177" t="n"/>
      <c r="E417" s="177" t="n"/>
      <c r="F417" s="177" t="n"/>
      <c r="G417" s="177" t="n"/>
      <c r="H417" s="177" t="n"/>
      <c r="I417" s="177" t="n"/>
      <c r="J417" s="177" t="n"/>
      <c r="K417" s="177" t="n"/>
      <c r="L417" s="177" t="n"/>
      <c r="M417" s="177" t="n"/>
      <c r="N417" s="177" t="n"/>
      <c r="O417" s="177" t="n"/>
      <c r="P417" s="177" t="n"/>
      <c r="Q417" s="177" t="n"/>
      <c r="R417" s="177" t="n"/>
      <c r="S417" s="177" t="n"/>
      <c r="T417" s="177" t="n"/>
      <c r="U417" s="177" t="n"/>
      <c r="V417" s="177" t="n"/>
      <c r="W417" s="177" t="n"/>
      <c r="X417" s="177" t="n"/>
      <c r="Y417" s="177" t="n"/>
    </row>
    <row r="418">
      <c r="A418" s="177" t="n"/>
      <c r="B418" s="177" t="n"/>
      <c r="C418" s="177" t="n"/>
      <c r="D418" s="177" t="n"/>
      <c r="E418" s="177" t="n"/>
      <c r="F418" s="177" t="n"/>
      <c r="G418" s="177" t="n"/>
      <c r="H418" s="177" t="n"/>
      <c r="I418" s="177" t="n"/>
      <c r="J418" s="177" t="n"/>
      <c r="K418" s="177" t="n"/>
      <c r="L418" s="177" t="n"/>
      <c r="M418" s="177" t="n"/>
      <c r="N418" s="177" t="n"/>
      <c r="O418" s="177" t="n"/>
      <c r="P418" s="177" t="n"/>
      <c r="Q418" s="177" t="n"/>
      <c r="R418" s="177" t="n"/>
      <c r="S418" s="177" t="n"/>
      <c r="T418" s="177" t="n"/>
      <c r="U418" s="177" t="n"/>
      <c r="V418" s="177" t="n"/>
      <c r="W418" s="177" t="n"/>
      <c r="X418" s="177" t="n"/>
      <c r="Y418" s="177" t="n"/>
    </row>
    <row r="419">
      <c r="A419" s="177" t="n"/>
      <c r="B419" s="177" t="n"/>
      <c r="C419" s="177" t="n"/>
      <c r="D419" s="177" t="n"/>
      <c r="E419" s="177" t="n"/>
      <c r="F419" s="177" t="n"/>
      <c r="G419" s="177" t="n"/>
      <c r="H419" s="177" t="n"/>
      <c r="I419" s="177" t="n"/>
      <c r="J419" s="177" t="n"/>
      <c r="K419" s="177" t="n"/>
      <c r="L419" s="177" t="n"/>
      <c r="M419" s="177" t="n"/>
      <c r="N419" s="177" t="n"/>
      <c r="O419" s="177" t="n"/>
      <c r="P419" s="177" t="n"/>
      <c r="Q419" s="177" t="n"/>
      <c r="R419" s="177" t="n"/>
      <c r="S419" s="177" t="n"/>
      <c r="T419" s="177" t="n"/>
      <c r="U419" s="177" t="n"/>
      <c r="V419" s="177" t="n"/>
      <c r="W419" s="177" t="n"/>
      <c r="X419" s="177" t="n"/>
      <c r="Y419" s="177" t="n"/>
    </row>
    <row r="420">
      <c r="A420" s="177" t="n"/>
      <c r="B420" s="177" t="n"/>
      <c r="C420" s="177" t="n"/>
      <c r="D420" s="177" t="n"/>
      <c r="E420" s="177" t="n"/>
      <c r="F420" s="177" t="n"/>
      <c r="G420" s="177" t="n"/>
      <c r="H420" s="177" t="n"/>
      <c r="I420" s="177" t="n"/>
      <c r="J420" s="177" t="n"/>
      <c r="K420" s="177" t="n"/>
      <c r="L420" s="177" t="n"/>
      <c r="M420" s="177" t="n"/>
      <c r="N420" s="177" t="n"/>
      <c r="O420" s="177" t="n"/>
      <c r="P420" s="177" t="n"/>
      <c r="Q420" s="177" t="n"/>
      <c r="R420" s="177" t="n"/>
      <c r="S420" s="177" t="n"/>
      <c r="T420" s="177" t="n"/>
      <c r="U420" s="177" t="n"/>
      <c r="V420" s="177" t="n"/>
      <c r="W420" s="177" t="n"/>
      <c r="X420" s="177" t="n"/>
      <c r="Y420" s="177" t="n"/>
    </row>
    <row r="421">
      <c r="A421" s="177" t="n"/>
      <c r="B421" s="177" t="n"/>
      <c r="C421" s="177" t="n"/>
      <c r="D421" s="177" t="n"/>
      <c r="E421" s="177" t="n"/>
      <c r="F421" s="177" t="n"/>
      <c r="G421" s="177" t="n"/>
      <c r="H421" s="177" t="n"/>
      <c r="I421" s="177" t="n"/>
      <c r="J421" s="177" t="n"/>
      <c r="K421" s="177" t="n"/>
      <c r="L421" s="177" t="n"/>
      <c r="M421" s="177" t="n"/>
      <c r="N421" s="177" t="n"/>
      <c r="O421" s="177" t="n"/>
      <c r="P421" s="177" t="n"/>
      <c r="Q421" s="177" t="n"/>
      <c r="R421" s="177" t="n"/>
      <c r="S421" s="177" t="n"/>
      <c r="T421" s="177" t="n"/>
      <c r="U421" s="177" t="n"/>
      <c r="V421" s="177" t="n"/>
      <c r="W421" s="177" t="n"/>
      <c r="X421" s="177" t="n"/>
      <c r="Y421" s="177" t="n"/>
    </row>
    <row r="422">
      <c r="A422" s="177" t="n"/>
      <c r="B422" s="177" t="n"/>
      <c r="C422" s="177" t="n"/>
      <c r="D422" s="177" t="n"/>
      <c r="E422" s="177" t="n"/>
      <c r="F422" s="177" t="n"/>
      <c r="G422" s="177" t="n"/>
      <c r="H422" s="177" t="n"/>
      <c r="I422" s="177" t="n"/>
      <c r="J422" s="177" t="n"/>
      <c r="K422" s="177" t="n"/>
      <c r="L422" s="177" t="n"/>
      <c r="M422" s="177" t="n"/>
      <c r="N422" s="177" t="n"/>
      <c r="O422" s="177" t="n"/>
      <c r="P422" s="177" t="n"/>
      <c r="Q422" s="177" t="n"/>
      <c r="R422" s="177" t="n"/>
      <c r="S422" s="177" t="n"/>
      <c r="T422" s="177" t="n"/>
      <c r="U422" s="177" t="n"/>
      <c r="V422" s="177" t="n"/>
      <c r="W422" s="177" t="n"/>
      <c r="X422" s="177" t="n"/>
      <c r="Y422" s="177" t="n"/>
    </row>
    <row r="423">
      <c r="A423" s="177" t="n"/>
      <c r="B423" s="177" t="n"/>
      <c r="C423" s="177" t="n"/>
      <c r="D423" s="177" t="n"/>
      <c r="E423" s="177" t="n"/>
      <c r="F423" s="177" t="n"/>
      <c r="G423" s="177" t="n"/>
      <c r="H423" s="177" t="n"/>
      <c r="I423" s="177" t="n"/>
      <c r="J423" s="177" t="n"/>
      <c r="K423" s="177" t="n"/>
      <c r="L423" s="177" t="n"/>
      <c r="M423" s="177" t="n"/>
      <c r="N423" s="177" t="n"/>
      <c r="O423" s="177" t="n"/>
      <c r="P423" s="177" t="n"/>
      <c r="Q423" s="177" t="n"/>
      <c r="R423" s="177" t="n"/>
      <c r="S423" s="177" t="n"/>
      <c r="T423" s="177" t="n"/>
      <c r="U423" s="177" t="n"/>
      <c r="V423" s="177" t="n"/>
      <c r="W423" s="177" t="n"/>
      <c r="X423" s="177" t="n"/>
      <c r="Y423" s="177" t="n"/>
    </row>
    <row r="424">
      <c r="A424" s="177" t="n"/>
      <c r="B424" s="177" t="n"/>
      <c r="C424" s="177" t="n"/>
      <c r="D424" s="177" t="n"/>
      <c r="E424" s="177" t="n"/>
      <c r="F424" s="177" t="n"/>
      <c r="G424" s="177" t="n"/>
      <c r="H424" s="177" t="n"/>
      <c r="I424" s="177" t="n"/>
      <c r="J424" s="177" t="n"/>
      <c r="K424" s="177" t="n"/>
      <c r="L424" s="177" t="n"/>
      <c r="M424" s="177" t="n"/>
      <c r="N424" s="177" t="n"/>
      <c r="O424" s="177" t="n"/>
      <c r="P424" s="177" t="n"/>
      <c r="Q424" s="177" t="n"/>
      <c r="R424" s="177" t="n"/>
      <c r="S424" s="177" t="n"/>
      <c r="T424" s="177" t="n"/>
      <c r="U424" s="177" t="n"/>
      <c r="V424" s="177" t="n"/>
      <c r="W424" s="177" t="n"/>
      <c r="X424" s="177" t="n"/>
      <c r="Y424" s="177" t="n"/>
    </row>
    <row r="425">
      <c r="A425" s="177" t="n"/>
      <c r="B425" s="177" t="n"/>
      <c r="C425" s="177" t="n"/>
      <c r="D425" s="177" t="n"/>
      <c r="E425" s="177" t="n"/>
      <c r="F425" s="177" t="n"/>
      <c r="G425" s="177" t="n"/>
      <c r="H425" s="177" t="n"/>
      <c r="I425" s="177" t="n"/>
      <c r="J425" s="177" t="n"/>
      <c r="K425" s="177" t="n"/>
      <c r="L425" s="177" t="n"/>
      <c r="M425" s="177" t="n"/>
      <c r="N425" s="177" t="n"/>
      <c r="O425" s="177" t="n"/>
      <c r="P425" s="177" t="n"/>
      <c r="Q425" s="177" t="n"/>
      <c r="R425" s="177" t="n"/>
      <c r="S425" s="177" t="n"/>
      <c r="T425" s="177" t="n"/>
      <c r="U425" s="177" t="n"/>
      <c r="V425" s="177" t="n"/>
      <c r="W425" s="177" t="n"/>
      <c r="X425" s="177" t="n"/>
      <c r="Y425" s="177" t="n"/>
    </row>
    <row r="426">
      <c r="A426" s="177" t="n"/>
      <c r="B426" s="177" t="n"/>
      <c r="C426" s="177" t="n"/>
      <c r="D426" s="177" t="n"/>
      <c r="E426" s="177" t="n"/>
      <c r="F426" s="177" t="n"/>
      <c r="G426" s="177" t="n"/>
      <c r="H426" s="177" t="n"/>
      <c r="I426" s="177" t="n"/>
      <c r="J426" s="177" t="n"/>
      <c r="K426" s="177" t="n"/>
      <c r="L426" s="177" t="n"/>
      <c r="M426" s="177" t="n"/>
      <c r="N426" s="177" t="n"/>
      <c r="O426" s="177" t="n"/>
      <c r="P426" s="177" t="n"/>
      <c r="Q426" s="177" t="n"/>
      <c r="R426" s="177" t="n"/>
      <c r="S426" s="177" t="n"/>
      <c r="T426" s="177" t="n"/>
      <c r="U426" s="177" t="n"/>
      <c r="V426" s="177" t="n"/>
      <c r="W426" s="177" t="n"/>
      <c r="X426" s="177" t="n"/>
      <c r="Y426" s="177" t="n"/>
    </row>
    <row r="427">
      <c r="A427" s="177" t="n"/>
      <c r="B427" s="177" t="n"/>
      <c r="C427" s="177" t="n"/>
      <c r="D427" s="177" t="n"/>
      <c r="E427" s="177" t="n"/>
      <c r="F427" s="177" t="n"/>
      <c r="G427" s="177" t="n"/>
      <c r="H427" s="177" t="n"/>
      <c r="I427" s="177" t="n"/>
      <c r="J427" s="177" t="n"/>
      <c r="K427" s="177" t="n"/>
      <c r="L427" s="177" t="n"/>
      <c r="M427" s="177" t="n"/>
      <c r="N427" s="177" t="n"/>
      <c r="O427" s="177" t="n"/>
      <c r="P427" s="177" t="n"/>
      <c r="Q427" s="177" t="n"/>
      <c r="R427" s="177" t="n"/>
      <c r="S427" s="177" t="n"/>
      <c r="T427" s="177" t="n"/>
      <c r="U427" s="177" t="n"/>
      <c r="V427" s="177" t="n"/>
      <c r="W427" s="177" t="n"/>
      <c r="X427" s="177" t="n"/>
      <c r="Y427" s="177" t="n"/>
    </row>
    <row r="428">
      <c r="A428" s="177" t="n"/>
      <c r="B428" s="177" t="n"/>
      <c r="C428" s="177" t="n"/>
      <c r="D428" s="177" t="n"/>
      <c r="E428" s="177" t="n"/>
      <c r="F428" s="177" t="n"/>
      <c r="G428" s="177" t="n"/>
      <c r="H428" s="177" t="n"/>
      <c r="I428" s="177" t="n"/>
      <c r="J428" s="177" t="n"/>
      <c r="K428" s="177" t="n"/>
      <c r="L428" s="177" t="n"/>
      <c r="M428" s="177" t="n"/>
      <c r="N428" s="177" t="n"/>
      <c r="O428" s="177" t="n"/>
      <c r="P428" s="177" t="n"/>
      <c r="Q428" s="177" t="n"/>
      <c r="R428" s="177" t="n"/>
      <c r="S428" s="177" t="n"/>
      <c r="T428" s="177" t="n"/>
      <c r="U428" s="177" t="n"/>
      <c r="V428" s="177" t="n"/>
      <c r="W428" s="177" t="n"/>
      <c r="X428" s="177" t="n"/>
      <c r="Y428" s="177" t="n"/>
    </row>
    <row r="429">
      <c r="A429" s="177" t="n"/>
      <c r="B429" s="177" t="n"/>
      <c r="C429" s="177" t="n"/>
      <c r="D429" s="177" t="n"/>
      <c r="E429" s="177" t="n"/>
      <c r="F429" s="177" t="n"/>
      <c r="G429" s="177" t="n"/>
      <c r="H429" s="177" t="n"/>
      <c r="I429" s="177" t="n"/>
      <c r="J429" s="177" t="n"/>
      <c r="K429" s="177" t="n"/>
      <c r="L429" s="177" t="n"/>
      <c r="M429" s="177" t="n"/>
      <c r="N429" s="177" t="n"/>
      <c r="O429" s="177" t="n"/>
      <c r="P429" s="177" t="n"/>
      <c r="Q429" s="177" t="n"/>
      <c r="R429" s="177" t="n"/>
      <c r="S429" s="177" t="n"/>
      <c r="T429" s="177" t="n"/>
      <c r="U429" s="177" t="n"/>
      <c r="V429" s="177" t="n"/>
      <c r="W429" s="177" t="n"/>
      <c r="X429" s="177" t="n"/>
      <c r="Y429" s="177" t="n"/>
    </row>
    <row r="430">
      <c r="A430" s="177" t="n"/>
      <c r="B430" s="177" t="n"/>
      <c r="C430" s="177" t="n"/>
      <c r="D430" s="177" t="n"/>
      <c r="E430" s="177" t="n"/>
      <c r="F430" s="177" t="n"/>
      <c r="G430" s="177" t="n"/>
      <c r="H430" s="177" t="n"/>
      <c r="I430" s="177" t="n"/>
      <c r="J430" s="177" t="n"/>
      <c r="K430" s="177" t="n"/>
      <c r="L430" s="177" t="n"/>
      <c r="M430" s="177" t="n"/>
      <c r="N430" s="177" t="n"/>
      <c r="O430" s="177" t="n"/>
      <c r="P430" s="177" t="n"/>
      <c r="Q430" s="177" t="n"/>
      <c r="R430" s="177" t="n"/>
      <c r="S430" s="177" t="n"/>
      <c r="T430" s="177" t="n"/>
      <c r="U430" s="177" t="n"/>
      <c r="V430" s="177" t="n"/>
      <c r="W430" s="177" t="n"/>
      <c r="X430" s="177" t="n"/>
      <c r="Y430" s="177" t="n"/>
    </row>
    <row r="431">
      <c r="A431" s="177" t="n"/>
      <c r="B431" s="177" t="n"/>
      <c r="C431" s="177" t="n"/>
      <c r="D431" s="177" t="n"/>
      <c r="E431" s="177" t="n"/>
      <c r="F431" s="177" t="n"/>
      <c r="G431" s="177" t="n"/>
      <c r="H431" s="177" t="n"/>
      <c r="I431" s="177" t="n"/>
      <c r="J431" s="177" t="n"/>
      <c r="K431" s="177" t="n"/>
      <c r="L431" s="177" t="n"/>
      <c r="M431" s="177" t="n"/>
      <c r="N431" s="177" t="n"/>
      <c r="O431" s="177" t="n"/>
      <c r="P431" s="177" t="n"/>
      <c r="Q431" s="177" t="n"/>
      <c r="R431" s="177" t="n"/>
      <c r="S431" s="177" t="n"/>
      <c r="T431" s="177" t="n"/>
      <c r="U431" s="177" t="n"/>
      <c r="V431" s="177" t="n"/>
      <c r="W431" s="177" t="n"/>
      <c r="X431" s="177" t="n"/>
      <c r="Y431" s="177" t="n"/>
    </row>
    <row r="432">
      <c r="A432" s="177" t="n"/>
      <c r="B432" s="177" t="n"/>
      <c r="C432" s="177" t="n"/>
      <c r="D432" s="177" t="n"/>
      <c r="E432" s="177" t="n"/>
      <c r="F432" s="177" t="n"/>
      <c r="G432" s="177" t="n"/>
      <c r="H432" s="177" t="n"/>
      <c r="I432" s="177" t="n"/>
      <c r="J432" s="177" t="n"/>
      <c r="K432" s="177" t="n"/>
      <c r="L432" s="177" t="n"/>
      <c r="M432" s="177" t="n"/>
      <c r="N432" s="177" t="n"/>
      <c r="O432" s="177" t="n"/>
      <c r="P432" s="177" t="n"/>
      <c r="Q432" s="177" t="n"/>
      <c r="R432" s="177" t="n"/>
      <c r="S432" s="177" t="n"/>
      <c r="T432" s="177" t="n"/>
      <c r="U432" s="177" t="n"/>
      <c r="V432" s="177" t="n"/>
      <c r="W432" s="177" t="n"/>
      <c r="X432" s="177" t="n"/>
      <c r="Y432" s="177" t="n"/>
    </row>
    <row r="433">
      <c r="A433" s="177" t="n"/>
      <c r="B433" s="177" t="n"/>
      <c r="C433" s="177" t="n"/>
      <c r="D433" s="177" t="n"/>
      <c r="E433" s="177" t="n"/>
      <c r="F433" s="177" t="n"/>
      <c r="G433" s="177" t="n"/>
      <c r="H433" s="177" t="n"/>
      <c r="I433" s="177" t="n"/>
      <c r="J433" s="177" t="n"/>
      <c r="K433" s="177" t="n"/>
      <c r="L433" s="177" t="n"/>
      <c r="M433" s="177" t="n"/>
      <c r="N433" s="177" t="n"/>
      <c r="O433" s="177" t="n"/>
      <c r="P433" s="177" t="n"/>
      <c r="Q433" s="177" t="n"/>
      <c r="R433" s="177" t="n"/>
      <c r="S433" s="177" t="n"/>
      <c r="T433" s="177" t="n"/>
      <c r="U433" s="177" t="n"/>
      <c r="V433" s="177" t="n"/>
      <c r="W433" s="177" t="n"/>
      <c r="X433" s="177" t="n"/>
      <c r="Y433" s="177" t="n"/>
    </row>
    <row r="434">
      <c r="A434" s="177" t="n"/>
      <c r="B434" s="177" t="n"/>
      <c r="C434" s="177" t="n"/>
      <c r="D434" s="177" t="n"/>
      <c r="E434" s="177" t="n"/>
      <c r="F434" s="177" t="n"/>
      <c r="G434" s="177" t="n"/>
      <c r="H434" s="177" t="n"/>
      <c r="I434" s="177" t="n"/>
      <c r="J434" s="177" t="n"/>
      <c r="K434" s="177" t="n"/>
      <c r="L434" s="177" t="n"/>
      <c r="M434" s="177" t="n"/>
      <c r="N434" s="177" t="n"/>
      <c r="O434" s="177" t="n"/>
      <c r="P434" s="177" t="n"/>
      <c r="Q434" s="177" t="n"/>
      <c r="R434" s="177" t="n"/>
      <c r="S434" s="177" t="n"/>
      <c r="T434" s="177" t="n"/>
      <c r="U434" s="177" t="n"/>
      <c r="V434" s="177" t="n"/>
      <c r="W434" s="177" t="n"/>
      <c r="X434" s="177" t="n"/>
      <c r="Y434" s="177" t="n"/>
    </row>
    <row r="435">
      <c r="A435" s="177" t="n"/>
      <c r="B435" s="177" t="n"/>
      <c r="C435" s="177" t="n"/>
      <c r="D435" s="177" t="n"/>
      <c r="E435" s="177" t="n"/>
      <c r="F435" s="177" t="n"/>
      <c r="G435" s="177" t="n"/>
      <c r="H435" s="177" t="n"/>
      <c r="I435" s="177" t="n"/>
      <c r="J435" s="177" t="n"/>
      <c r="K435" s="177" t="n"/>
      <c r="L435" s="177" t="n"/>
      <c r="M435" s="177" t="n"/>
      <c r="N435" s="177" t="n"/>
      <c r="O435" s="177" t="n"/>
      <c r="P435" s="177" t="n"/>
      <c r="Q435" s="177" t="n"/>
      <c r="R435" s="177" t="n"/>
      <c r="S435" s="177" t="n"/>
      <c r="T435" s="177" t="n"/>
      <c r="U435" s="177" t="n"/>
      <c r="V435" s="177" t="n"/>
      <c r="W435" s="177" t="n"/>
      <c r="X435" s="177" t="n"/>
      <c r="Y435" s="177" t="n"/>
    </row>
    <row r="436">
      <c r="A436" s="177" t="n"/>
      <c r="B436" s="177" t="n"/>
      <c r="C436" s="177" t="n"/>
      <c r="D436" s="177" t="n"/>
      <c r="E436" s="177" t="n"/>
      <c r="F436" s="177" t="n"/>
      <c r="G436" s="177" t="n"/>
      <c r="H436" s="177" t="n"/>
      <c r="I436" s="177" t="n"/>
      <c r="J436" s="177" t="n"/>
      <c r="K436" s="177" t="n"/>
      <c r="L436" s="177" t="n"/>
      <c r="M436" s="177" t="n"/>
      <c r="N436" s="177" t="n"/>
      <c r="O436" s="177" t="n"/>
      <c r="P436" s="177" t="n"/>
      <c r="Q436" s="177" t="n"/>
      <c r="R436" s="177" t="n"/>
      <c r="S436" s="177" t="n"/>
      <c r="T436" s="177" t="n"/>
      <c r="U436" s="177" t="n"/>
      <c r="V436" s="177" t="n"/>
      <c r="W436" s="177" t="n"/>
      <c r="X436" s="177" t="n"/>
      <c r="Y436" s="177" t="n"/>
    </row>
    <row r="437">
      <c r="A437" s="177" t="n"/>
      <c r="B437" s="177" t="n"/>
      <c r="C437" s="177" t="n"/>
      <c r="D437" s="177" t="n"/>
      <c r="E437" s="177" t="n"/>
      <c r="F437" s="177" t="n"/>
      <c r="G437" s="177" t="n"/>
      <c r="H437" s="177" t="n"/>
      <c r="I437" s="177" t="n"/>
      <c r="J437" s="177" t="n"/>
      <c r="K437" s="177" t="n"/>
      <c r="L437" s="177" t="n"/>
      <c r="M437" s="177" t="n"/>
      <c r="N437" s="177" t="n"/>
      <c r="O437" s="177" t="n"/>
      <c r="P437" s="177" t="n"/>
      <c r="Q437" s="177" t="n"/>
      <c r="R437" s="177" t="n"/>
      <c r="S437" s="177" t="n"/>
      <c r="T437" s="177" t="n"/>
      <c r="U437" s="177" t="n"/>
      <c r="V437" s="177" t="n"/>
      <c r="W437" s="177" t="n"/>
      <c r="X437" s="177" t="n"/>
      <c r="Y437" s="177" t="n"/>
    </row>
    <row r="438">
      <c r="A438" s="177" t="n"/>
      <c r="B438" s="177" t="n"/>
      <c r="C438" s="177" t="n"/>
      <c r="D438" s="177" t="n"/>
      <c r="E438" s="177" t="n"/>
      <c r="F438" s="177" t="n"/>
      <c r="G438" s="177" t="n"/>
      <c r="H438" s="177" t="n"/>
      <c r="I438" s="177" t="n"/>
      <c r="J438" s="177" t="n"/>
      <c r="K438" s="177" t="n"/>
      <c r="L438" s="177" t="n"/>
      <c r="M438" s="177" t="n"/>
      <c r="N438" s="177" t="n"/>
      <c r="O438" s="177" t="n"/>
      <c r="P438" s="177" t="n"/>
      <c r="Q438" s="177" t="n"/>
      <c r="R438" s="177" t="n"/>
      <c r="S438" s="177" t="n"/>
      <c r="T438" s="177" t="n"/>
      <c r="U438" s="177" t="n"/>
      <c r="V438" s="177" t="n"/>
      <c r="W438" s="177" t="n"/>
      <c r="X438" s="177" t="n"/>
      <c r="Y438" s="177" t="n"/>
    </row>
    <row r="439">
      <c r="A439" s="177" t="n"/>
      <c r="B439" s="177" t="n"/>
      <c r="C439" s="177" t="n"/>
      <c r="D439" s="177" t="n"/>
      <c r="E439" s="177" t="n"/>
      <c r="F439" s="177" t="n"/>
      <c r="G439" s="177" t="n"/>
      <c r="H439" s="177" t="n"/>
      <c r="I439" s="177" t="n"/>
      <c r="J439" s="177" t="n"/>
      <c r="K439" s="177" t="n"/>
      <c r="L439" s="177" t="n"/>
      <c r="M439" s="177" t="n"/>
      <c r="N439" s="177" t="n"/>
      <c r="O439" s="177" t="n"/>
      <c r="P439" s="177" t="n"/>
      <c r="Q439" s="177" t="n"/>
      <c r="R439" s="177" t="n"/>
      <c r="S439" s="177" t="n"/>
      <c r="T439" s="177" t="n"/>
      <c r="U439" s="177" t="n"/>
      <c r="V439" s="177" t="n"/>
      <c r="W439" s="177" t="n"/>
      <c r="X439" s="177" t="n"/>
      <c r="Y439" s="177" t="n"/>
    </row>
    <row r="440">
      <c r="A440" s="177" t="n"/>
      <c r="B440" s="177" t="n"/>
      <c r="C440" s="177" t="n"/>
      <c r="D440" s="177" t="n"/>
      <c r="E440" s="177" t="n"/>
      <c r="F440" s="177" t="n"/>
      <c r="G440" s="177" t="n"/>
      <c r="H440" s="177" t="n"/>
      <c r="I440" s="177" t="n"/>
      <c r="J440" s="177" t="n"/>
      <c r="K440" s="177" t="n"/>
      <c r="L440" s="177" t="n"/>
      <c r="M440" s="177" t="n"/>
      <c r="N440" s="177" t="n"/>
      <c r="O440" s="177" t="n"/>
      <c r="P440" s="177" t="n"/>
      <c r="Q440" s="177" t="n"/>
      <c r="R440" s="177" t="n"/>
      <c r="S440" s="177" t="n"/>
      <c r="T440" s="177" t="n"/>
      <c r="U440" s="177" t="n"/>
      <c r="V440" s="177" t="n"/>
      <c r="W440" s="177" t="n"/>
      <c r="X440" s="177" t="n"/>
      <c r="Y440" s="177" t="n"/>
    </row>
    <row r="441">
      <c r="A441" s="177" t="n"/>
      <c r="B441" s="177" t="n"/>
      <c r="C441" s="177" t="n"/>
      <c r="D441" s="177" t="n"/>
      <c r="E441" s="177" t="n"/>
      <c r="F441" s="177" t="n"/>
      <c r="G441" s="177" t="n"/>
      <c r="H441" s="177" t="n"/>
      <c r="I441" s="177" t="n"/>
      <c r="J441" s="177" t="n"/>
      <c r="K441" s="177" t="n"/>
      <c r="L441" s="177" t="n"/>
      <c r="M441" s="177" t="n"/>
      <c r="N441" s="177" t="n"/>
      <c r="O441" s="177" t="n"/>
      <c r="P441" s="177" t="n"/>
      <c r="Q441" s="177" t="n"/>
      <c r="R441" s="177" t="n"/>
      <c r="S441" s="177" t="n"/>
      <c r="T441" s="177" t="n"/>
      <c r="U441" s="177" t="n"/>
      <c r="V441" s="177" t="n"/>
      <c r="W441" s="177" t="n"/>
      <c r="X441" s="177" t="n"/>
      <c r="Y441" s="177" t="n"/>
    </row>
    <row r="442">
      <c r="A442" s="177" t="n"/>
      <c r="B442" s="177" t="n"/>
      <c r="C442" s="177" t="n"/>
      <c r="D442" s="177" t="n"/>
      <c r="E442" s="177" t="n"/>
      <c r="F442" s="177" t="n"/>
      <c r="G442" s="177" t="n"/>
      <c r="H442" s="177" t="n"/>
      <c r="I442" s="177" t="n"/>
      <c r="J442" s="177" t="n"/>
      <c r="K442" s="177" t="n"/>
      <c r="L442" s="177" t="n"/>
      <c r="M442" s="177" t="n"/>
      <c r="N442" s="177" t="n"/>
      <c r="O442" s="177" t="n"/>
      <c r="P442" s="177" t="n"/>
      <c r="Q442" s="177" t="n"/>
      <c r="R442" s="177" t="n"/>
      <c r="S442" s="177" t="n"/>
      <c r="T442" s="177" t="n"/>
      <c r="U442" s="177" t="n"/>
      <c r="V442" s="177" t="n"/>
      <c r="W442" s="177" t="n"/>
      <c r="X442" s="177" t="n"/>
      <c r="Y442" s="177" t="n"/>
    </row>
    <row r="443">
      <c r="A443" s="177" t="n"/>
      <c r="B443" s="177" t="n"/>
      <c r="C443" s="177" t="n"/>
      <c r="D443" s="177" t="n"/>
      <c r="E443" s="177" t="n"/>
      <c r="F443" s="177" t="n"/>
      <c r="G443" s="177" t="n"/>
      <c r="H443" s="177" t="n"/>
      <c r="I443" s="177" t="n"/>
      <c r="J443" s="177" t="n"/>
      <c r="K443" s="177" t="n"/>
      <c r="L443" s="177" t="n"/>
      <c r="M443" s="177" t="n"/>
      <c r="N443" s="177" t="n"/>
      <c r="O443" s="177" t="n"/>
      <c r="P443" s="177" t="n"/>
      <c r="Q443" s="177" t="n"/>
      <c r="R443" s="177" t="n"/>
      <c r="S443" s="177" t="n"/>
      <c r="T443" s="177" t="n"/>
      <c r="U443" s="177" t="n"/>
      <c r="V443" s="177" t="n"/>
      <c r="W443" s="177" t="n"/>
      <c r="X443" s="177" t="n"/>
      <c r="Y443" s="177" t="n"/>
    </row>
    <row r="444">
      <c r="A444" s="177" t="n"/>
      <c r="B444" s="177" t="n"/>
      <c r="C444" s="177" t="n"/>
      <c r="D444" s="177" t="n"/>
      <c r="E444" s="177" t="n"/>
      <c r="F444" s="177" t="n"/>
      <c r="G444" s="177" t="n"/>
      <c r="H444" s="177" t="n"/>
      <c r="I444" s="177" t="n"/>
      <c r="J444" s="177" t="n"/>
      <c r="K444" s="177" t="n"/>
      <c r="L444" s="177" t="n"/>
      <c r="M444" s="177" t="n"/>
      <c r="N444" s="177" t="n"/>
      <c r="O444" s="177" t="n"/>
      <c r="P444" s="177" t="n"/>
      <c r="Q444" s="177" t="n"/>
      <c r="R444" s="177" t="n"/>
      <c r="S444" s="177" t="n"/>
      <c r="T444" s="177" t="n"/>
      <c r="U444" s="177" t="n"/>
      <c r="V444" s="177" t="n"/>
      <c r="W444" s="177" t="n"/>
      <c r="X444" s="177" t="n"/>
      <c r="Y444" s="177" t="n"/>
    </row>
    <row r="445">
      <c r="A445" s="177" t="n"/>
      <c r="B445" s="177" t="n"/>
      <c r="C445" s="177" t="n"/>
      <c r="D445" s="177" t="n"/>
      <c r="E445" s="177" t="n"/>
      <c r="F445" s="177" t="n"/>
      <c r="G445" s="177" t="n"/>
      <c r="H445" s="177" t="n"/>
      <c r="I445" s="177" t="n"/>
      <c r="J445" s="177" t="n"/>
      <c r="K445" s="177" t="n"/>
      <c r="L445" s="177" t="n"/>
      <c r="M445" s="177" t="n"/>
      <c r="N445" s="177" t="n"/>
      <c r="O445" s="177" t="n"/>
      <c r="P445" s="177" t="n"/>
      <c r="Q445" s="177" t="n"/>
      <c r="R445" s="177" t="n"/>
      <c r="S445" s="177" t="n"/>
      <c r="T445" s="177" t="n"/>
      <c r="U445" s="177" t="n"/>
      <c r="V445" s="177" t="n"/>
      <c r="W445" s="177" t="n"/>
      <c r="X445" s="177" t="n"/>
      <c r="Y445" s="177" t="n"/>
    </row>
    <row r="446">
      <c r="A446" s="177" t="n"/>
      <c r="B446" s="177" t="n"/>
      <c r="C446" s="177" t="n"/>
      <c r="D446" s="177" t="n"/>
      <c r="E446" s="177" t="n"/>
      <c r="F446" s="177" t="n"/>
      <c r="G446" s="177" t="n"/>
      <c r="H446" s="177" t="n"/>
      <c r="I446" s="177" t="n"/>
      <c r="J446" s="177" t="n"/>
      <c r="K446" s="177" t="n"/>
      <c r="L446" s="177" t="n"/>
      <c r="M446" s="177" t="n"/>
      <c r="N446" s="177" t="n"/>
      <c r="O446" s="177" t="n"/>
      <c r="P446" s="177" t="n"/>
      <c r="Q446" s="177" t="n"/>
      <c r="R446" s="177" t="n"/>
      <c r="S446" s="177" t="n"/>
      <c r="T446" s="177" t="n"/>
      <c r="U446" s="177" t="n"/>
      <c r="V446" s="177" t="n"/>
      <c r="W446" s="177" t="n"/>
      <c r="X446" s="177" t="n"/>
      <c r="Y446" s="177" t="n"/>
    </row>
    <row r="447">
      <c r="A447" s="177" t="n"/>
      <c r="B447" s="177" t="n"/>
      <c r="C447" s="177" t="n"/>
      <c r="D447" s="177" t="n"/>
      <c r="E447" s="177" t="n"/>
      <c r="F447" s="177" t="n"/>
      <c r="G447" s="177" t="n"/>
      <c r="H447" s="177" t="n"/>
      <c r="I447" s="177" t="n"/>
      <c r="J447" s="177" t="n"/>
      <c r="K447" s="177" t="n"/>
      <c r="L447" s="177" t="n"/>
      <c r="M447" s="177" t="n"/>
      <c r="N447" s="177" t="n"/>
      <c r="O447" s="177" t="n"/>
      <c r="P447" s="177" t="n"/>
      <c r="Q447" s="177" t="n"/>
      <c r="R447" s="177" t="n"/>
      <c r="S447" s="177" t="n"/>
      <c r="T447" s="177" t="n"/>
      <c r="U447" s="177" t="n"/>
      <c r="V447" s="177" t="n"/>
      <c r="W447" s="177" t="n"/>
      <c r="X447" s="177" t="n"/>
      <c r="Y447" s="177" t="n"/>
    </row>
    <row r="448">
      <c r="A448" s="177" t="n"/>
      <c r="B448" s="177" t="n"/>
      <c r="C448" s="177" t="n"/>
      <c r="D448" s="177" t="n"/>
      <c r="E448" s="177" t="n"/>
      <c r="F448" s="177" t="n"/>
      <c r="G448" s="177" t="n"/>
      <c r="H448" s="177" t="n"/>
      <c r="I448" s="177" t="n"/>
      <c r="J448" s="177" t="n"/>
      <c r="K448" s="177" t="n"/>
      <c r="L448" s="177" t="n"/>
      <c r="M448" s="177" t="n"/>
      <c r="N448" s="177" t="n"/>
      <c r="O448" s="177" t="n"/>
      <c r="P448" s="177" t="n"/>
      <c r="Q448" s="177" t="n"/>
      <c r="R448" s="177" t="n"/>
      <c r="S448" s="177" t="n"/>
      <c r="T448" s="177" t="n"/>
      <c r="U448" s="177" t="n"/>
      <c r="V448" s="177" t="n"/>
      <c r="W448" s="177" t="n"/>
      <c r="X448" s="177" t="n"/>
      <c r="Y448" s="177" t="n"/>
    </row>
    <row r="449">
      <c r="A449" s="177" t="n"/>
      <c r="B449" s="177" t="n"/>
      <c r="C449" s="177" t="n"/>
      <c r="D449" s="177" t="n"/>
      <c r="E449" s="177" t="n"/>
      <c r="F449" s="177" t="n"/>
      <c r="G449" s="177" t="n"/>
      <c r="H449" s="177" t="n"/>
      <c r="I449" s="177" t="n"/>
      <c r="J449" s="177" t="n"/>
      <c r="K449" s="177" t="n"/>
      <c r="L449" s="177" t="n"/>
      <c r="M449" s="177" t="n"/>
      <c r="N449" s="177" t="n"/>
      <c r="O449" s="177" t="n"/>
      <c r="P449" s="177" t="n"/>
      <c r="Q449" s="177" t="n"/>
      <c r="R449" s="177" t="n"/>
      <c r="S449" s="177" t="n"/>
      <c r="T449" s="177" t="n"/>
      <c r="U449" s="177" t="n"/>
      <c r="V449" s="177" t="n"/>
      <c r="W449" s="177" t="n"/>
      <c r="X449" s="177" t="n"/>
      <c r="Y449" s="177" t="n"/>
    </row>
    <row r="450">
      <c r="A450" s="177" t="n"/>
      <c r="B450" s="177" t="n"/>
      <c r="C450" s="177" t="n"/>
      <c r="D450" s="177" t="n"/>
      <c r="E450" s="177" t="n"/>
      <c r="F450" s="177" t="n"/>
      <c r="G450" s="177" t="n"/>
      <c r="H450" s="177" t="n"/>
      <c r="I450" s="177" t="n"/>
      <c r="J450" s="177" t="n"/>
      <c r="K450" s="177" t="n"/>
      <c r="L450" s="177" t="n"/>
      <c r="M450" s="177" t="n"/>
      <c r="N450" s="177" t="n"/>
      <c r="O450" s="177" t="n"/>
      <c r="P450" s="177" t="n"/>
      <c r="Q450" s="177" t="n"/>
      <c r="R450" s="177" t="n"/>
      <c r="S450" s="177" t="n"/>
      <c r="T450" s="177" t="n"/>
      <c r="U450" s="177" t="n"/>
      <c r="V450" s="177" t="n"/>
      <c r="W450" s="177" t="n"/>
      <c r="X450" s="177" t="n"/>
      <c r="Y450" s="177" t="n"/>
    </row>
    <row r="451">
      <c r="A451" s="177" t="n"/>
      <c r="B451" s="177" t="n"/>
      <c r="C451" s="177" t="n"/>
      <c r="D451" s="177" t="n"/>
      <c r="E451" s="177" t="n"/>
      <c r="F451" s="177" t="n"/>
      <c r="G451" s="177" t="n"/>
      <c r="H451" s="177" t="n"/>
      <c r="I451" s="177" t="n"/>
      <c r="J451" s="177" t="n"/>
      <c r="K451" s="177" t="n"/>
      <c r="L451" s="177" t="n"/>
      <c r="M451" s="177" t="n"/>
      <c r="N451" s="177" t="n"/>
      <c r="O451" s="177" t="n"/>
      <c r="P451" s="177" t="n"/>
      <c r="Q451" s="177" t="n"/>
      <c r="R451" s="177" t="n"/>
      <c r="S451" s="177" t="n"/>
      <c r="T451" s="177" t="n"/>
      <c r="U451" s="177" t="n"/>
      <c r="V451" s="177" t="n"/>
      <c r="W451" s="177" t="n"/>
      <c r="X451" s="177" t="n"/>
      <c r="Y451" s="177" t="n"/>
    </row>
    <row r="452">
      <c r="A452" s="177" t="n"/>
      <c r="B452" s="177" t="n"/>
      <c r="C452" s="177" t="n"/>
      <c r="D452" s="177" t="n"/>
      <c r="E452" s="177" t="n"/>
      <c r="F452" s="177" t="n"/>
      <c r="G452" s="177" t="n"/>
      <c r="H452" s="177" t="n"/>
      <c r="I452" s="177" t="n"/>
      <c r="J452" s="177" t="n"/>
      <c r="K452" s="177" t="n"/>
      <c r="L452" s="177" t="n"/>
      <c r="M452" s="177" t="n"/>
      <c r="N452" s="177" t="n"/>
      <c r="O452" s="177" t="n"/>
      <c r="P452" s="177" t="n"/>
      <c r="Q452" s="177" t="n"/>
      <c r="R452" s="177" t="n"/>
      <c r="S452" s="177" t="n"/>
      <c r="T452" s="177" t="n"/>
      <c r="U452" s="177" t="n"/>
      <c r="V452" s="177" t="n"/>
      <c r="W452" s="177" t="n"/>
      <c r="X452" s="177" t="n"/>
      <c r="Y452" s="177" t="n"/>
    </row>
    <row r="453">
      <c r="A453" s="177" t="n"/>
      <c r="B453" s="177" t="n"/>
      <c r="C453" s="177" t="n"/>
      <c r="D453" s="177" t="n"/>
      <c r="E453" s="177" t="n"/>
      <c r="F453" s="177" t="n"/>
      <c r="G453" s="177" t="n"/>
      <c r="H453" s="177" t="n"/>
      <c r="I453" s="177" t="n"/>
      <c r="J453" s="177" t="n"/>
      <c r="K453" s="177" t="n"/>
      <c r="L453" s="177" t="n"/>
      <c r="M453" s="177" t="n"/>
      <c r="N453" s="177" t="n"/>
      <c r="O453" s="177" t="n"/>
      <c r="P453" s="177" t="n"/>
      <c r="Q453" s="177" t="n"/>
      <c r="R453" s="177" t="n"/>
      <c r="S453" s="177" t="n"/>
      <c r="T453" s="177" t="n"/>
      <c r="U453" s="177" t="n"/>
      <c r="V453" s="177" t="n"/>
      <c r="W453" s="177" t="n"/>
      <c r="X453" s="177" t="n"/>
      <c r="Y453" s="177" t="n"/>
    </row>
    <row r="454">
      <c r="A454" s="177" t="n"/>
      <c r="B454" s="177" t="n"/>
      <c r="C454" s="177" t="n"/>
      <c r="D454" s="177" t="n"/>
      <c r="E454" s="177" t="n"/>
      <c r="F454" s="177" t="n"/>
      <c r="G454" s="177" t="n"/>
      <c r="H454" s="177" t="n"/>
      <c r="I454" s="177" t="n"/>
      <c r="J454" s="177" t="n"/>
      <c r="K454" s="177" t="n"/>
      <c r="L454" s="177" t="n"/>
      <c r="M454" s="177" t="n"/>
      <c r="N454" s="177" t="n"/>
      <c r="O454" s="177" t="n"/>
      <c r="P454" s="177" t="n"/>
      <c r="Q454" s="177" t="n"/>
      <c r="R454" s="177" t="n"/>
      <c r="S454" s="177" t="n"/>
      <c r="T454" s="177" t="n"/>
      <c r="U454" s="177" t="n"/>
      <c r="V454" s="177" t="n"/>
      <c r="W454" s="177" t="n"/>
      <c r="X454" s="177" t="n"/>
      <c r="Y454" s="177" t="n"/>
    </row>
    <row r="455">
      <c r="A455" s="177" t="n"/>
      <c r="B455" s="177" t="n"/>
      <c r="C455" s="177" t="n"/>
      <c r="D455" s="177" t="n"/>
      <c r="E455" s="177" t="n"/>
      <c r="F455" s="177" t="n"/>
      <c r="G455" s="177" t="n"/>
      <c r="H455" s="177" t="n"/>
      <c r="I455" s="177" t="n"/>
      <c r="J455" s="177" t="n"/>
      <c r="K455" s="177" t="n"/>
      <c r="L455" s="177" t="n"/>
      <c r="M455" s="177" t="n"/>
      <c r="N455" s="177" t="n"/>
      <c r="O455" s="177" t="n"/>
      <c r="P455" s="177" t="n"/>
      <c r="Q455" s="177" t="n"/>
      <c r="R455" s="177" t="n"/>
      <c r="S455" s="177" t="n"/>
      <c r="T455" s="177" t="n"/>
      <c r="U455" s="177" t="n"/>
      <c r="V455" s="177" t="n"/>
      <c r="W455" s="177" t="n"/>
      <c r="X455" s="177" t="n"/>
      <c r="Y455" s="177" t="n"/>
    </row>
    <row r="456">
      <c r="A456" s="177" t="n"/>
      <c r="B456" s="177" t="n"/>
      <c r="C456" s="177" t="n"/>
      <c r="D456" s="177" t="n"/>
      <c r="E456" s="177" t="n"/>
      <c r="F456" s="177" t="n"/>
      <c r="G456" s="177" t="n"/>
      <c r="H456" s="177" t="n"/>
      <c r="I456" s="177" t="n"/>
      <c r="J456" s="177" t="n"/>
      <c r="K456" s="177" t="n"/>
      <c r="L456" s="177" t="n"/>
      <c r="M456" s="177" t="n"/>
      <c r="N456" s="177" t="n"/>
      <c r="O456" s="177" t="n"/>
      <c r="P456" s="177" t="n"/>
      <c r="Q456" s="177" t="n"/>
      <c r="R456" s="177" t="n"/>
      <c r="S456" s="177" t="n"/>
      <c r="T456" s="177" t="n"/>
      <c r="U456" s="177" t="n"/>
      <c r="V456" s="177" t="n"/>
      <c r="W456" s="177" t="n"/>
      <c r="X456" s="177" t="n"/>
      <c r="Y456" s="177" t="n"/>
    </row>
    <row r="457">
      <c r="A457" s="177" t="n"/>
      <c r="B457" s="177" t="n"/>
      <c r="C457" s="177" t="n"/>
      <c r="D457" s="177" t="n"/>
      <c r="E457" s="177" t="n"/>
      <c r="F457" s="177" t="n"/>
      <c r="G457" s="177" t="n"/>
      <c r="H457" s="177" t="n"/>
      <c r="I457" s="177" t="n"/>
      <c r="J457" s="177" t="n"/>
      <c r="K457" s="177" t="n"/>
      <c r="L457" s="177" t="n"/>
      <c r="M457" s="177" t="n"/>
      <c r="N457" s="177" t="n"/>
      <c r="O457" s="177" t="n"/>
      <c r="P457" s="177" t="n"/>
      <c r="Q457" s="177" t="n"/>
      <c r="R457" s="177" t="n"/>
      <c r="S457" s="177" t="n"/>
      <c r="T457" s="177" t="n"/>
      <c r="U457" s="177" t="n"/>
      <c r="V457" s="177" t="n"/>
      <c r="W457" s="177" t="n"/>
      <c r="X457" s="177" t="n"/>
      <c r="Y457" s="177" t="n"/>
    </row>
    <row r="458">
      <c r="A458" s="177" t="n"/>
      <c r="B458" s="177" t="n"/>
      <c r="C458" s="177" t="n"/>
      <c r="D458" s="177" t="n"/>
      <c r="E458" s="177" t="n"/>
      <c r="F458" s="177" t="n"/>
      <c r="G458" s="177" t="n"/>
      <c r="H458" s="177" t="n"/>
      <c r="I458" s="177" t="n"/>
      <c r="J458" s="177" t="n"/>
      <c r="K458" s="177" t="n"/>
      <c r="L458" s="177" t="n"/>
      <c r="M458" s="177" t="n"/>
      <c r="N458" s="177" t="n"/>
      <c r="O458" s="177" t="n"/>
      <c r="P458" s="177" t="n"/>
      <c r="Q458" s="177" t="n"/>
      <c r="R458" s="177" t="n"/>
      <c r="S458" s="177" t="n"/>
      <c r="T458" s="177" t="n"/>
      <c r="U458" s="177" t="n"/>
      <c r="V458" s="177" t="n"/>
      <c r="W458" s="177" t="n"/>
      <c r="X458" s="177" t="n"/>
      <c r="Y458" s="177" t="n"/>
    </row>
    <row r="459">
      <c r="A459" s="177" t="n"/>
      <c r="B459" s="177" t="n"/>
      <c r="C459" s="177" t="n"/>
      <c r="D459" s="177" t="n"/>
      <c r="E459" s="177" t="n"/>
      <c r="F459" s="177" t="n"/>
      <c r="G459" s="177" t="n"/>
      <c r="H459" s="177" t="n"/>
      <c r="I459" s="177" t="n"/>
      <c r="J459" s="177" t="n"/>
      <c r="K459" s="177" t="n"/>
      <c r="L459" s="177" t="n"/>
      <c r="M459" s="177" t="n"/>
      <c r="N459" s="177" t="n"/>
      <c r="O459" s="177" t="n"/>
      <c r="P459" s="177" t="n"/>
      <c r="Q459" s="177" t="n"/>
      <c r="R459" s="177" t="n"/>
      <c r="S459" s="177" t="n"/>
      <c r="T459" s="177" t="n"/>
      <c r="U459" s="177" t="n"/>
      <c r="V459" s="177" t="n"/>
      <c r="W459" s="177" t="n"/>
      <c r="X459" s="177" t="n"/>
      <c r="Y459" s="177" t="n"/>
    </row>
    <row r="460">
      <c r="A460" s="177" t="n"/>
      <c r="B460" s="177" t="n"/>
      <c r="C460" s="177" t="n"/>
      <c r="D460" s="177" t="n"/>
      <c r="E460" s="177" t="n"/>
      <c r="F460" s="177" t="n"/>
      <c r="G460" s="177" t="n"/>
      <c r="H460" s="177" t="n"/>
      <c r="I460" s="177" t="n"/>
      <c r="J460" s="177" t="n"/>
      <c r="K460" s="177" t="n"/>
      <c r="L460" s="177" t="n"/>
      <c r="M460" s="177" t="n"/>
      <c r="N460" s="177" t="n"/>
      <c r="O460" s="177" t="n"/>
      <c r="P460" s="177" t="n"/>
      <c r="Q460" s="177" t="n"/>
      <c r="R460" s="177" t="n"/>
      <c r="S460" s="177" t="n"/>
      <c r="T460" s="177" t="n"/>
      <c r="U460" s="177" t="n"/>
      <c r="V460" s="177" t="n"/>
      <c r="W460" s="177" t="n"/>
      <c r="X460" s="177" t="n"/>
      <c r="Y460" s="177" t="n"/>
    </row>
    <row r="461">
      <c r="A461" s="177" t="n"/>
      <c r="B461" s="177" t="n"/>
      <c r="C461" s="177" t="n"/>
      <c r="D461" s="177" t="n"/>
      <c r="E461" s="177" t="n"/>
      <c r="F461" s="177" t="n"/>
      <c r="G461" s="177" t="n"/>
      <c r="H461" s="177" t="n"/>
      <c r="I461" s="177" t="n"/>
      <c r="J461" s="177" t="n"/>
      <c r="K461" s="177" t="n"/>
      <c r="L461" s="177" t="n"/>
      <c r="M461" s="177" t="n"/>
      <c r="N461" s="177" t="n"/>
      <c r="O461" s="177" t="n"/>
      <c r="P461" s="177" t="n"/>
      <c r="Q461" s="177" t="n"/>
      <c r="R461" s="177" t="n"/>
      <c r="S461" s="177" t="n"/>
      <c r="T461" s="177" t="n"/>
      <c r="U461" s="177" t="n"/>
      <c r="V461" s="177" t="n"/>
      <c r="W461" s="177" t="n"/>
      <c r="X461" s="177" t="n"/>
      <c r="Y461" s="177" t="n"/>
    </row>
    <row r="462">
      <c r="A462" s="177" t="n"/>
      <c r="B462" s="177" t="n"/>
      <c r="C462" s="177" t="n"/>
      <c r="D462" s="177" t="n"/>
      <c r="E462" s="177" t="n"/>
      <c r="F462" s="177" t="n"/>
      <c r="G462" s="177" t="n"/>
      <c r="H462" s="177" t="n"/>
      <c r="I462" s="177" t="n"/>
      <c r="J462" s="177" t="n"/>
      <c r="K462" s="177" t="n"/>
      <c r="L462" s="177" t="n"/>
      <c r="M462" s="177" t="n"/>
      <c r="N462" s="177" t="n"/>
      <c r="O462" s="177" t="n"/>
      <c r="P462" s="177" t="n"/>
      <c r="Q462" s="177" t="n"/>
      <c r="R462" s="177" t="n"/>
      <c r="S462" s="177" t="n"/>
      <c r="T462" s="177" t="n"/>
      <c r="U462" s="177" t="n"/>
      <c r="V462" s="177" t="n"/>
      <c r="W462" s="177" t="n"/>
      <c r="X462" s="177" t="n"/>
      <c r="Y462" s="177" t="n"/>
    </row>
    <row r="463">
      <c r="A463" s="177" t="n"/>
      <c r="B463" s="177" t="n"/>
      <c r="C463" s="177" t="n"/>
      <c r="D463" s="177" t="n"/>
      <c r="E463" s="177" t="n"/>
      <c r="F463" s="177" t="n"/>
      <c r="G463" s="177" t="n"/>
      <c r="H463" s="177" t="n"/>
      <c r="I463" s="177" t="n"/>
      <c r="J463" s="177" t="n"/>
      <c r="K463" s="177" t="n"/>
      <c r="L463" s="177" t="n"/>
      <c r="M463" s="177" t="n"/>
      <c r="N463" s="177" t="n"/>
      <c r="O463" s="177" t="n"/>
      <c r="P463" s="177" t="n"/>
      <c r="Q463" s="177" t="n"/>
      <c r="R463" s="177" t="n"/>
      <c r="S463" s="177" t="n"/>
      <c r="T463" s="177" t="n"/>
      <c r="U463" s="177" t="n"/>
      <c r="V463" s="177" t="n"/>
      <c r="W463" s="177" t="n"/>
      <c r="X463" s="177" t="n"/>
      <c r="Y463" s="177" t="n"/>
    </row>
    <row r="464">
      <c r="A464" s="177" t="n"/>
      <c r="B464" s="177" t="n"/>
      <c r="C464" s="177" t="n"/>
      <c r="D464" s="177" t="n"/>
      <c r="E464" s="177" t="n"/>
      <c r="F464" s="177" t="n"/>
      <c r="G464" s="177" t="n"/>
      <c r="H464" s="177" t="n"/>
      <c r="I464" s="177" t="n"/>
      <c r="J464" s="177" t="n"/>
      <c r="K464" s="177" t="n"/>
      <c r="L464" s="177" t="n"/>
      <c r="M464" s="177" t="n"/>
      <c r="N464" s="177" t="n"/>
      <c r="O464" s="177" t="n"/>
      <c r="P464" s="177" t="n"/>
      <c r="Q464" s="177" t="n"/>
      <c r="R464" s="177" t="n"/>
      <c r="S464" s="177" t="n"/>
      <c r="T464" s="177" t="n"/>
      <c r="U464" s="177" t="n"/>
      <c r="V464" s="177" t="n"/>
      <c r="W464" s="177" t="n"/>
      <c r="X464" s="177" t="n"/>
      <c r="Y464" s="177" t="n"/>
    </row>
    <row r="465">
      <c r="A465" s="177" t="n"/>
      <c r="B465" s="177" t="n"/>
      <c r="C465" s="177" t="n"/>
      <c r="D465" s="177" t="n"/>
      <c r="E465" s="177" t="n"/>
      <c r="F465" s="177" t="n"/>
      <c r="G465" s="177" t="n"/>
      <c r="H465" s="177" t="n"/>
      <c r="I465" s="177" t="n"/>
      <c r="J465" s="177" t="n"/>
      <c r="K465" s="177" t="n"/>
      <c r="L465" s="177" t="n"/>
      <c r="M465" s="177" t="n"/>
      <c r="N465" s="177" t="n"/>
      <c r="O465" s="177" t="n"/>
      <c r="P465" s="177" t="n"/>
      <c r="Q465" s="177" t="n"/>
      <c r="R465" s="177" t="n"/>
      <c r="S465" s="177" t="n"/>
      <c r="T465" s="177" t="n"/>
      <c r="U465" s="177" t="n"/>
      <c r="V465" s="177" t="n"/>
      <c r="W465" s="177" t="n"/>
      <c r="X465" s="177" t="n"/>
      <c r="Y465" s="177" t="n"/>
    </row>
    <row r="466">
      <c r="A466" s="177" t="n"/>
      <c r="B466" s="177" t="n"/>
      <c r="C466" s="177" t="n"/>
      <c r="D466" s="177" t="n"/>
      <c r="E466" s="177" t="n"/>
      <c r="F466" s="177" t="n"/>
      <c r="G466" s="177" t="n"/>
      <c r="H466" s="177" t="n"/>
      <c r="I466" s="177" t="n"/>
      <c r="J466" s="177" t="n"/>
      <c r="K466" s="177" t="n"/>
      <c r="L466" s="177" t="n"/>
      <c r="M466" s="177" t="n"/>
      <c r="N466" s="177" t="n"/>
      <c r="O466" s="177" t="n"/>
      <c r="P466" s="177" t="n"/>
      <c r="Q466" s="177" t="n"/>
      <c r="R466" s="177" t="n"/>
      <c r="S466" s="177" t="n"/>
      <c r="T466" s="177" t="n"/>
      <c r="U466" s="177" t="n"/>
      <c r="V466" s="177" t="n"/>
      <c r="W466" s="177" t="n"/>
      <c r="X466" s="177" t="n"/>
      <c r="Y466" s="177" t="n"/>
    </row>
    <row r="467">
      <c r="A467" s="177" t="n"/>
      <c r="B467" s="177" t="n"/>
      <c r="C467" s="177" t="n"/>
      <c r="D467" s="177" t="n"/>
      <c r="E467" s="177" t="n"/>
      <c r="F467" s="177" t="n"/>
      <c r="G467" s="177" t="n"/>
      <c r="H467" s="177" t="n"/>
      <c r="I467" s="177" t="n"/>
      <c r="J467" s="177" t="n"/>
      <c r="K467" s="177" t="n"/>
      <c r="L467" s="177" t="n"/>
      <c r="M467" s="177" t="n"/>
      <c r="N467" s="177" t="n"/>
      <c r="O467" s="177" t="n"/>
      <c r="P467" s="177" t="n"/>
      <c r="Q467" s="177" t="n"/>
      <c r="R467" s="177" t="n"/>
      <c r="S467" s="177" t="n"/>
      <c r="T467" s="177" t="n"/>
      <c r="U467" s="177" t="n"/>
      <c r="V467" s="177" t="n"/>
      <c r="W467" s="177" t="n"/>
      <c r="X467" s="177" t="n"/>
      <c r="Y467" s="177" t="n"/>
    </row>
    <row r="468">
      <c r="A468" s="177" t="n"/>
      <c r="B468" s="177" t="n"/>
      <c r="C468" s="177" t="n"/>
      <c r="D468" s="177" t="n"/>
      <c r="E468" s="177" t="n"/>
      <c r="F468" s="177" t="n"/>
      <c r="G468" s="177" t="n"/>
      <c r="H468" s="177" t="n"/>
      <c r="I468" s="177" t="n"/>
      <c r="J468" s="177" t="n"/>
      <c r="K468" s="177" t="n"/>
      <c r="L468" s="177" t="n"/>
      <c r="M468" s="177" t="n"/>
      <c r="N468" s="177" t="n"/>
      <c r="O468" s="177" t="n"/>
      <c r="P468" s="177" t="n"/>
      <c r="Q468" s="177" t="n"/>
      <c r="R468" s="177" t="n"/>
      <c r="S468" s="177" t="n"/>
      <c r="T468" s="177" t="n"/>
      <c r="U468" s="177" t="n"/>
      <c r="V468" s="177" t="n"/>
      <c r="W468" s="177" t="n"/>
      <c r="X468" s="177" t="n"/>
      <c r="Y468" s="177" t="n"/>
    </row>
    <row r="469">
      <c r="A469" s="177" t="n"/>
      <c r="B469" s="177" t="n"/>
      <c r="C469" s="177" t="n"/>
      <c r="D469" s="177" t="n"/>
      <c r="E469" s="177" t="n"/>
      <c r="F469" s="177" t="n"/>
      <c r="G469" s="177" t="n"/>
      <c r="H469" s="177" t="n"/>
      <c r="I469" s="177" t="n"/>
      <c r="J469" s="177" t="n"/>
      <c r="K469" s="177" t="n"/>
      <c r="L469" s="177" t="n"/>
      <c r="M469" s="177" t="n"/>
      <c r="N469" s="177" t="n"/>
      <c r="O469" s="177" t="n"/>
      <c r="P469" s="177" t="n"/>
      <c r="Q469" s="177" t="n"/>
      <c r="R469" s="177" t="n"/>
      <c r="S469" s="177" t="n"/>
      <c r="T469" s="177" t="n"/>
      <c r="U469" s="177" t="n"/>
      <c r="V469" s="177" t="n"/>
      <c r="W469" s="177" t="n"/>
      <c r="X469" s="177" t="n"/>
      <c r="Y469" s="177" t="n"/>
    </row>
    <row r="470">
      <c r="A470" s="177" t="n"/>
      <c r="B470" s="177" t="n"/>
      <c r="C470" s="177" t="n"/>
      <c r="D470" s="177" t="n"/>
      <c r="E470" s="177" t="n"/>
      <c r="F470" s="177" t="n"/>
      <c r="G470" s="177" t="n"/>
      <c r="H470" s="177" t="n"/>
      <c r="I470" s="177" t="n"/>
      <c r="J470" s="177" t="n"/>
      <c r="K470" s="177" t="n"/>
      <c r="L470" s="177" t="n"/>
      <c r="M470" s="177" t="n"/>
      <c r="N470" s="177" t="n"/>
      <c r="O470" s="177" t="n"/>
      <c r="P470" s="177" t="n"/>
      <c r="Q470" s="177" t="n"/>
      <c r="R470" s="177" t="n"/>
      <c r="S470" s="177" t="n"/>
      <c r="T470" s="177" t="n"/>
      <c r="U470" s="177" t="n"/>
      <c r="V470" s="177" t="n"/>
      <c r="W470" s="177" t="n"/>
      <c r="X470" s="177" t="n"/>
      <c r="Y470" s="177" t="n"/>
    </row>
    <row r="471">
      <c r="A471" s="177" t="n"/>
      <c r="B471" s="177" t="n"/>
      <c r="C471" s="177" t="n"/>
      <c r="D471" s="177" t="n"/>
      <c r="E471" s="177" t="n"/>
      <c r="F471" s="177" t="n"/>
      <c r="G471" s="177" t="n"/>
      <c r="H471" s="177" t="n"/>
      <c r="I471" s="177" t="n"/>
      <c r="J471" s="177" t="n"/>
      <c r="K471" s="177" t="n"/>
      <c r="L471" s="177" t="n"/>
      <c r="M471" s="177" t="n"/>
      <c r="N471" s="177" t="n"/>
      <c r="O471" s="177" t="n"/>
      <c r="P471" s="177" t="n"/>
      <c r="Q471" s="177" t="n"/>
      <c r="R471" s="177" t="n"/>
      <c r="S471" s="177" t="n"/>
      <c r="T471" s="177" t="n"/>
      <c r="U471" s="177" t="n"/>
      <c r="V471" s="177" t="n"/>
      <c r="W471" s="177" t="n"/>
      <c r="X471" s="177" t="n"/>
      <c r="Y471" s="177" t="n"/>
    </row>
    <row r="472">
      <c r="A472" s="177" t="n"/>
      <c r="B472" s="177" t="n"/>
      <c r="C472" s="177" t="n"/>
      <c r="D472" s="177" t="n"/>
      <c r="E472" s="177" t="n"/>
      <c r="F472" s="177" t="n"/>
      <c r="G472" s="177" t="n"/>
      <c r="H472" s="177" t="n"/>
      <c r="I472" s="177" t="n"/>
      <c r="J472" s="177" t="n"/>
      <c r="K472" s="177" t="n"/>
      <c r="L472" s="177" t="n"/>
      <c r="M472" s="177" t="n"/>
      <c r="N472" s="177" t="n"/>
      <c r="O472" s="177" t="n"/>
      <c r="P472" s="177" t="n"/>
      <c r="Q472" s="177" t="n"/>
      <c r="R472" s="177" t="n"/>
      <c r="S472" s="177" t="n"/>
      <c r="T472" s="177" t="n"/>
      <c r="U472" s="177" t="n"/>
      <c r="V472" s="177" t="n"/>
      <c r="W472" s="177" t="n"/>
      <c r="X472" s="177" t="n"/>
      <c r="Y472" s="177" t="n"/>
    </row>
    <row r="473">
      <c r="A473" s="177" t="n"/>
      <c r="B473" s="177" t="n"/>
      <c r="C473" s="177" t="n"/>
      <c r="D473" s="177" t="n"/>
      <c r="E473" s="177" t="n"/>
      <c r="F473" s="177" t="n"/>
      <c r="G473" s="177" t="n"/>
      <c r="H473" s="177" t="n"/>
      <c r="I473" s="177" t="n"/>
      <c r="J473" s="177" t="n"/>
      <c r="K473" s="177" t="n"/>
      <c r="L473" s="177" t="n"/>
      <c r="M473" s="177" t="n"/>
      <c r="N473" s="177" t="n"/>
      <c r="O473" s="177" t="n"/>
      <c r="P473" s="177" t="n"/>
      <c r="Q473" s="177" t="n"/>
      <c r="R473" s="177" t="n"/>
      <c r="S473" s="177" t="n"/>
      <c r="T473" s="177" t="n"/>
      <c r="U473" s="177" t="n"/>
      <c r="V473" s="177" t="n"/>
      <c r="W473" s="177" t="n"/>
      <c r="X473" s="177" t="n"/>
      <c r="Y473" s="177" t="n"/>
    </row>
    <row r="474">
      <c r="A474" s="177" t="n"/>
      <c r="B474" s="177" t="n"/>
      <c r="C474" s="177" t="n"/>
      <c r="D474" s="177" t="n"/>
      <c r="E474" s="177" t="n"/>
      <c r="F474" s="177" t="n"/>
      <c r="G474" s="177" t="n"/>
      <c r="H474" s="177" t="n"/>
      <c r="I474" s="177" t="n"/>
      <c r="J474" s="177" t="n"/>
      <c r="K474" s="177" t="n"/>
      <c r="L474" s="177" t="n"/>
      <c r="M474" s="177" t="n"/>
      <c r="N474" s="177" t="n"/>
      <c r="O474" s="177" t="n"/>
      <c r="P474" s="177" t="n"/>
      <c r="Q474" s="177" t="n"/>
      <c r="R474" s="177" t="n"/>
      <c r="S474" s="177" t="n"/>
      <c r="T474" s="177" t="n"/>
      <c r="U474" s="177" t="n"/>
      <c r="V474" s="177" t="n"/>
      <c r="W474" s="177" t="n"/>
      <c r="X474" s="177" t="n"/>
      <c r="Y474" s="177" t="n"/>
    </row>
    <row r="475">
      <c r="A475" s="177" t="n"/>
      <c r="B475" s="177" t="n"/>
      <c r="C475" s="177" t="n"/>
      <c r="D475" s="177" t="n"/>
      <c r="E475" s="177" t="n"/>
      <c r="F475" s="177" t="n"/>
      <c r="G475" s="177" t="n"/>
      <c r="H475" s="177" t="n"/>
      <c r="I475" s="177" t="n"/>
      <c r="J475" s="177" t="n"/>
      <c r="K475" s="177" t="n"/>
      <c r="L475" s="177" t="n"/>
      <c r="M475" s="177" t="n"/>
      <c r="N475" s="177" t="n"/>
      <c r="O475" s="177" t="n"/>
      <c r="P475" s="177" t="n"/>
      <c r="Q475" s="177" t="n"/>
      <c r="R475" s="177" t="n"/>
      <c r="S475" s="177" t="n"/>
      <c r="T475" s="177" t="n"/>
      <c r="U475" s="177" t="n"/>
      <c r="V475" s="177" t="n"/>
      <c r="W475" s="177" t="n"/>
      <c r="X475" s="177" t="n"/>
      <c r="Y475" s="177" t="n"/>
    </row>
    <row r="476">
      <c r="A476" s="177" t="n"/>
      <c r="B476" s="177" t="n"/>
      <c r="C476" s="177" t="n"/>
      <c r="D476" s="177" t="n"/>
      <c r="E476" s="177" t="n"/>
      <c r="F476" s="177" t="n"/>
      <c r="G476" s="177" t="n"/>
      <c r="H476" s="177" t="n"/>
      <c r="I476" s="177" t="n"/>
      <c r="J476" s="177" t="n"/>
      <c r="K476" s="177" t="n"/>
      <c r="L476" s="177" t="n"/>
      <c r="M476" s="177" t="n"/>
      <c r="N476" s="177" t="n"/>
      <c r="O476" s="177" t="n"/>
      <c r="P476" s="177" t="n"/>
      <c r="Q476" s="177" t="n"/>
      <c r="R476" s="177" t="n"/>
      <c r="S476" s="177" t="n"/>
      <c r="T476" s="177" t="n"/>
      <c r="U476" s="177" t="n"/>
      <c r="V476" s="177" t="n"/>
      <c r="W476" s="177" t="n"/>
      <c r="X476" s="177" t="n"/>
      <c r="Y476" s="177" t="n"/>
    </row>
    <row r="477">
      <c r="A477" s="177" t="n"/>
      <c r="B477" s="177" t="n"/>
      <c r="C477" s="177" t="n"/>
      <c r="D477" s="177" t="n"/>
      <c r="E477" s="177" t="n"/>
      <c r="F477" s="177" t="n"/>
      <c r="G477" s="177" t="n"/>
      <c r="H477" s="177" t="n"/>
      <c r="I477" s="177" t="n"/>
      <c r="J477" s="177" t="n"/>
      <c r="K477" s="177" t="n"/>
      <c r="L477" s="177" t="n"/>
      <c r="M477" s="177" t="n"/>
      <c r="N477" s="177" t="n"/>
      <c r="O477" s="177" t="n"/>
      <c r="P477" s="177" t="n"/>
      <c r="Q477" s="177" t="n"/>
      <c r="R477" s="177" t="n"/>
      <c r="S477" s="177" t="n"/>
      <c r="T477" s="177" t="n"/>
      <c r="U477" s="177" t="n"/>
      <c r="V477" s="177" t="n"/>
      <c r="W477" s="177" t="n"/>
      <c r="X477" s="177" t="n"/>
      <c r="Y477" s="177" t="n"/>
    </row>
    <row r="478">
      <c r="A478" s="177" t="n"/>
      <c r="B478" s="177" t="n"/>
      <c r="C478" s="177" t="n"/>
      <c r="D478" s="177" t="n"/>
      <c r="E478" s="177" t="n"/>
      <c r="F478" s="177" t="n"/>
      <c r="G478" s="177" t="n"/>
      <c r="H478" s="177" t="n"/>
      <c r="I478" s="177" t="n"/>
      <c r="J478" s="177" t="n"/>
      <c r="K478" s="177" t="n"/>
      <c r="L478" s="177" t="n"/>
      <c r="M478" s="177" t="n"/>
      <c r="N478" s="177" t="n"/>
      <c r="O478" s="177" t="n"/>
      <c r="P478" s="177" t="n"/>
      <c r="Q478" s="177" t="n"/>
      <c r="R478" s="177" t="n"/>
      <c r="S478" s="177" t="n"/>
      <c r="T478" s="177" t="n"/>
      <c r="U478" s="177" t="n"/>
      <c r="V478" s="177" t="n"/>
      <c r="W478" s="177" t="n"/>
      <c r="X478" s="177" t="n"/>
      <c r="Y478" s="177" t="n"/>
    </row>
    <row r="479">
      <c r="A479" s="177" t="n"/>
      <c r="B479" s="177" t="n"/>
      <c r="C479" s="177" t="n"/>
      <c r="D479" s="177" t="n"/>
      <c r="E479" s="177" t="n"/>
      <c r="F479" s="177" t="n"/>
      <c r="G479" s="177" t="n"/>
      <c r="H479" s="177" t="n"/>
      <c r="I479" s="177" t="n"/>
      <c r="J479" s="177" t="n"/>
      <c r="K479" s="177" t="n"/>
      <c r="L479" s="177" t="n"/>
      <c r="M479" s="177" t="n"/>
      <c r="N479" s="177" t="n"/>
      <c r="O479" s="177" t="n"/>
      <c r="P479" s="177" t="n"/>
      <c r="Q479" s="177" t="n"/>
      <c r="R479" s="177" t="n"/>
      <c r="S479" s="177" t="n"/>
      <c r="T479" s="177" t="n"/>
      <c r="U479" s="177" t="n"/>
      <c r="V479" s="177" t="n"/>
      <c r="W479" s="177" t="n"/>
      <c r="X479" s="177" t="n"/>
      <c r="Y479" s="177" t="n"/>
    </row>
    <row r="480">
      <c r="A480" s="177" t="n"/>
      <c r="B480" s="177" t="n"/>
      <c r="C480" s="177" t="n"/>
      <c r="D480" s="177" t="n"/>
      <c r="E480" s="177" t="n"/>
      <c r="F480" s="177" t="n"/>
      <c r="G480" s="177" t="n"/>
      <c r="H480" s="177" t="n"/>
      <c r="I480" s="177" t="n"/>
      <c r="J480" s="177" t="n"/>
      <c r="K480" s="177" t="n"/>
      <c r="L480" s="177" t="n"/>
      <c r="M480" s="177" t="n"/>
      <c r="N480" s="177" t="n"/>
      <c r="O480" s="177" t="n"/>
      <c r="P480" s="177" t="n"/>
      <c r="Q480" s="177" t="n"/>
      <c r="R480" s="177" t="n"/>
      <c r="S480" s="177" t="n"/>
      <c r="T480" s="177" t="n"/>
      <c r="U480" s="177" t="n"/>
      <c r="V480" s="177" t="n"/>
      <c r="W480" s="177" t="n"/>
      <c r="X480" s="177" t="n"/>
      <c r="Y480" s="177" t="n"/>
    </row>
    <row r="481">
      <c r="A481" s="177" t="n"/>
      <c r="B481" s="177" t="n"/>
      <c r="C481" s="177" t="n"/>
      <c r="D481" s="177" t="n"/>
      <c r="E481" s="177" t="n"/>
      <c r="F481" s="177" t="n"/>
      <c r="G481" s="177" t="n"/>
      <c r="H481" s="177" t="n"/>
      <c r="I481" s="177" t="n"/>
      <c r="J481" s="177" t="n"/>
      <c r="K481" s="177" t="n"/>
      <c r="L481" s="177" t="n"/>
      <c r="M481" s="177" t="n"/>
      <c r="N481" s="177" t="n"/>
      <c r="O481" s="177" t="n"/>
      <c r="P481" s="177" t="n"/>
      <c r="Q481" s="177" t="n"/>
      <c r="R481" s="177" t="n"/>
      <c r="S481" s="177" t="n"/>
      <c r="T481" s="177" t="n"/>
      <c r="U481" s="177" t="n"/>
      <c r="V481" s="177" t="n"/>
      <c r="W481" s="177" t="n"/>
      <c r="X481" s="177" t="n"/>
      <c r="Y481" s="177" t="n"/>
    </row>
    <row r="482">
      <c r="A482" s="177" t="n"/>
      <c r="B482" s="177" t="n"/>
      <c r="C482" s="177" t="n"/>
      <c r="D482" s="177" t="n"/>
      <c r="E482" s="177" t="n"/>
      <c r="F482" s="177" t="n"/>
      <c r="G482" s="177" t="n"/>
      <c r="H482" s="177" t="n"/>
      <c r="I482" s="177" t="n"/>
      <c r="J482" s="177" t="n"/>
      <c r="K482" s="177" t="n"/>
      <c r="L482" s="177" t="n"/>
      <c r="M482" s="177" t="n"/>
      <c r="N482" s="177" t="n"/>
      <c r="O482" s="177" t="n"/>
      <c r="P482" s="177" t="n"/>
      <c r="Q482" s="177" t="n"/>
      <c r="R482" s="177" t="n"/>
      <c r="S482" s="177" t="n"/>
      <c r="T482" s="177" t="n"/>
      <c r="U482" s="177" t="n"/>
      <c r="V482" s="177" t="n"/>
      <c r="W482" s="177" t="n"/>
      <c r="X482" s="177" t="n"/>
      <c r="Y482" s="177" t="n"/>
    </row>
    <row r="483">
      <c r="A483" s="177" t="n"/>
      <c r="B483" s="177" t="n"/>
      <c r="C483" s="177" t="n"/>
      <c r="D483" s="177" t="n"/>
      <c r="E483" s="177" t="n"/>
      <c r="F483" s="177" t="n"/>
      <c r="G483" s="177" t="n"/>
      <c r="H483" s="177" t="n"/>
      <c r="I483" s="177" t="n"/>
      <c r="J483" s="177" t="n"/>
      <c r="K483" s="177" t="n"/>
      <c r="L483" s="177" t="n"/>
      <c r="M483" s="177" t="n"/>
      <c r="N483" s="177" t="n"/>
      <c r="O483" s="177" t="n"/>
      <c r="P483" s="177" t="n"/>
      <c r="Q483" s="177" t="n"/>
      <c r="R483" s="177" t="n"/>
      <c r="S483" s="177" t="n"/>
      <c r="T483" s="177" t="n"/>
      <c r="U483" s="177" t="n"/>
      <c r="V483" s="177" t="n"/>
      <c r="W483" s="177" t="n"/>
      <c r="X483" s="177" t="n"/>
      <c r="Y483" s="177" t="n"/>
    </row>
    <row r="484">
      <c r="A484" s="177" t="n"/>
      <c r="B484" s="177" t="n"/>
      <c r="C484" s="177" t="n"/>
      <c r="D484" s="177" t="n"/>
      <c r="E484" s="177" t="n"/>
      <c r="F484" s="177" t="n"/>
      <c r="G484" s="177" t="n"/>
      <c r="H484" s="177" t="n"/>
      <c r="I484" s="177" t="n"/>
      <c r="J484" s="177" t="n"/>
      <c r="K484" s="177" t="n"/>
      <c r="L484" s="177" t="n"/>
      <c r="M484" s="177" t="n"/>
      <c r="N484" s="177" t="n"/>
      <c r="O484" s="177" t="n"/>
      <c r="P484" s="177" t="n"/>
      <c r="Q484" s="177" t="n"/>
      <c r="R484" s="177" t="n"/>
      <c r="S484" s="177" t="n"/>
      <c r="T484" s="177" t="n"/>
      <c r="U484" s="177" t="n"/>
      <c r="V484" s="177" t="n"/>
      <c r="W484" s="177" t="n"/>
      <c r="X484" s="177" t="n"/>
      <c r="Y484" s="177" t="n"/>
    </row>
    <row r="485">
      <c r="A485" s="177" t="n"/>
      <c r="B485" s="177" t="n"/>
      <c r="C485" s="177" t="n"/>
      <c r="D485" s="177" t="n"/>
      <c r="E485" s="177" t="n"/>
      <c r="F485" s="177" t="n"/>
      <c r="G485" s="177" t="n"/>
      <c r="H485" s="177" t="n"/>
      <c r="I485" s="177" t="n"/>
      <c r="J485" s="177" t="n"/>
      <c r="K485" s="177" t="n"/>
      <c r="L485" s="177" t="n"/>
      <c r="M485" s="177" t="n"/>
      <c r="N485" s="177" t="n"/>
      <c r="O485" s="177" t="n"/>
      <c r="P485" s="177" t="n"/>
      <c r="Q485" s="177" t="n"/>
      <c r="R485" s="177" t="n"/>
      <c r="S485" s="177" t="n"/>
      <c r="T485" s="177" t="n"/>
      <c r="U485" s="177" t="n"/>
      <c r="V485" s="177" t="n"/>
      <c r="W485" s="177" t="n"/>
      <c r="X485" s="177" t="n"/>
      <c r="Y485" s="177" t="n"/>
    </row>
    <row r="486">
      <c r="A486" s="177" t="n"/>
      <c r="B486" s="177" t="n"/>
      <c r="C486" s="177" t="n"/>
      <c r="D486" s="177" t="n"/>
      <c r="E486" s="177" t="n"/>
      <c r="F486" s="177" t="n"/>
      <c r="G486" s="177" t="n"/>
      <c r="H486" s="177" t="n"/>
      <c r="I486" s="177" t="n"/>
      <c r="J486" s="177" t="n"/>
      <c r="K486" s="177" t="n"/>
      <c r="L486" s="177" t="n"/>
      <c r="M486" s="177" t="n"/>
      <c r="N486" s="177" t="n"/>
      <c r="O486" s="177" t="n"/>
      <c r="P486" s="177" t="n"/>
      <c r="Q486" s="177" t="n"/>
      <c r="R486" s="177" t="n"/>
      <c r="S486" s="177" t="n"/>
      <c r="T486" s="177" t="n"/>
      <c r="U486" s="177" t="n"/>
      <c r="V486" s="177" t="n"/>
      <c r="W486" s="177" t="n"/>
      <c r="X486" s="177" t="n"/>
      <c r="Y486" s="177" t="n"/>
    </row>
    <row r="487">
      <c r="A487" s="177" t="n"/>
      <c r="B487" s="177" t="n"/>
      <c r="C487" s="177" t="n"/>
      <c r="D487" s="177" t="n"/>
      <c r="E487" s="177" t="n"/>
      <c r="F487" s="177" t="n"/>
      <c r="G487" s="177" t="n"/>
      <c r="H487" s="177" t="n"/>
      <c r="I487" s="177" t="n"/>
      <c r="J487" s="177" t="n"/>
      <c r="K487" s="177" t="n"/>
      <c r="L487" s="177" t="n"/>
      <c r="M487" s="177" t="n"/>
      <c r="N487" s="177" t="n"/>
      <c r="O487" s="177" t="n"/>
      <c r="P487" s="177" t="n"/>
      <c r="Q487" s="177" t="n"/>
      <c r="R487" s="177" t="n"/>
      <c r="S487" s="177" t="n"/>
      <c r="T487" s="177" t="n"/>
      <c r="U487" s="177" t="n"/>
      <c r="V487" s="177" t="n"/>
      <c r="W487" s="177" t="n"/>
      <c r="X487" s="177" t="n"/>
      <c r="Y487" s="177" t="n"/>
    </row>
    <row r="488">
      <c r="A488" s="177" t="n"/>
      <c r="B488" s="177" t="n"/>
      <c r="C488" s="177" t="n"/>
      <c r="D488" s="177" t="n"/>
      <c r="E488" s="177" t="n"/>
      <c r="F488" s="177" t="n"/>
      <c r="G488" s="177" t="n"/>
      <c r="H488" s="177" t="n"/>
      <c r="I488" s="177" t="n"/>
      <c r="J488" s="177" t="n"/>
      <c r="K488" s="177" t="n"/>
      <c r="L488" s="177" t="n"/>
      <c r="M488" s="177" t="n"/>
      <c r="N488" s="177" t="n"/>
      <c r="O488" s="177" t="n"/>
      <c r="P488" s="177" t="n"/>
      <c r="Q488" s="177" t="n"/>
      <c r="R488" s="177" t="n"/>
      <c r="S488" s="177" t="n"/>
      <c r="T488" s="177" t="n"/>
      <c r="U488" s="177" t="n"/>
      <c r="V488" s="177" t="n"/>
      <c r="W488" s="177" t="n"/>
      <c r="X488" s="177" t="n"/>
      <c r="Y488" s="177" t="n"/>
    </row>
    <row r="489">
      <c r="A489" s="177" t="n"/>
      <c r="B489" s="177" t="n"/>
      <c r="C489" s="177" t="n"/>
      <c r="D489" s="177" t="n"/>
      <c r="E489" s="177" t="n"/>
      <c r="F489" s="177" t="n"/>
      <c r="G489" s="177" t="n"/>
      <c r="H489" s="177" t="n"/>
      <c r="I489" s="177" t="n"/>
      <c r="J489" s="177" t="n"/>
      <c r="K489" s="177" t="n"/>
      <c r="L489" s="177" t="n"/>
      <c r="M489" s="177" t="n"/>
      <c r="N489" s="177" t="n"/>
      <c r="O489" s="177" t="n"/>
      <c r="P489" s="177" t="n"/>
      <c r="Q489" s="177" t="n"/>
      <c r="R489" s="177" t="n"/>
      <c r="S489" s="177" t="n"/>
      <c r="T489" s="177" t="n"/>
      <c r="U489" s="177" t="n"/>
      <c r="V489" s="177" t="n"/>
      <c r="W489" s="177" t="n"/>
      <c r="X489" s="177" t="n"/>
      <c r="Y489" s="177" t="n"/>
    </row>
    <row r="490">
      <c r="A490" s="177" t="n"/>
      <c r="B490" s="177" t="n"/>
      <c r="C490" s="177" t="n"/>
      <c r="D490" s="177" t="n"/>
      <c r="E490" s="177" t="n"/>
      <c r="F490" s="177" t="n"/>
      <c r="G490" s="177" t="n"/>
      <c r="H490" s="177" t="n"/>
      <c r="I490" s="177" t="n"/>
      <c r="J490" s="177" t="n"/>
      <c r="K490" s="177" t="n"/>
      <c r="L490" s="177" t="n"/>
      <c r="M490" s="177" t="n"/>
      <c r="N490" s="177" t="n"/>
      <c r="O490" s="177" t="n"/>
      <c r="P490" s="177" t="n"/>
      <c r="Q490" s="177" t="n"/>
      <c r="R490" s="177" t="n"/>
      <c r="S490" s="177" t="n"/>
      <c r="T490" s="177" t="n"/>
      <c r="U490" s="177" t="n"/>
      <c r="V490" s="177" t="n"/>
      <c r="W490" s="177" t="n"/>
      <c r="X490" s="177" t="n"/>
      <c r="Y490" s="177" t="n"/>
    </row>
    <row r="491">
      <c r="A491" s="177" t="n"/>
      <c r="B491" s="177" t="n"/>
      <c r="C491" s="177" t="n"/>
      <c r="D491" s="177" t="n"/>
      <c r="E491" s="177" t="n"/>
      <c r="F491" s="177" t="n"/>
      <c r="G491" s="177" t="n"/>
      <c r="H491" s="177" t="n"/>
      <c r="I491" s="177" t="n"/>
      <c r="J491" s="177" t="n"/>
      <c r="K491" s="177" t="n"/>
      <c r="L491" s="177" t="n"/>
      <c r="M491" s="177" t="n"/>
      <c r="N491" s="177" t="n"/>
      <c r="O491" s="177" t="n"/>
      <c r="P491" s="177" t="n"/>
      <c r="Q491" s="177" t="n"/>
      <c r="R491" s="177" t="n"/>
      <c r="S491" s="177" t="n"/>
      <c r="T491" s="177" t="n"/>
      <c r="U491" s="177" t="n"/>
      <c r="V491" s="177" t="n"/>
      <c r="W491" s="177" t="n"/>
      <c r="X491" s="177" t="n"/>
      <c r="Y491" s="177" t="n"/>
    </row>
    <row r="492">
      <c r="A492" s="177" t="n"/>
      <c r="B492" s="177" t="n"/>
      <c r="C492" s="177" t="n"/>
      <c r="D492" s="177" t="n"/>
      <c r="E492" s="177" t="n"/>
      <c r="F492" s="177" t="n"/>
      <c r="G492" s="177" t="n"/>
      <c r="H492" s="177" t="n"/>
      <c r="I492" s="177" t="n"/>
      <c r="J492" s="177" t="n"/>
      <c r="K492" s="177" t="n"/>
      <c r="L492" s="177" t="n"/>
      <c r="M492" s="177" t="n"/>
      <c r="N492" s="177" t="n"/>
      <c r="O492" s="177" t="n"/>
      <c r="P492" s="177" t="n"/>
      <c r="Q492" s="177" t="n"/>
      <c r="R492" s="177" t="n"/>
      <c r="S492" s="177" t="n"/>
      <c r="T492" s="177" t="n"/>
      <c r="U492" s="177" t="n"/>
      <c r="V492" s="177" t="n"/>
      <c r="W492" s="177" t="n"/>
      <c r="X492" s="177" t="n"/>
      <c r="Y492" s="177" t="n"/>
    </row>
    <row r="493">
      <c r="A493" s="177" t="n"/>
      <c r="B493" s="177" t="n"/>
      <c r="C493" s="177" t="n"/>
      <c r="D493" s="177" t="n"/>
      <c r="E493" s="177" t="n"/>
      <c r="F493" s="177" t="n"/>
      <c r="G493" s="177" t="n"/>
      <c r="H493" s="177" t="n"/>
      <c r="I493" s="177" t="n"/>
      <c r="J493" s="177" t="n"/>
      <c r="K493" s="177" t="n"/>
      <c r="L493" s="177" t="n"/>
      <c r="M493" s="177" t="n"/>
      <c r="N493" s="177" t="n"/>
      <c r="O493" s="177" t="n"/>
      <c r="P493" s="177" t="n"/>
      <c r="Q493" s="177" t="n"/>
      <c r="R493" s="177" t="n"/>
      <c r="S493" s="177" t="n"/>
      <c r="T493" s="177" t="n"/>
      <c r="U493" s="177" t="n"/>
      <c r="V493" s="177" t="n"/>
      <c r="W493" s="177" t="n"/>
      <c r="X493" s="177" t="n"/>
      <c r="Y493" s="177" t="n"/>
    </row>
    <row r="494">
      <c r="A494" s="177" t="n"/>
      <c r="B494" s="177" t="n"/>
      <c r="C494" s="177" t="n"/>
      <c r="D494" s="177" t="n"/>
      <c r="E494" s="177" t="n"/>
      <c r="F494" s="177" t="n"/>
      <c r="G494" s="177" t="n"/>
      <c r="H494" s="177" t="n"/>
      <c r="I494" s="177" t="n"/>
      <c r="J494" s="177" t="n"/>
      <c r="K494" s="177" t="n"/>
      <c r="L494" s="177" t="n"/>
      <c r="M494" s="177" t="n"/>
      <c r="N494" s="177" t="n"/>
      <c r="O494" s="177" t="n"/>
      <c r="P494" s="177" t="n"/>
      <c r="Q494" s="177" t="n"/>
      <c r="R494" s="177" t="n"/>
      <c r="S494" s="177" t="n"/>
      <c r="T494" s="177" t="n"/>
      <c r="U494" s="177" t="n"/>
      <c r="V494" s="177" t="n"/>
      <c r="W494" s="177" t="n"/>
      <c r="X494" s="177" t="n"/>
      <c r="Y494" s="177" t="n"/>
    </row>
    <row r="495">
      <c r="A495" s="177" t="n"/>
      <c r="B495" s="177" t="n"/>
      <c r="C495" s="177" t="n"/>
      <c r="D495" s="177" t="n"/>
      <c r="E495" s="177" t="n"/>
      <c r="F495" s="177" t="n"/>
      <c r="G495" s="177" t="n"/>
      <c r="H495" s="177" t="n"/>
      <c r="I495" s="177" t="n"/>
      <c r="J495" s="177" t="n"/>
      <c r="K495" s="177" t="n"/>
      <c r="L495" s="177" t="n"/>
      <c r="M495" s="177" t="n"/>
      <c r="N495" s="177" t="n"/>
      <c r="O495" s="177" t="n"/>
      <c r="P495" s="177" t="n"/>
      <c r="Q495" s="177" t="n"/>
      <c r="R495" s="177" t="n"/>
      <c r="S495" s="177" t="n"/>
      <c r="T495" s="177" t="n"/>
      <c r="U495" s="177" t="n"/>
      <c r="V495" s="177" t="n"/>
      <c r="W495" s="177" t="n"/>
      <c r="X495" s="177" t="n"/>
      <c r="Y495" s="177" t="n"/>
    </row>
    <row r="496">
      <c r="A496" s="177" t="n"/>
      <c r="B496" s="177" t="n"/>
      <c r="C496" s="177" t="n"/>
      <c r="D496" s="177" t="n"/>
      <c r="E496" s="177" t="n"/>
      <c r="F496" s="177" t="n"/>
      <c r="G496" s="177" t="n"/>
      <c r="H496" s="177" t="n"/>
      <c r="I496" s="177" t="n"/>
      <c r="J496" s="177" t="n"/>
      <c r="K496" s="177" t="n"/>
      <c r="L496" s="177" t="n"/>
      <c r="M496" s="177" t="n"/>
      <c r="N496" s="177" t="n"/>
      <c r="O496" s="177" t="n"/>
      <c r="P496" s="177" t="n"/>
      <c r="Q496" s="177" t="n"/>
      <c r="R496" s="177" t="n"/>
      <c r="S496" s="177" t="n"/>
      <c r="T496" s="177" t="n"/>
      <c r="U496" s="177" t="n"/>
      <c r="V496" s="177" t="n"/>
      <c r="W496" s="177" t="n"/>
      <c r="X496" s="177" t="n"/>
      <c r="Y496" s="177" t="n"/>
    </row>
    <row r="497">
      <c r="A497" s="177" t="n"/>
      <c r="B497" s="177" t="n"/>
      <c r="C497" s="177" t="n"/>
      <c r="D497" s="177" t="n"/>
      <c r="E497" s="177" t="n"/>
      <c r="F497" s="177" t="n"/>
      <c r="G497" s="177" t="n"/>
      <c r="H497" s="177" t="n"/>
      <c r="I497" s="177" t="n"/>
      <c r="J497" s="177" t="n"/>
      <c r="K497" s="177" t="n"/>
      <c r="L497" s="177" t="n"/>
      <c r="M497" s="177" t="n"/>
      <c r="N497" s="177" t="n"/>
      <c r="O497" s="177" t="n"/>
      <c r="P497" s="177" t="n"/>
      <c r="Q497" s="177" t="n"/>
      <c r="R497" s="177" t="n"/>
      <c r="S497" s="177" t="n"/>
      <c r="T497" s="177" t="n"/>
      <c r="U497" s="177" t="n"/>
      <c r="V497" s="177" t="n"/>
      <c r="W497" s="177" t="n"/>
      <c r="X497" s="177" t="n"/>
      <c r="Y497" s="177" t="n"/>
    </row>
    <row r="498">
      <c r="A498" s="177" t="n"/>
      <c r="B498" s="177" t="n"/>
      <c r="C498" s="177" t="n"/>
      <c r="D498" s="177" t="n"/>
      <c r="E498" s="177" t="n"/>
      <c r="F498" s="177" t="n"/>
      <c r="G498" s="177" t="n"/>
      <c r="H498" s="177" t="n"/>
      <c r="I498" s="177" t="n"/>
      <c r="J498" s="177" t="n"/>
      <c r="K498" s="177" t="n"/>
      <c r="L498" s="177" t="n"/>
      <c r="M498" s="177" t="n"/>
      <c r="N498" s="177" t="n"/>
      <c r="O498" s="177" t="n"/>
      <c r="P498" s="177" t="n"/>
      <c r="Q498" s="177" t="n"/>
      <c r="R498" s="177" t="n"/>
      <c r="S498" s="177" t="n"/>
      <c r="T498" s="177" t="n"/>
      <c r="U498" s="177" t="n"/>
      <c r="V498" s="177" t="n"/>
      <c r="W498" s="177" t="n"/>
      <c r="X498" s="177" t="n"/>
      <c r="Y498" s="177" t="n"/>
    </row>
    <row r="499">
      <c r="A499" s="177" t="n"/>
      <c r="B499" s="177" t="n"/>
      <c r="C499" s="177" t="n"/>
      <c r="D499" s="177" t="n"/>
      <c r="E499" s="177" t="n"/>
      <c r="F499" s="177" t="n"/>
      <c r="G499" s="177" t="n"/>
      <c r="H499" s="177" t="n"/>
      <c r="I499" s="177" t="n"/>
      <c r="J499" s="177" t="n"/>
      <c r="K499" s="177" t="n"/>
      <c r="L499" s="177" t="n"/>
      <c r="M499" s="177" t="n"/>
      <c r="N499" s="177" t="n"/>
      <c r="O499" s="177" t="n"/>
      <c r="P499" s="177" t="n"/>
      <c r="Q499" s="177" t="n"/>
      <c r="R499" s="177" t="n"/>
      <c r="S499" s="177" t="n"/>
      <c r="T499" s="177" t="n"/>
      <c r="U499" s="177" t="n"/>
      <c r="V499" s="177" t="n"/>
      <c r="W499" s="177" t="n"/>
      <c r="X499" s="177" t="n"/>
      <c r="Y499" s="177" t="n"/>
    </row>
    <row r="500">
      <c r="A500" s="177" t="n"/>
      <c r="B500" s="177" t="n"/>
      <c r="C500" s="177" t="n"/>
      <c r="D500" s="177" t="n"/>
      <c r="E500" s="177" t="n"/>
      <c r="F500" s="177" t="n"/>
      <c r="G500" s="177" t="n"/>
      <c r="H500" s="177" t="n"/>
      <c r="I500" s="177" t="n"/>
      <c r="J500" s="177" t="n"/>
      <c r="K500" s="177" t="n"/>
      <c r="L500" s="177" t="n"/>
      <c r="M500" s="177" t="n"/>
      <c r="N500" s="177" t="n"/>
      <c r="O500" s="177" t="n"/>
      <c r="P500" s="177" t="n"/>
      <c r="Q500" s="177" t="n"/>
      <c r="R500" s="177" t="n"/>
      <c r="S500" s="177" t="n"/>
      <c r="T500" s="177" t="n"/>
      <c r="U500" s="177" t="n"/>
      <c r="V500" s="177" t="n"/>
      <c r="W500" s="177" t="n"/>
      <c r="X500" s="177" t="n"/>
      <c r="Y500" s="177" t="n"/>
    </row>
    <row r="501">
      <c r="A501" s="177" t="n"/>
      <c r="B501" s="177" t="n"/>
      <c r="C501" s="177" t="n"/>
      <c r="D501" s="177" t="n"/>
      <c r="E501" s="177" t="n"/>
      <c r="F501" s="177" t="n"/>
      <c r="G501" s="177" t="n"/>
      <c r="H501" s="177" t="n"/>
      <c r="I501" s="177" t="n"/>
      <c r="J501" s="177" t="n"/>
      <c r="K501" s="177" t="n"/>
      <c r="L501" s="177" t="n"/>
      <c r="M501" s="177" t="n"/>
      <c r="N501" s="177" t="n"/>
      <c r="O501" s="177" t="n"/>
      <c r="P501" s="177" t="n"/>
      <c r="Q501" s="177" t="n"/>
      <c r="R501" s="177" t="n"/>
      <c r="S501" s="177" t="n"/>
      <c r="T501" s="177" t="n"/>
      <c r="U501" s="177" t="n"/>
      <c r="V501" s="177" t="n"/>
      <c r="W501" s="177" t="n"/>
      <c r="X501" s="177" t="n"/>
      <c r="Y501" s="177" t="n"/>
    </row>
    <row r="502">
      <c r="A502" s="177" t="n"/>
      <c r="B502" s="177" t="n"/>
      <c r="C502" s="177" t="n"/>
      <c r="D502" s="177" t="n"/>
      <c r="E502" s="177" t="n"/>
      <c r="F502" s="177" t="n"/>
      <c r="G502" s="177" t="n"/>
      <c r="H502" s="177" t="n"/>
      <c r="I502" s="177" t="n"/>
      <c r="J502" s="177" t="n"/>
      <c r="K502" s="177" t="n"/>
      <c r="L502" s="177" t="n"/>
      <c r="M502" s="177" t="n"/>
      <c r="N502" s="177" t="n"/>
      <c r="O502" s="177" t="n"/>
      <c r="P502" s="177" t="n"/>
      <c r="Q502" s="177" t="n"/>
      <c r="R502" s="177" t="n"/>
      <c r="S502" s="177" t="n"/>
      <c r="T502" s="177" t="n"/>
      <c r="U502" s="177" t="n"/>
      <c r="V502" s="177" t="n"/>
      <c r="W502" s="177" t="n"/>
      <c r="X502" s="177" t="n"/>
      <c r="Y502" s="177" t="n"/>
    </row>
    <row r="503">
      <c r="A503" s="177" t="n"/>
      <c r="B503" s="177" t="n"/>
      <c r="C503" s="177" t="n"/>
      <c r="D503" s="177" t="n"/>
      <c r="E503" s="177" t="n"/>
      <c r="F503" s="177" t="n"/>
      <c r="G503" s="177" t="n"/>
      <c r="H503" s="177" t="n"/>
      <c r="I503" s="177" t="n"/>
      <c r="J503" s="177" t="n"/>
      <c r="K503" s="177" t="n"/>
      <c r="L503" s="177" t="n"/>
      <c r="M503" s="177" t="n"/>
      <c r="N503" s="177" t="n"/>
      <c r="O503" s="177" t="n"/>
      <c r="P503" s="177" t="n"/>
      <c r="Q503" s="177" t="n"/>
      <c r="R503" s="177" t="n"/>
      <c r="S503" s="177" t="n"/>
      <c r="T503" s="177" t="n"/>
      <c r="U503" s="177" t="n"/>
      <c r="V503" s="177" t="n"/>
      <c r="W503" s="177" t="n"/>
      <c r="X503" s="177" t="n"/>
      <c r="Y503" s="177" t="n"/>
    </row>
    <row r="504">
      <c r="A504" s="177" t="n"/>
      <c r="B504" s="177" t="n"/>
      <c r="C504" s="177" t="n"/>
      <c r="D504" s="177" t="n"/>
      <c r="E504" s="177" t="n"/>
      <c r="F504" s="177" t="n"/>
      <c r="G504" s="177" t="n"/>
      <c r="H504" s="177" t="n"/>
      <c r="I504" s="177" t="n"/>
      <c r="J504" s="177" t="n"/>
      <c r="K504" s="177" t="n"/>
      <c r="L504" s="177" t="n"/>
      <c r="M504" s="177" t="n"/>
      <c r="N504" s="177" t="n"/>
      <c r="O504" s="177" t="n"/>
      <c r="P504" s="177" t="n"/>
      <c r="Q504" s="177" t="n"/>
      <c r="R504" s="177" t="n"/>
      <c r="S504" s="177" t="n"/>
      <c r="T504" s="177" t="n"/>
      <c r="U504" s="177" t="n"/>
      <c r="V504" s="177" t="n"/>
      <c r="W504" s="177" t="n"/>
      <c r="X504" s="177" t="n"/>
      <c r="Y504" s="177" t="n"/>
    </row>
    <row r="505">
      <c r="A505" s="177" t="n"/>
      <c r="B505" s="177" t="n"/>
      <c r="C505" s="177" t="n"/>
      <c r="D505" s="177" t="n"/>
      <c r="E505" s="177" t="n"/>
      <c r="F505" s="177" t="n"/>
      <c r="G505" s="177" t="n"/>
      <c r="H505" s="177" t="n"/>
      <c r="I505" s="177" t="n"/>
      <c r="J505" s="177" t="n"/>
      <c r="K505" s="177" t="n"/>
      <c r="L505" s="177" t="n"/>
      <c r="M505" s="177" t="n"/>
      <c r="N505" s="177" t="n"/>
      <c r="O505" s="177" t="n"/>
      <c r="P505" s="177" t="n"/>
      <c r="Q505" s="177" t="n"/>
      <c r="R505" s="177" t="n"/>
      <c r="S505" s="177" t="n"/>
      <c r="T505" s="177" t="n"/>
      <c r="U505" s="177" t="n"/>
      <c r="V505" s="177" t="n"/>
      <c r="W505" s="177" t="n"/>
      <c r="X505" s="177" t="n"/>
      <c r="Y505" s="177" t="n"/>
    </row>
    <row r="506">
      <c r="A506" s="177" t="n"/>
      <c r="B506" s="177" t="n"/>
      <c r="C506" s="177" t="n"/>
      <c r="D506" s="177" t="n"/>
      <c r="E506" s="177" t="n"/>
      <c r="F506" s="177" t="n"/>
      <c r="G506" s="177" t="n"/>
      <c r="H506" s="177" t="n"/>
      <c r="I506" s="177" t="n"/>
      <c r="J506" s="177" t="n"/>
      <c r="K506" s="177" t="n"/>
      <c r="L506" s="177" t="n"/>
      <c r="M506" s="177" t="n"/>
      <c r="N506" s="177" t="n"/>
      <c r="O506" s="177" t="n"/>
      <c r="P506" s="177" t="n"/>
      <c r="Q506" s="177" t="n"/>
      <c r="R506" s="177" t="n"/>
      <c r="S506" s="177" t="n"/>
      <c r="T506" s="177" t="n"/>
      <c r="U506" s="177" t="n"/>
      <c r="V506" s="177" t="n"/>
      <c r="W506" s="177" t="n"/>
      <c r="X506" s="177" t="n"/>
      <c r="Y506" s="177" t="n"/>
    </row>
    <row r="507">
      <c r="A507" s="177" t="n"/>
      <c r="B507" s="177" t="n"/>
      <c r="C507" s="177" t="n"/>
      <c r="D507" s="177" t="n"/>
      <c r="E507" s="177" t="n"/>
      <c r="F507" s="177" t="n"/>
      <c r="G507" s="177" t="n"/>
      <c r="H507" s="177" t="n"/>
      <c r="I507" s="177" t="n"/>
      <c r="J507" s="177" t="n"/>
      <c r="K507" s="177" t="n"/>
      <c r="L507" s="177" t="n"/>
      <c r="M507" s="177" t="n"/>
      <c r="N507" s="177" t="n"/>
      <c r="O507" s="177" t="n"/>
      <c r="P507" s="177" t="n"/>
      <c r="Q507" s="177" t="n"/>
      <c r="R507" s="177" t="n"/>
      <c r="S507" s="177" t="n"/>
      <c r="T507" s="177" t="n"/>
      <c r="U507" s="177" t="n"/>
      <c r="V507" s="177" t="n"/>
      <c r="W507" s="177" t="n"/>
      <c r="X507" s="177" t="n"/>
      <c r="Y507" s="177" t="n"/>
    </row>
    <row r="508">
      <c r="A508" s="177" t="n"/>
      <c r="B508" s="177" t="n"/>
      <c r="C508" s="177" t="n"/>
      <c r="D508" s="177" t="n"/>
      <c r="E508" s="177" t="n"/>
      <c r="F508" s="177" t="n"/>
      <c r="G508" s="177" t="n"/>
      <c r="H508" s="177" t="n"/>
      <c r="I508" s="177" t="n"/>
      <c r="J508" s="177" t="n"/>
      <c r="K508" s="177" t="n"/>
      <c r="L508" s="177" t="n"/>
      <c r="M508" s="177" t="n"/>
      <c r="N508" s="177" t="n"/>
      <c r="O508" s="177" t="n"/>
      <c r="P508" s="177" t="n"/>
      <c r="Q508" s="177" t="n"/>
      <c r="R508" s="177" t="n"/>
      <c r="S508" s="177" t="n"/>
      <c r="T508" s="177" t="n"/>
      <c r="U508" s="177" t="n"/>
      <c r="V508" s="177" t="n"/>
      <c r="W508" s="177" t="n"/>
      <c r="X508" s="177" t="n"/>
      <c r="Y508" s="177" t="n"/>
    </row>
    <row r="509">
      <c r="A509" s="177" t="n"/>
      <c r="B509" s="177" t="n"/>
      <c r="C509" s="177" t="n"/>
      <c r="D509" s="177" t="n"/>
      <c r="E509" s="177" t="n"/>
      <c r="F509" s="177" t="n"/>
      <c r="G509" s="177" t="n"/>
      <c r="H509" s="177" t="n"/>
      <c r="I509" s="177" t="n"/>
      <c r="J509" s="177" t="n"/>
      <c r="K509" s="177" t="n"/>
      <c r="L509" s="177" t="n"/>
      <c r="M509" s="177" t="n"/>
      <c r="N509" s="177" t="n"/>
      <c r="O509" s="177" t="n"/>
      <c r="P509" s="177" t="n"/>
      <c r="Q509" s="177" t="n"/>
      <c r="R509" s="177" t="n"/>
      <c r="S509" s="177" t="n"/>
      <c r="T509" s="177" t="n"/>
      <c r="U509" s="177" t="n"/>
      <c r="V509" s="177" t="n"/>
      <c r="W509" s="177" t="n"/>
      <c r="X509" s="177" t="n"/>
      <c r="Y509" s="177" t="n"/>
    </row>
    <row r="510">
      <c r="A510" s="177" t="n"/>
      <c r="B510" s="177" t="n"/>
      <c r="C510" s="177" t="n"/>
      <c r="D510" s="177" t="n"/>
      <c r="E510" s="177" t="n"/>
      <c r="F510" s="177" t="n"/>
      <c r="G510" s="177" t="n"/>
      <c r="H510" s="177" t="n"/>
      <c r="I510" s="177" t="n"/>
      <c r="J510" s="177" t="n"/>
      <c r="K510" s="177" t="n"/>
      <c r="L510" s="177" t="n"/>
      <c r="M510" s="177" t="n"/>
      <c r="N510" s="177" t="n"/>
      <c r="O510" s="177" t="n"/>
      <c r="P510" s="177" t="n"/>
      <c r="Q510" s="177" t="n"/>
      <c r="R510" s="177" t="n"/>
      <c r="S510" s="177" t="n"/>
      <c r="T510" s="177" t="n"/>
      <c r="U510" s="177" t="n"/>
      <c r="V510" s="177" t="n"/>
      <c r="W510" s="177" t="n"/>
      <c r="X510" s="177" t="n"/>
      <c r="Y510" s="177" t="n"/>
    </row>
    <row r="511">
      <c r="A511" s="177" t="n"/>
      <c r="B511" s="177" t="n"/>
      <c r="C511" s="177" t="n"/>
      <c r="D511" s="177" t="n"/>
      <c r="E511" s="177" t="n"/>
      <c r="F511" s="177" t="n"/>
      <c r="G511" s="177" t="n"/>
      <c r="H511" s="177" t="n"/>
      <c r="I511" s="177" t="n"/>
      <c r="J511" s="177" t="n"/>
      <c r="K511" s="177" t="n"/>
      <c r="L511" s="177" t="n"/>
      <c r="M511" s="177" t="n"/>
      <c r="N511" s="177" t="n"/>
      <c r="O511" s="177" t="n"/>
      <c r="P511" s="177" t="n"/>
      <c r="Q511" s="177" t="n"/>
      <c r="R511" s="177" t="n"/>
      <c r="S511" s="177" t="n"/>
      <c r="T511" s="177" t="n"/>
      <c r="U511" s="177" t="n"/>
      <c r="V511" s="177" t="n"/>
      <c r="W511" s="177" t="n"/>
      <c r="X511" s="177" t="n"/>
      <c r="Y511" s="177" t="n"/>
    </row>
    <row r="512">
      <c r="A512" s="177" t="n"/>
      <c r="B512" s="177" t="n"/>
      <c r="C512" s="177" t="n"/>
      <c r="D512" s="177" t="n"/>
      <c r="E512" s="177" t="n"/>
      <c r="F512" s="177" t="n"/>
      <c r="G512" s="177" t="n"/>
      <c r="H512" s="177" t="n"/>
      <c r="I512" s="177" t="n"/>
      <c r="J512" s="177" t="n"/>
      <c r="K512" s="177" t="n"/>
      <c r="L512" s="177" t="n"/>
      <c r="M512" s="177" t="n"/>
      <c r="N512" s="177" t="n"/>
      <c r="O512" s="177" t="n"/>
      <c r="P512" s="177" t="n"/>
      <c r="Q512" s="177" t="n"/>
      <c r="R512" s="177" t="n"/>
      <c r="S512" s="177" t="n"/>
      <c r="T512" s="177" t="n"/>
      <c r="U512" s="177" t="n"/>
      <c r="V512" s="177" t="n"/>
      <c r="W512" s="177" t="n"/>
      <c r="X512" s="177" t="n"/>
      <c r="Y512" s="177" t="n"/>
    </row>
    <row r="513">
      <c r="A513" s="177" t="n"/>
      <c r="B513" s="177" t="n"/>
      <c r="C513" s="177" t="n"/>
      <c r="D513" s="177" t="n"/>
      <c r="E513" s="177" t="n"/>
      <c r="F513" s="177" t="n"/>
      <c r="G513" s="177" t="n"/>
      <c r="H513" s="177" t="n"/>
      <c r="I513" s="177" t="n"/>
      <c r="J513" s="177" t="n"/>
      <c r="K513" s="177" t="n"/>
      <c r="L513" s="177" t="n"/>
      <c r="M513" s="177" t="n"/>
      <c r="N513" s="177" t="n"/>
      <c r="O513" s="177" t="n"/>
      <c r="P513" s="177" t="n"/>
      <c r="Q513" s="177" t="n"/>
      <c r="R513" s="177" t="n"/>
      <c r="S513" s="177" t="n"/>
      <c r="T513" s="177" t="n"/>
      <c r="U513" s="177" t="n"/>
      <c r="V513" s="177" t="n"/>
      <c r="W513" s="177" t="n"/>
      <c r="X513" s="177" t="n"/>
      <c r="Y513" s="177" t="n"/>
    </row>
    <row r="514">
      <c r="A514" s="177" t="n"/>
      <c r="B514" s="177" t="n"/>
      <c r="C514" s="177" t="n"/>
      <c r="D514" s="177" t="n"/>
      <c r="E514" s="177" t="n"/>
      <c r="F514" s="177" t="n"/>
      <c r="G514" s="177" t="n"/>
      <c r="H514" s="177" t="n"/>
      <c r="I514" s="177" t="n"/>
      <c r="J514" s="177" t="n"/>
      <c r="K514" s="177" t="n"/>
      <c r="L514" s="177" t="n"/>
      <c r="M514" s="177" t="n"/>
      <c r="N514" s="177" t="n"/>
      <c r="O514" s="177" t="n"/>
      <c r="P514" s="177" t="n"/>
      <c r="Q514" s="177" t="n"/>
      <c r="R514" s="177" t="n"/>
      <c r="S514" s="177" t="n"/>
      <c r="T514" s="177" t="n"/>
      <c r="U514" s="177" t="n"/>
      <c r="V514" s="177" t="n"/>
      <c r="W514" s="177" t="n"/>
      <c r="X514" s="177" t="n"/>
      <c r="Y514" s="177" t="n"/>
    </row>
    <row r="515">
      <c r="A515" s="177" t="n"/>
      <c r="B515" s="177" t="n"/>
      <c r="C515" s="177" t="n"/>
      <c r="D515" s="177" t="n"/>
      <c r="E515" s="177" t="n"/>
      <c r="F515" s="177" t="n"/>
      <c r="G515" s="177" t="n"/>
      <c r="H515" s="177" t="n"/>
      <c r="I515" s="177" t="n"/>
      <c r="J515" s="177" t="n"/>
      <c r="K515" s="177" t="n"/>
      <c r="L515" s="177" t="n"/>
      <c r="M515" s="177" t="n"/>
      <c r="N515" s="177" t="n"/>
      <c r="O515" s="177" t="n"/>
      <c r="P515" s="177" t="n"/>
      <c r="Q515" s="177" t="n"/>
      <c r="R515" s="177" t="n"/>
      <c r="S515" s="177" t="n"/>
      <c r="T515" s="177" t="n"/>
      <c r="U515" s="177" t="n"/>
      <c r="V515" s="177" t="n"/>
      <c r="W515" s="177" t="n"/>
      <c r="X515" s="177" t="n"/>
      <c r="Y515" s="177" t="n"/>
    </row>
    <row r="516">
      <c r="A516" s="177" t="n"/>
      <c r="B516" s="177" t="n"/>
      <c r="C516" s="177" t="n"/>
      <c r="D516" s="177" t="n"/>
      <c r="E516" s="177" t="n"/>
      <c r="F516" s="177" t="n"/>
      <c r="G516" s="177" t="n"/>
      <c r="H516" s="177" t="n"/>
      <c r="I516" s="177" t="n"/>
      <c r="J516" s="177" t="n"/>
      <c r="K516" s="177" t="n"/>
      <c r="L516" s="177" t="n"/>
      <c r="M516" s="177" t="n"/>
      <c r="N516" s="177" t="n"/>
      <c r="O516" s="177" t="n"/>
      <c r="P516" s="177" t="n"/>
      <c r="Q516" s="177" t="n"/>
      <c r="R516" s="177" t="n"/>
      <c r="S516" s="177" t="n"/>
      <c r="T516" s="177" t="n"/>
      <c r="U516" s="177" t="n"/>
      <c r="V516" s="177" t="n"/>
      <c r="W516" s="177" t="n"/>
      <c r="X516" s="177" t="n"/>
      <c r="Y516" s="177" t="n"/>
    </row>
    <row r="517">
      <c r="A517" s="177" t="n"/>
      <c r="B517" s="177" t="n"/>
      <c r="C517" s="177" t="n"/>
      <c r="D517" s="177" t="n"/>
      <c r="E517" s="177" t="n"/>
      <c r="F517" s="177" t="n"/>
      <c r="G517" s="177" t="n"/>
      <c r="H517" s="177" t="n"/>
      <c r="I517" s="177" t="n"/>
      <c r="J517" s="177" t="n"/>
      <c r="K517" s="177" t="n"/>
      <c r="L517" s="177" t="n"/>
      <c r="M517" s="177" t="n"/>
      <c r="N517" s="177" t="n"/>
      <c r="O517" s="177" t="n"/>
      <c r="P517" s="177" t="n"/>
      <c r="Q517" s="177" t="n"/>
      <c r="R517" s="177" t="n"/>
      <c r="S517" s="177" t="n"/>
      <c r="T517" s="177" t="n"/>
      <c r="U517" s="177" t="n"/>
      <c r="V517" s="177" t="n"/>
      <c r="W517" s="177" t="n"/>
      <c r="X517" s="177" t="n"/>
      <c r="Y517" s="177" t="n"/>
    </row>
    <row r="518">
      <c r="A518" s="177" t="n"/>
      <c r="B518" s="177" t="n"/>
      <c r="C518" s="177" t="n"/>
      <c r="D518" s="177" t="n"/>
      <c r="E518" s="177" t="n"/>
      <c r="F518" s="177" t="n"/>
      <c r="G518" s="177" t="n"/>
      <c r="H518" s="177" t="n"/>
      <c r="I518" s="177" t="n"/>
      <c r="J518" s="177" t="n"/>
      <c r="K518" s="177" t="n"/>
      <c r="L518" s="177" t="n"/>
      <c r="M518" s="177" t="n"/>
      <c r="N518" s="177" t="n"/>
      <c r="O518" s="177" t="n"/>
      <c r="P518" s="177" t="n"/>
      <c r="Q518" s="177" t="n"/>
      <c r="R518" s="177" t="n"/>
      <c r="S518" s="177" t="n"/>
      <c r="T518" s="177" t="n"/>
      <c r="U518" s="177" t="n"/>
      <c r="V518" s="177" t="n"/>
      <c r="W518" s="177" t="n"/>
      <c r="X518" s="177" t="n"/>
      <c r="Y518" s="177" t="n"/>
    </row>
    <row r="519">
      <c r="A519" s="177" t="n"/>
      <c r="B519" s="177" t="n"/>
      <c r="C519" s="177" t="n"/>
      <c r="D519" s="177" t="n"/>
      <c r="E519" s="177" t="n"/>
      <c r="F519" s="177" t="n"/>
      <c r="G519" s="177" t="n"/>
      <c r="H519" s="177" t="n"/>
      <c r="I519" s="177" t="n"/>
      <c r="J519" s="177" t="n"/>
      <c r="K519" s="177" t="n"/>
      <c r="L519" s="177" t="n"/>
      <c r="M519" s="177" t="n"/>
      <c r="N519" s="177" t="n"/>
      <c r="O519" s="177" t="n"/>
      <c r="P519" s="177" t="n"/>
      <c r="Q519" s="177" t="n"/>
      <c r="R519" s="177" t="n"/>
      <c r="S519" s="177" t="n"/>
      <c r="T519" s="177" t="n"/>
      <c r="U519" s="177" t="n"/>
      <c r="V519" s="177" t="n"/>
      <c r="W519" s="177" t="n"/>
      <c r="X519" s="177" t="n"/>
      <c r="Y519" s="177" t="n"/>
    </row>
    <row r="520">
      <c r="A520" s="177" t="n"/>
      <c r="B520" s="177" t="n"/>
      <c r="C520" s="177" t="n"/>
      <c r="D520" s="177" t="n"/>
      <c r="E520" s="177" t="n"/>
      <c r="F520" s="177" t="n"/>
      <c r="G520" s="177" t="n"/>
      <c r="H520" s="177" t="n"/>
      <c r="I520" s="177" t="n"/>
      <c r="J520" s="177" t="n"/>
      <c r="K520" s="177" t="n"/>
      <c r="L520" s="177" t="n"/>
      <c r="M520" s="177" t="n"/>
      <c r="N520" s="177" t="n"/>
      <c r="O520" s="177" t="n"/>
      <c r="P520" s="177" t="n"/>
      <c r="Q520" s="177" t="n"/>
      <c r="R520" s="177" t="n"/>
      <c r="S520" s="177" t="n"/>
      <c r="T520" s="177" t="n"/>
      <c r="U520" s="177" t="n"/>
      <c r="V520" s="177" t="n"/>
      <c r="W520" s="177" t="n"/>
      <c r="X520" s="177" t="n"/>
      <c r="Y520" s="177" t="n"/>
    </row>
    <row r="521">
      <c r="A521" s="177" t="n"/>
      <c r="B521" s="177" t="n"/>
      <c r="C521" s="177" t="n"/>
      <c r="D521" s="177" t="n"/>
      <c r="E521" s="177" t="n"/>
      <c r="F521" s="177" t="n"/>
      <c r="G521" s="177" t="n"/>
      <c r="H521" s="177" t="n"/>
      <c r="I521" s="177" t="n"/>
      <c r="J521" s="177" t="n"/>
      <c r="K521" s="177" t="n"/>
      <c r="L521" s="177" t="n"/>
      <c r="M521" s="177" t="n"/>
      <c r="N521" s="177" t="n"/>
      <c r="O521" s="177" t="n"/>
      <c r="P521" s="177" t="n"/>
      <c r="Q521" s="177" t="n"/>
      <c r="R521" s="177" t="n"/>
      <c r="S521" s="177" t="n"/>
      <c r="T521" s="177" t="n"/>
      <c r="U521" s="177" t="n"/>
      <c r="V521" s="177" t="n"/>
      <c r="W521" s="177" t="n"/>
      <c r="X521" s="177" t="n"/>
      <c r="Y521" s="177" t="n"/>
    </row>
    <row r="522">
      <c r="A522" s="177" t="n"/>
      <c r="B522" s="177" t="n"/>
      <c r="C522" s="177" t="n"/>
      <c r="D522" s="177" t="n"/>
      <c r="E522" s="177" t="n"/>
      <c r="F522" s="177" t="n"/>
      <c r="G522" s="177" t="n"/>
      <c r="H522" s="177" t="n"/>
      <c r="I522" s="177" t="n"/>
      <c r="J522" s="177" t="n"/>
      <c r="K522" s="177" t="n"/>
      <c r="L522" s="177" t="n"/>
      <c r="M522" s="177" t="n"/>
      <c r="N522" s="177" t="n"/>
      <c r="O522" s="177" t="n"/>
      <c r="P522" s="177" t="n"/>
      <c r="Q522" s="177" t="n"/>
      <c r="R522" s="177" t="n"/>
      <c r="S522" s="177" t="n"/>
      <c r="T522" s="177" t="n"/>
      <c r="U522" s="177" t="n"/>
      <c r="V522" s="177" t="n"/>
      <c r="W522" s="177" t="n"/>
      <c r="X522" s="177" t="n"/>
      <c r="Y522" s="177" t="n"/>
    </row>
    <row r="523">
      <c r="A523" s="177" t="n"/>
      <c r="B523" s="177" t="n"/>
      <c r="C523" s="177" t="n"/>
      <c r="D523" s="177" t="n"/>
      <c r="E523" s="177" t="n"/>
      <c r="F523" s="177" t="n"/>
      <c r="G523" s="177" t="n"/>
      <c r="H523" s="177" t="n"/>
      <c r="I523" s="177" t="n"/>
      <c r="J523" s="177" t="n"/>
      <c r="K523" s="177" t="n"/>
      <c r="L523" s="177" t="n"/>
      <c r="M523" s="177" t="n"/>
      <c r="N523" s="177" t="n"/>
      <c r="O523" s="177" t="n"/>
      <c r="P523" s="177" t="n"/>
      <c r="Q523" s="177" t="n"/>
      <c r="R523" s="177" t="n"/>
      <c r="S523" s="177" t="n"/>
      <c r="T523" s="177" t="n"/>
      <c r="U523" s="177" t="n"/>
      <c r="V523" s="177" t="n"/>
      <c r="W523" s="177" t="n"/>
      <c r="X523" s="177" t="n"/>
      <c r="Y523" s="177" t="n"/>
    </row>
    <row r="524">
      <c r="A524" s="177" t="n"/>
      <c r="B524" s="177" t="n"/>
      <c r="C524" s="177" t="n"/>
      <c r="D524" s="177" t="n"/>
      <c r="E524" s="177" t="n"/>
      <c r="F524" s="177" t="n"/>
      <c r="G524" s="177" t="n"/>
      <c r="H524" s="177" t="n"/>
      <c r="I524" s="177" t="n"/>
      <c r="J524" s="177" t="n"/>
      <c r="K524" s="177" t="n"/>
      <c r="L524" s="177" t="n"/>
      <c r="M524" s="177" t="n"/>
      <c r="N524" s="177" t="n"/>
      <c r="O524" s="177" t="n"/>
      <c r="P524" s="177" t="n"/>
      <c r="Q524" s="177" t="n"/>
      <c r="R524" s="177" t="n"/>
      <c r="S524" s="177" t="n"/>
      <c r="T524" s="177" t="n"/>
      <c r="U524" s="177" t="n"/>
      <c r="V524" s="177" t="n"/>
      <c r="W524" s="177" t="n"/>
      <c r="X524" s="177" t="n"/>
      <c r="Y524" s="177" t="n"/>
    </row>
    <row r="525">
      <c r="A525" s="177" t="n"/>
      <c r="B525" s="177" t="n"/>
      <c r="C525" s="177" t="n"/>
      <c r="D525" s="177" t="n"/>
      <c r="E525" s="177" t="n"/>
      <c r="F525" s="177" t="n"/>
      <c r="G525" s="177" t="n"/>
      <c r="H525" s="177" t="n"/>
      <c r="I525" s="177" t="n"/>
      <c r="J525" s="177" t="n"/>
      <c r="K525" s="177" t="n"/>
      <c r="L525" s="177" t="n"/>
      <c r="M525" s="177" t="n"/>
      <c r="N525" s="177" t="n"/>
      <c r="O525" s="177" t="n"/>
      <c r="P525" s="177" t="n"/>
      <c r="Q525" s="177" t="n"/>
      <c r="R525" s="177" t="n"/>
      <c r="S525" s="177" t="n"/>
      <c r="T525" s="177" t="n"/>
      <c r="U525" s="177" t="n"/>
      <c r="V525" s="177" t="n"/>
      <c r="W525" s="177" t="n"/>
      <c r="X525" s="177" t="n"/>
      <c r="Y525" s="177" t="n"/>
    </row>
    <row r="526">
      <c r="A526" s="177" t="n"/>
      <c r="B526" s="177" t="n"/>
      <c r="C526" s="177" t="n"/>
      <c r="D526" s="177" t="n"/>
      <c r="E526" s="177" t="n"/>
      <c r="F526" s="177" t="n"/>
      <c r="G526" s="177" t="n"/>
      <c r="H526" s="177" t="n"/>
      <c r="I526" s="177" t="n"/>
      <c r="J526" s="177" t="n"/>
      <c r="K526" s="177" t="n"/>
      <c r="L526" s="177" t="n"/>
      <c r="M526" s="177" t="n"/>
      <c r="N526" s="177" t="n"/>
      <c r="O526" s="177" t="n"/>
      <c r="P526" s="177" t="n"/>
      <c r="Q526" s="177" t="n"/>
      <c r="R526" s="177" t="n"/>
      <c r="S526" s="177" t="n"/>
      <c r="T526" s="177" t="n"/>
      <c r="U526" s="177" t="n"/>
      <c r="V526" s="177" t="n"/>
      <c r="W526" s="177" t="n"/>
      <c r="X526" s="177" t="n"/>
      <c r="Y526" s="177" t="n"/>
    </row>
    <row r="527">
      <c r="A527" s="177" t="n"/>
      <c r="B527" s="177" t="n"/>
      <c r="C527" s="177" t="n"/>
      <c r="D527" s="177" t="n"/>
      <c r="E527" s="177" t="n"/>
      <c r="F527" s="177" t="n"/>
      <c r="G527" s="177" t="n"/>
      <c r="H527" s="177" t="n"/>
      <c r="I527" s="177" t="n"/>
      <c r="J527" s="177" t="n"/>
      <c r="K527" s="177" t="n"/>
      <c r="L527" s="177" t="n"/>
      <c r="M527" s="177" t="n"/>
      <c r="N527" s="177" t="n"/>
      <c r="O527" s="177" t="n"/>
      <c r="P527" s="177" t="n"/>
      <c r="Q527" s="177" t="n"/>
      <c r="R527" s="177" t="n"/>
      <c r="S527" s="177" t="n"/>
      <c r="T527" s="177" t="n"/>
      <c r="U527" s="177" t="n"/>
      <c r="V527" s="177" t="n"/>
      <c r="W527" s="177" t="n"/>
      <c r="X527" s="177" t="n"/>
      <c r="Y527" s="177" t="n"/>
    </row>
    <row r="528">
      <c r="A528" s="177" t="n"/>
      <c r="B528" s="177" t="n"/>
      <c r="C528" s="177" t="n"/>
      <c r="D528" s="177" t="n"/>
      <c r="E528" s="177" t="n"/>
      <c r="F528" s="177" t="n"/>
      <c r="G528" s="177" t="n"/>
      <c r="H528" s="177" t="n"/>
      <c r="I528" s="177" t="n"/>
      <c r="J528" s="177" t="n"/>
      <c r="K528" s="177" t="n"/>
      <c r="L528" s="177" t="n"/>
      <c r="M528" s="177" t="n"/>
      <c r="N528" s="177" t="n"/>
      <c r="O528" s="177" t="n"/>
      <c r="P528" s="177" t="n"/>
      <c r="Q528" s="177" t="n"/>
      <c r="R528" s="177" t="n"/>
      <c r="S528" s="177" t="n"/>
      <c r="T528" s="177" t="n"/>
      <c r="U528" s="177" t="n"/>
      <c r="V528" s="177" t="n"/>
      <c r="W528" s="177" t="n"/>
      <c r="X528" s="177" t="n"/>
      <c r="Y528" s="177" t="n"/>
    </row>
    <row r="529">
      <c r="A529" s="177" t="n"/>
      <c r="B529" s="177" t="n"/>
      <c r="C529" s="177" t="n"/>
      <c r="D529" s="177" t="n"/>
      <c r="E529" s="177" t="n"/>
      <c r="F529" s="177" t="n"/>
      <c r="G529" s="177" t="n"/>
      <c r="H529" s="177" t="n"/>
      <c r="I529" s="177" t="n"/>
      <c r="J529" s="177" t="n"/>
      <c r="K529" s="177" t="n"/>
      <c r="L529" s="177" t="n"/>
      <c r="M529" s="177" t="n"/>
      <c r="N529" s="177" t="n"/>
      <c r="O529" s="177" t="n"/>
      <c r="P529" s="177" t="n"/>
      <c r="Q529" s="177" t="n"/>
      <c r="R529" s="177" t="n"/>
      <c r="S529" s="177" t="n"/>
      <c r="T529" s="177" t="n"/>
      <c r="U529" s="177" t="n"/>
      <c r="V529" s="177" t="n"/>
      <c r="W529" s="177" t="n"/>
      <c r="X529" s="177" t="n"/>
      <c r="Y529" s="177" t="n"/>
    </row>
    <row r="530">
      <c r="A530" s="177" t="n"/>
      <c r="B530" s="177" t="n"/>
      <c r="C530" s="177" t="n"/>
      <c r="D530" s="177" t="n"/>
      <c r="E530" s="177" t="n"/>
      <c r="F530" s="177" t="n"/>
      <c r="G530" s="177" t="n"/>
      <c r="H530" s="177" t="n"/>
      <c r="I530" s="177" t="n"/>
      <c r="J530" s="177" t="n"/>
      <c r="K530" s="177" t="n"/>
      <c r="L530" s="177" t="n"/>
      <c r="M530" s="177" t="n"/>
      <c r="N530" s="177" t="n"/>
      <c r="O530" s="177" t="n"/>
      <c r="P530" s="177" t="n"/>
      <c r="Q530" s="177" t="n"/>
      <c r="R530" s="177" t="n"/>
      <c r="S530" s="177" t="n"/>
      <c r="T530" s="177" t="n"/>
      <c r="U530" s="177" t="n"/>
      <c r="V530" s="177" t="n"/>
      <c r="W530" s="177" t="n"/>
      <c r="X530" s="177" t="n"/>
      <c r="Y530" s="177" t="n"/>
    </row>
    <row r="531">
      <c r="A531" s="177" t="n"/>
      <c r="B531" s="177" t="n"/>
      <c r="C531" s="177" t="n"/>
      <c r="D531" s="177" t="n"/>
      <c r="E531" s="177" t="n"/>
      <c r="F531" s="177" t="n"/>
      <c r="G531" s="177" t="n"/>
      <c r="H531" s="177" t="n"/>
      <c r="I531" s="177" t="n"/>
      <c r="J531" s="177" t="n"/>
      <c r="K531" s="177" t="n"/>
      <c r="L531" s="177" t="n"/>
      <c r="M531" s="177" t="n"/>
      <c r="N531" s="177" t="n"/>
      <c r="O531" s="177" t="n"/>
      <c r="P531" s="177" t="n"/>
      <c r="Q531" s="177" t="n"/>
      <c r="R531" s="177" t="n"/>
      <c r="S531" s="177" t="n"/>
      <c r="T531" s="177" t="n"/>
      <c r="U531" s="177" t="n"/>
      <c r="V531" s="177" t="n"/>
      <c r="W531" s="177" t="n"/>
      <c r="X531" s="177" t="n"/>
      <c r="Y531" s="177" t="n"/>
    </row>
    <row r="532">
      <c r="A532" s="177" t="n"/>
      <c r="B532" s="177" t="n"/>
      <c r="C532" s="177" t="n"/>
      <c r="D532" s="177" t="n"/>
      <c r="E532" s="177" t="n"/>
      <c r="F532" s="177" t="n"/>
      <c r="G532" s="177" t="n"/>
      <c r="H532" s="177" t="n"/>
      <c r="I532" s="177" t="n"/>
      <c r="J532" s="177" t="n"/>
      <c r="K532" s="177" t="n"/>
      <c r="L532" s="177" t="n"/>
      <c r="M532" s="177" t="n"/>
      <c r="N532" s="177" t="n"/>
      <c r="O532" s="177" t="n"/>
      <c r="P532" s="177" t="n"/>
      <c r="Q532" s="177" t="n"/>
      <c r="R532" s="177" t="n"/>
      <c r="S532" s="177" t="n"/>
      <c r="T532" s="177" t="n"/>
      <c r="U532" s="177" t="n"/>
      <c r="V532" s="177" t="n"/>
      <c r="W532" s="177" t="n"/>
      <c r="X532" s="177" t="n"/>
      <c r="Y532" s="177" t="n"/>
    </row>
    <row r="533">
      <c r="A533" s="177" t="n"/>
      <c r="B533" s="177" t="n"/>
      <c r="C533" s="177" t="n"/>
      <c r="D533" s="177" t="n"/>
      <c r="E533" s="177" t="n"/>
      <c r="F533" s="177" t="n"/>
      <c r="G533" s="177" t="n"/>
      <c r="H533" s="177" t="n"/>
      <c r="I533" s="177" t="n"/>
      <c r="J533" s="177" t="n"/>
      <c r="K533" s="177" t="n"/>
      <c r="L533" s="177" t="n"/>
      <c r="M533" s="177" t="n"/>
      <c r="N533" s="177" t="n"/>
      <c r="O533" s="177" t="n"/>
      <c r="P533" s="177" t="n"/>
      <c r="Q533" s="177" t="n"/>
      <c r="R533" s="177" t="n"/>
      <c r="S533" s="177" t="n"/>
      <c r="T533" s="177" t="n"/>
      <c r="U533" s="177" t="n"/>
      <c r="V533" s="177" t="n"/>
      <c r="W533" s="177" t="n"/>
      <c r="X533" s="177" t="n"/>
      <c r="Y533" s="177" t="n"/>
    </row>
    <row r="534">
      <c r="A534" s="177" t="n"/>
      <c r="B534" s="177" t="n"/>
      <c r="C534" s="177" t="n"/>
      <c r="D534" s="177" t="n"/>
      <c r="E534" s="177" t="n"/>
      <c r="F534" s="177" t="n"/>
      <c r="G534" s="177" t="n"/>
      <c r="H534" s="177" t="n"/>
      <c r="I534" s="177" t="n"/>
      <c r="J534" s="177" t="n"/>
      <c r="K534" s="177" t="n"/>
      <c r="L534" s="177" t="n"/>
      <c r="M534" s="177" t="n"/>
      <c r="N534" s="177" t="n"/>
      <c r="O534" s="177" t="n"/>
      <c r="P534" s="177" t="n"/>
      <c r="Q534" s="177" t="n"/>
      <c r="R534" s="177" t="n"/>
      <c r="S534" s="177" t="n"/>
      <c r="T534" s="177" t="n"/>
      <c r="U534" s="177" t="n"/>
      <c r="V534" s="177" t="n"/>
      <c r="W534" s="177" t="n"/>
      <c r="X534" s="177" t="n"/>
      <c r="Y534" s="177" t="n"/>
    </row>
    <row r="535">
      <c r="A535" s="177" t="n"/>
      <c r="B535" s="177" t="n"/>
      <c r="C535" s="177" t="n"/>
      <c r="D535" s="177" t="n"/>
      <c r="E535" s="177" t="n"/>
      <c r="F535" s="177" t="n"/>
      <c r="G535" s="177" t="n"/>
      <c r="H535" s="177" t="n"/>
      <c r="I535" s="177" t="n"/>
      <c r="J535" s="177" t="n"/>
      <c r="K535" s="177" t="n"/>
      <c r="L535" s="177" t="n"/>
      <c r="M535" s="177" t="n"/>
      <c r="N535" s="177" t="n"/>
      <c r="O535" s="177" t="n"/>
      <c r="P535" s="177" t="n"/>
      <c r="Q535" s="177" t="n"/>
      <c r="R535" s="177" t="n"/>
      <c r="S535" s="177" t="n"/>
      <c r="T535" s="177" t="n"/>
      <c r="U535" s="177" t="n"/>
      <c r="V535" s="177" t="n"/>
      <c r="W535" s="177" t="n"/>
      <c r="X535" s="177" t="n"/>
      <c r="Y535" s="177" t="n"/>
    </row>
    <row r="536">
      <c r="A536" s="177" t="n"/>
      <c r="B536" s="177" t="n"/>
      <c r="C536" s="177" t="n"/>
      <c r="D536" s="177" t="n"/>
      <c r="E536" s="177" t="n"/>
      <c r="F536" s="177" t="n"/>
      <c r="G536" s="177" t="n"/>
      <c r="H536" s="177" t="n"/>
      <c r="I536" s="177" t="n"/>
      <c r="J536" s="177" t="n"/>
      <c r="K536" s="177" t="n"/>
      <c r="L536" s="177" t="n"/>
      <c r="M536" s="177" t="n"/>
      <c r="N536" s="177" t="n"/>
      <c r="O536" s="177" t="n"/>
      <c r="P536" s="177" t="n"/>
      <c r="Q536" s="177" t="n"/>
      <c r="R536" s="177" t="n"/>
      <c r="S536" s="177" t="n"/>
      <c r="T536" s="177" t="n"/>
      <c r="U536" s="177" t="n"/>
      <c r="V536" s="177" t="n"/>
      <c r="W536" s="177" t="n"/>
      <c r="X536" s="177" t="n"/>
      <c r="Y536" s="177" t="n"/>
    </row>
    <row r="537">
      <c r="A537" s="177" t="n"/>
      <c r="B537" s="177" t="n"/>
      <c r="C537" s="177" t="n"/>
      <c r="D537" s="177" t="n"/>
      <c r="E537" s="177" t="n"/>
      <c r="F537" s="177" t="n"/>
      <c r="G537" s="177" t="n"/>
      <c r="H537" s="177" t="n"/>
      <c r="I537" s="177" t="n"/>
      <c r="J537" s="177" t="n"/>
      <c r="K537" s="177" t="n"/>
      <c r="L537" s="177" t="n"/>
      <c r="M537" s="177" t="n"/>
      <c r="N537" s="177" t="n"/>
      <c r="O537" s="177" t="n"/>
      <c r="P537" s="177" t="n"/>
      <c r="Q537" s="177" t="n"/>
      <c r="R537" s="177" t="n"/>
      <c r="S537" s="177" t="n"/>
      <c r="T537" s="177" t="n"/>
      <c r="U537" s="177" t="n"/>
      <c r="V537" s="177" t="n"/>
      <c r="W537" s="177" t="n"/>
      <c r="X537" s="177" t="n"/>
      <c r="Y537" s="177" t="n"/>
    </row>
    <row r="538">
      <c r="A538" s="177" t="n"/>
      <c r="B538" s="177" t="n"/>
      <c r="C538" s="177" t="n"/>
      <c r="D538" s="177" t="n"/>
      <c r="E538" s="177" t="n"/>
      <c r="F538" s="177" t="n"/>
      <c r="G538" s="177" t="n"/>
      <c r="H538" s="177" t="n"/>
      <c r="I538" s="177" t="n"/>
      <c r="J538" s="177" t="n"/>
      <c r="K538" s="177" t="n"/>
      <c r="L538" s="177" t="n"/>
      <c r="M538" s="177" t="n"/>
      <c r="N538" s="177" t="n"/>
      <c r="O538" s="177" t="n"/>
      <c r="P538" s="177" t="n"/>
      <c r="Q538" s="177" t="n"/>
      <c r="R538" s="177" t="n"/>
      <c r="S538" s="177" t="n"/>
      <c r="T538" s="177" t="n"/>
      <c r="U538" s="177" t="n"/>
      <c r="V538" s="177" t="n"/>
      <c r="W538" s="177" t="n"/>
      <c r="X538" s="177" t="n"/>
      <c r="Y538" s="177" t="n"/>
    </row>
    <row r="539">
      <c r="A539" s="177" t="n"/>
      <c r="B539" s="177" t="n"/>
      <c r="C539" s="177" t="n"/>
      <c r="D539" s="177" t="n"/>
      <c r="E539" s="177" t="n"/>
      <c r="F539" s="177" t="n"/>
      <c r="G539" s="177" t="n"/>
      <c r="H539" s="177" t="n"/>
      <c r="I539" s="177" t="n"/>
      <c r="J539" s="177" t="n"/>
      <c r="K539" s="177" t="n"/>
      <c r="L539" s="177" t="n"/>
      <c r="M539" s="177" t="n"/>
      <c r="N539" s="177" t="n"/>
      <c r="O539" s="177" t="n"/>
      <c r="P539" s="177" t="n"/>
      <c r="Q539" s="177" t="n"/>
      <c r="R539" s="177" t="n"/>
      <c r="S539" s="177" t="n"/>
      <c r="T539" s="177" t="n"/>
      <c r="U539" s="177" t="n"/>
      <c r="V539" s="177" t="n"/>
      <c r="W539" s="177" t="n"/>
      <c r="X539" s="177" t="n"/>
      <c r="Y539" s="177" t="n"/>
    </row>
    <row r="540">
      <c r="A540" s="177" t="n"/>
      <c r="B540" s="177" t="n"/>
      <c r="C540" s="177" t="n"/>
      <c r="D540" s="177" t="n"/>
      <c r="E540" s="177" t="n"/>
      <c r="F540" s="177" t="n"/>
      <c r="G540" s="177" t="n"/>
      <c r="H540" s="177" t="n"/>
      <c r="I540" s="177" t="n"/>
      <c r="J540" s="177" t="n"/>
      <c r="K540" s="177" t="n"/>
      <c r="L540" s="177" t="n"/>
      <c r="M540" s="177" t="n"/>
      <c r="N540" s="177" t="n"/>
      <c r="O540" s="177" t="n"/>
      <c r="P540" s="177" t="n"/>
      <c r="Q540" s="177" t="n"/>
      <c r="R540" s="177" t="n"/>
      <c r="S540" s="177" t="n"/>
      <c r="T540" s="177" t="n"/>
      <c r="U540" s="177" t="n"/>
      <c r="V540" s="177" t="n"/>
      <c r="W540" s="177" t="n"/>
      <c r="X540" s="177" t="n"/>
      <c r="Y540" s="177" t="n"/>
    </row>
    <row r="541">
      <c r="A541" s="177" t="n"/>
      <c r="B541" s="177" t="n"/>
      <c r="C541" s="177" t="n"/>
      <c r="D541" s="177" t="n"/>
      <c r="E541" s="177" t="n"/>
      <c r="F541" s="177" t="n"/>
      <c r="G541" s="177" t="n"/>
      <c r="H541" s="177" t="n"/>
      <c r="I541" s="177" t="n"/>
      <c r="J541" s="177" t="n"/>
      <c r="K541" s="177" t="n"/>
      <c r="L541" s="177" t="n"/>
      <c r="M541" s="177" t="n"/>
      <c r="N541" s="177" t="n"/>
      <c r="O541" s="177" t="n"/>
      <c r="P541" s="177" t="n"/>
      <c r="Q541" s="177" t="n"/>
      <c r="R541" s="177" t="n"/>
      <c r="S541" s="177" t="n"/>
      <c r="T541" s="177" t="n"/>
      <c r="U541" s="177" t="n"/>
      <c r="V541" s="177" t="n"/>
      <c r="W541" s="177" t="n"/>
      <c r="X541" s="177" t="n"/>
      <c r="Y541" s="177" t="n"/>
    </row>
    <row r="542">
      <c r="A542" s="177" t="n"/>
      <c r="B542" s="177" t="n"/>
      <c r="C542" s="177" t="n"/>
      <c r="D542" s="177" t="n"/>
      <c r="E542" s="177" t="n"/>
      <c r="F542" s="177" t="n"/>
      <c r="G542" s="177" t="n"/>
      <c r="H542" s="177" t="n"/>
      <c r="I542" s="177" t="n"/>
      <c r="J542" s="177" t="n"/>
      <c r="K542" s="177" t="n"/>
      <c r="L542" s="177" t="n"/>
      <c r="M542" s="177" t="n"/>
      <c r="N542" s="177" t="n"/>
      <c r="O542" s="177" t="n"/>
      <c r="P542" s="177" t="n"/>
      <c r="Q542" s="177" t="n"/>
      <c r="R542" s="177" t="n"/>
      <c r="S542" s="177" t="n"/>
      <c r="T542" s="177" t="n"/>
      <c r="U542" s="177" t="n"/>
      <c r="V542" s="177" t="n"/>
      <c r="W542" s="177" t="n"/>
      <c r="X542" s="177" t="n"/>
      <c r="Y542" s="177" t="n"/>
    </row>
    <row r="543">
      <c r="A543" s="177" t="n"/>
      <c r="B543" s="177" t="n"/>
      <c r="C543" s="177" t="n"/>
      <c r="D543" s="177" t="n"/>
      <c r="E543" s="177" t="n"/>
      <c r="F543" s="177" t="n"/>
      <c r="G543" s="177" t="n"/>
      <c r="H543" s="177" t="n"/>
      <c r="I543" s="177" t="n"/>
      <c r="J543" s="177" t="n"/>
      <c r="K543" s="177" t="n"/>
      <c r="L543" s="177" t="n"/>
      <c r="M543" s="177" t="n"/>
      <c r="N543" s="177" t="n"/>
      <c r="O543" s="177" t="n"/>
      <c r="P543" s="177" t="n"/>
      <c r="Q543" s="177" t="n"/>
      <c r="R543" s="177" t="n"/>
      <c r="S543" s="177" t="n"/>
      <c r="T543" s="177" t="n"/>
      <c r="U543" s="177" t="n"/>
      <c r="V543" s="177" t="n"/>
      <c r="W543" s="177" t="n"/>
      <c r="X543" s="177" t="n"/>
      <c r="Y543" s="177" t="n"/>
    </row>
    <row r="544">
      <c r="A544" s="177" t="n"/>
      <c r="B544" s="177" t="n"/>
      <c r="C544" s="177" t="n"/>
      <c r="D544" s="177" t="n"/>
      <c r="E544" s="177" t="n"/>
      <c r="F544" s="177" t="n"/>
      <c r="G544" s="177" t="n"/>
      <c r="H544" s="177" t="n"/>
      <c r="I544" s="177" t="n"/>
      <c r="J544" s="177" t="n"/>
      <c r="K544" s="177" t="n"/>
      <c r="L544" s="177" t="n"/>
      <c r="M544" s="177" t="n"/>
      <c r="N544" s="177" t="n"/>
      <c r="O544" s="177" t="n"/>
      <c r="P544" s="177" t="n"/>
      <c r="Q544" s="177" t="n"/>
      <c r="R544" s="177" t="n"/>
      <c r="S544" s="177" t="n"/>
      <c r="T544" s="177" t="n"/>
      <c r="U544" s="177" t="n"/>
      <c r="V544" s="177" t="n"/>
      <c r="W544" s="177" t="n"/>
      <c r="X544" s="177" t="n"/>
      <c r="Y544" s="177" t="n"/>
    </row>
    <row r="545">
      <c r="A545" s="177" t="n"/>
      <c r="B545" s="177" t="n"/>
      <c r="C545" s="177" t="n"/>
      <c r="D545" s="177" t="n"/>
      <c r="E545" s="177" t="n"/>
      <c r="F545" s="177" t="n"/>
      <c r="G545" s="177" t="n"/>
      <c r="H545" s="177" t="n"/>
      <c r="I545" s="177" t="n"/>
      <c r="J545" s="177" t="n"/>
      <c r="K545" s="177" t="n"/>
      <c r="L545" s="177" t="n"/>
      <c r="M545" s="177" t="n"/>
      <c r="N545" s="177" t="n"/>
      <c r="O545" s="177" t="n"/>
      <c r="P545" s="177" t="n"/>
      <c r="Q545" s="177" t="n"/>
      <c r="R545" s="177" t="n"/>
      <c r="S545" s="177" t="n"/>
      <c r="T545" s="177" t="n"/>
      <c r="U545" s="177" t="n"/>
      <c r="V545" s="177" t="n"/>
      <c r="W545" s="177" t="n"/>
      <c r="X545" s="177" t="n"/>
      <c r="Y545" s="177" t="n"/>
    </row>
    <row r="546">
      <c r="A546" s="177" t="n"/>
      <c r="B546" s="177" t="n"/>
      <c r="C546" s="177" t="n"/>
      <c r="D546" s="177" t="n"/>
      <c r="E546" s="177" t="n"/>
      <c r="F546" s="177" t="n"/>
      <c r="G546" s="177" t="n"/>
      <c r="H546" s="177" t="n"/>
      <c r="I546" s="177" t="n"/>
      <c r="J546" s="177" t="n"/>
      <c r="K546" s="177" t="n"/>
      <c r="L546" s="177" t="n"/>
      <c r="M546" s="177" t="n"/>
      <c r="N546" s="177" t="n"/>
      <c r="O546" s="177" t="n"/>
      <c r="P546" s="177" t="n"/>
      <c r="Q546" s="177" t="n"/>
      <c r="R546" s="177" t="n"/>
      <c r="S546" s="177" t="n"/>
      <c r="T546" s="177" t="n"/>
      <c r="U546" s="177" t="n"/>
      <c r="V546" s="177" t="n"/>
      <c r="W546" s="177" t="n"/>
      <c r="X546" s="177" t="n"/>
      <c r="Y546" s="177" t="n"/>
    </row>
    <row r="547">
      <c r="A547" s="177" t="n"/>
      <c r="B547" s="177" t="n"/>
      <c r="C547" s="177" t="n"/>
      <c r="D547" s="177" t="n"/>
      <c r="E547" s="177" t="n"/>
      <c r="F547" s="177" t="n"/>
      <c r="G547" s="177" t="n"/>
      <c r="H547" s="177" t="n"/>
      <c r="I547" s="177" t="n"/>
      <c r="J547" s="177" t="n"/>
      <c r="K547" s="177" t="n"/>
      <c r="L547" s="177" t="n"/>
      <c r="M547" s="177" t="n"/>
      <c r="N547" s="177" t="n"/>
      <c r="O547" s="177" t="n"/>
      <c r="P547" s="177" t="n"/>
      <c r="Q547" s="177" t="n"/>
      <c r="R547" s="177" t="n"/>
      <c r="S547" s="177" t="n"/>
      <c r="T547" s="177" t="n"/>
      <c r="U547" s="177" t="n"/>
      <c r="V547" s="177" t="n"/>
      <c r="W547" s="177" t="n"/>
      <c r="X547" s="177" t="n"/>
      <c r="Y547" s="177" t="n"/>
    </row>
    <row r="548">
      <c r="A548" s="177" t="n"/>
      <c r="B548" s="177" t="n"/>
      <c r="C548" s="177" t="n"/>
      <c r="D548" s="177" t="n"/>
      <c r="E548" s="177" t="n"/>
      <c r="F548" s="177" t="n"/>
      <c r="G548" s="177" t="n"/>
      <c r="H548" s="177" t="n"/>
      <c r="I548" s="177" t="n"/>
      <c r="J548" s="177" t="n"/>
      <c r="K548" s="177" t="n"/>
      <c r="L548" s="177" t="n"/>
      <c r="M548" s="177" t="n"/>
      <c r="N548" s="177" t="n"/>
      <c r="O548" s="177" t="n"/>
      <c r="P548" s="177" t="n"/>
      <c r="Q548" s="177" t="n"/>
      <c r="R548" s="177" t="n"/>
      <c r="S548" s="177" t="n"/>
      <c r="T548" s="177" t="n"/>
      <c r="U548" s="177" t="n"/>
      <c r="V548" s="177" t="n"/>
      <c r="W548" s="177" t="n"/>
      <c r="X548" s="177" t="n"/>
      <c r="Y548" s="177" t="n"/>
    </row>
    <row r="549">
      <c r="A549" s="177" t="n"/>
      <c r="B549" s="177" t="n"/>
      <c r="C549" s="177" t="n"/>
      <c r="D549" s="177" t="n"/>
      <c r="E549" s="177" t="n"/>
      <c r="F549" s="177" t="n"/>
      <c r="G549" s="177" t="n"/>
      <c r="H549" s="177" t="n"/>
      <c r="I549" s="177" t="n"/>
      <c r="J549" s="177" t="n"/>
      <c r="K549" s="177" t="n"/>
      <c r="L549" s="177" t="n"/>
      <c r="M549" s="177" t="n"/>
      <c r="N549" s="177" t="n"/>
      <c r="O549" s="177" t="n"/>
      <c r="P549" s="177" t="n"/>
      <c r="Q549" s="177" t="n"/>
      <c r="R549" s="177" t="n"/>
      <c r="S549" s="177" t="n"/>
      <c r="T549" s="177" t="n"/>
      <c r="U549" s="177" t="n"/>
      <c r="V549" s="177" t="n"/>
      <c r="W549" s="177" t="n"/>
      <c r="X549" s="177" t="n"/>
      <c r="Y549" s="177" t="n"/>
    </row>
    <row r="550">
      <c r="A550" s="177" t="n"/>
      <c r="B550" s="177" t="n"/>
      <c r="C550" s="177" t="n"/>
      <c r="D550" s="177" t="n"/>
      <c r="E550" s="177" t="n"/>
      <c r="F550" s="177" t="n"/>
      <c r="G550" s="177" t="n"/>
      <c r="H550" s="177" t="n"/>
      <c r="I550" s="177" t="n"/>
      <c r="J550" s="177" t="n"/>
      <c r="K550" s="177" t="n"/>
      <c r="L550" s="177" t="n"/>
      <c r="M550" s="177" t="n"/>
      <c r="N550" s="177" t="n"/>
      <c r="O550" s="177" t="n"/>
      <c r="P550" s="177" t="n"/>
      <c r="Q550" s="177" t="n"/>
      <c r="R550" s="177" t="n"/>
      <c r="S550" s="177" t="n"/>
      <c r="T550" s="177" t="n"/>
      <c r="U550" s="177" t="n"/>
      <c r="V550" s="177" t="n"/>
      <c r="W550" s="177" t="n"/>
      <c r="X550" s="177" t="n"/>
      <c r="Y550" s="177" t="n"/>
    </row>
    <row r="551">
      <c r="A551" s="177" t="n"/>
      <c r="B551" s="177" t="n"/>
      <c r="C551" s="177" t="n"/>
      <c r="D551" s="177" t="n"/>
      <c r="E551" s="177" t="n"/>
      <c r="F551" s="177" t="n"/>
      <c r="G551" s="177" t="n"/>
      <c r="H551" s="177" t="n"/>
      <c r="I551" s="177" t="n"/>
      <c r="J551" s="177" t="n"/>
      <c r="K551" s="177" t="n"/>
      <c r="L551" s="177" t="n"/>
      <c r="M551" s="177" t="n"/>
      <c r="N551" s="177" t="n"/>
      <c r="O551" s="177" t="n"/>
      <c r="P551" s="177" t="n"/>
      <c r="Q551" s="177" t="n"/>
      <c r="R551" s="177" t="n"/>
      <c r="S551" s="177" t="n"/>
      <c r="T551" s="177" t="n"/>
      <c r="U551" s="177" t="n"/>
      <c r="V551" s="177" t="n"/>
      <c r="W551" s="177" t="n"/>
      <c r="X551" s="177" t="n"/>
      <c r="Y551" s="177" t="n"/>
    </row>
    <row r="552">
      <c r="A552" s="177" t="n"/>
      <c r="B552" s="177" t="n"/>
      <c r="C552" s="177" t="n"/>
      <c r="D552" s="177" t="n"/>
      <c r="E552" s="177" t="n"/>
      <c r="F552" s="177" t="n"/>
      <c r="G552" s="177" t="n"/>
      <c r="H552" s="177" t="n"/>
      <c r="I552" s="177" t="n"/>
      <c r="J552" s="177" t="n"/>
      <c r="K552" s="177" t="n"/>
      <c r="L552" s="177" t="n"/>
      <c r="M552" s="177" t="n"/>
      <c r="N552" s="177" t="n"/>
      <c r="O552" s="177" t="n"/>
      <c r="P552" s="177" t="n"/>
      <c r="Q552" s="177" t="n"/>
      <c r="R552" s="177" t="n"/>
      <c r="S552" s="177" t="n"/>
      <c r="T552" s="177" t="n"/>
      <c r="U552" s="177" t="n"/>
      <c r="V552" s="177" t="n"/>
      <c r="W552" s="177" t="n"/>
      <c r="X552" s="177" t="n"/>
      <c r="Y552" s="177" t="n"/>
    </row>
    <row r="553">
      <c r="A553" s="177" t="n"/>
      <c r="B553" s="177" t="n"/>
      <c r="C553" s="177" t="n"/>
      <c r="D553" s="177" t="n"/>
      <c r="E553" s="177" t="n"/>
      <c r="F553" s="177" t="n"/>
      <c r="G553" s="177" t="n"/>
      <c r="H553" s="177" t="n"/>
      <c r="I553" s="177" t="n"/>
      <c r="J553" s="177" t="n"/>
      <c r="K553" s="177" t="n"/>
      <c r="L553" s="177" t="n"/>
      <c r="M553" s="177" t="n"/>
      <c r="N553" s="177" t="n"/>
      <c r="O553" s="177" t="n"/>
      <c r="P553" s="177" t="n"/>
      <c r="Q553" s="177" t="n"/>
      <c r="R553" s="177" t="n"/>
      <c r="S553" s="177" t="n"/>
      <c r="T553" s="177" t="n"/>
      <c r="U553" s="177" t="n"/>
      <c r="V553" s="177" t="n"/>
      <c r="W553" s="177" t="n"/>
      <c r="X553" s="177" t="n"/>
      <c r="Y553" s="177" t="n"/>
    </row>
    <row r="554">
      <c r="A554" s="177" t="n"/>
      <c r="B554" s="177" t="n"/>
      <c r="C554" s="177" t="n"/>
      <c r="D554" s="177" t="n"/>
      <c r="E554" s="177" t="n"/>
      <c r="F554" s="177" t="n"/>
      <c r="G554" s="177" t="n"/>
      <c r="H554" s="177" t="n"/>
      <c r="I554" s="177" t="n"/>
      <c r="J554" s="177" t="n"/>
      <c r="K554" s="177" t="n"/>
      <c r="L554" s="177" t="n"/>
      <c r="M554" s="177" t="n"/>
      <c r="N554" s="177" t="n"/>
      <c r="O554" s="177" t="n"/>
      <c r="P554" s="177" t="n"/>
      <c r="Q554" s="177" t="n"/>
      <c r="R554" s="177" t="n"/>
      <c r="S554" s="177" t="n"/>
      <c r="T554" s="177" t="n"/>
      <c r="U554" s="177" t="n"/>
      <c r="V554" s="177" t="n"/>
      <c r="W554" s="177" t="n"/>
      <c r="X554" s="177" t="n"/>
      <c r="Y554" s="177" t="n"/>
    </row>
    <row r="555">
      <c r="A555" s="177" t="n"/>
      <c r="B555" s="177" t="n"/>
      <c r="C555" s="177" t="n"/>
      <c r="D555" s="177" t="n"/>
      <c r="E555" s="177" t="n"/>
      <c r="F555" s="177" t="n"/>
      <c r="G555" s="177" t="n"/>
      <c r="H555" s="177" t="n"/>
      <c r="I555" s="177" t="n"/>
      <c r="J555" s="177" t="n"/>
      <c r="K555" s="177" t="n"/>
      <c r="L555" s="177" t="n"/>
      <c r="M555" s="177" t="n"/>
      <c r="N555" s="177" t="n"/>
      <c r="O555" s="177" t="n"/>
      <c r="P555" s="177" t="n"/>
      <c r="Q555" s="177" t="n"/>
      <c r="R555" s="177" t="n"/>
      <c r="S555" s="177" t="n"/>
      <c r="T555" s="177" t="n"/>
      <c r="U555" s="177" t="n"/>
      <c r="V555" s="177" t="n"/>
      <c r="W555" s="177" t="n"/>
      <c r="X555" s="177" t="n"/>
      <c r="Y555" s="177" t="n"/>
    </row>
    <row r="556">
      <c r="A556" s="177" t="n"/>
      <c r="B556" s="177" t="n"/>
      <c r="C556" s="177" t="n"/>
      <c r="D556" s="177" t="n"/>
      <c r="E556" s="177" t="n"/>
      <c r="F556" s="177" t="n"/>
      <c r="G556" s="177" t="n"/>
      <c r="H556" s="177" t="n"/>
      <c r="I556" s="177" t="n"/>
      <c r="J556" s="177" t="n"/>
      <c r="K556" s="177" t="n"/>
      <c r="L556" s="177" t="n"/>
      <c r="M556" s="177" t="n"/>
      <c r="N556" s="177" t="n"/>
      <c r="O556" s="177" t="n"/>
      <c r="P556" s="177" t="n"/>
      <c r="Q556" s="177" t="n"/>
      <c r="R556" s="177" t="n"/>
      <c r="S556" s="177" t="n"/>
      <c r="T556" s="177" t="n"/>
      <c r="U556" s="177" t="n"/>
      <c r="V556" s="177" t="n"/>
      <c r="W556" s="177" t="n"/>
      <c r="X556" s="177" t="n"/>
      <c r="Y556" s="177" t="n"/>
    </row>
    <row r="557">
      <c r="A557" s="177" t="n"/>
      <c r="B557" s="177" t="n"/>
      <c r="C557" s="177" t="n"/>
      <c r="D557" s="177" t="n"/>
      <c r="E557" s="177" t="n"/>
      <c r="F557" s="177" t="n"/>
      <c r="G557" s="177" t="n"/>
      <c r="H557" s="177" t="n"/>
      <c r="I557" s="177" t="n"/>
      <c r="J557" s="177" t="n"/>
      <c r="K557" s="177" t="n"/>
      <c r="L557" s="177" t="n"/>
      <c r="M557" s="177" t="n"/>
      <c r="N557" s="177" t="n"/>
      <c r="O557" s="177" t="n"/>
      <c r="P557" s="177" t="n"/>
      <c r="Q557" s="177" t="n"/>
      <c r="R557" s="177" t="n"/>
      <c r="S557" s="177" t="n"/>
      <c r="T557" s="177" t="n"/>
      <c r="U557" s="177" t="n"/>
      <c r="V557" s="177" t="n"/>
      <c r="W557" s="177" t="n"/>
      <c r="X557" s="177" t="n"/>
      <c r="Y557" s="177" t="n"/>
    </row>
    <row r="558">
      <c r="A558" s="177" t="n"/>
      <c r="B558" s="177" t="n"/>
      <c r="C558" s="177" t="n"/>
      <c r="D558" s="177" t="n"/>
      <c r="E558" s="177" t="n"/>
      <c r="F558" s="177" t="n"/>
      <c r="G558" s="177" t="n"/>
      <c r="H558" s="177" t="n"/>
      <c r="I558" s="177" t="n"/>
      <c r="J558" s="177" t="n"/>
      <c r="K558" s="177" t="n"/>
      <c r="L558" s="177" t="n"/>
      <c r="M558" s="177" t="n"/>
      <c r="N558" s="177" t="n"/>
      <c r="O558" s="177" t="n"/>
      <c r="P558" s="177" t="n"/>
      <c r="Q558" s="177" t="n"/>
      <c r="R558" s="177" t="n"/>
      <c r="S558" s="177" t="n"/>
      <c r="T558" s="177" t="n"/>
      <c r="U558" s="177" t="n"/>
      <c r="V558" s="177" t="n"/>
      <c r="W558" s="177" t="n"/>
      <c r="X558" s="177" t="n"/>
      <c r="Y558" s="177" t="n"/>
    </row>
    <row r="559">
      <c r="A559" s="177" t="n"/>
      <c r="B559" s="177" t="n"/>
      <c r="C559" s="177" t="n"/>
      <c r="D559" s="177" t="n"/>
      <c r="E559" s="177" t="n"/>
      <c r="F559" s="177" t="n"/>
      <c r="G559" s="177" t="n"/>
      <c r="H559" s="177" t="n"/>
      <c r="I559" s="177" t="n"/>
      <c r="J559" s="177" t="n"/>
      <c r="K559" s="177" t="n"/>
      <c r="L559" s="177" t="n"/>
      <c r="M559" s="177" t="n"/>
      <c r="N559" s="177" t="n"/>
      <c r="O559" s="177" t="n"/>
      <c r="P559" s="177" t="n"/>
      <c r="Q559" s="177" t="n"/>
      <c r="R559" s="177" t="n"/>
      <c r="S559" s="177" t="n"/>
      <c r="T559" s="177" t="n"/>
      <c r="U559" s="177" t="n"/>
      <c r="V559" s="177" t="n"/>
      <c r="W559" s="177" t="n"/>
      <c r="X559" s="177" t="n"/>
      <c r="Y559" s="177" t="n"/>
    </row>
    <row r="560">
      <c r="A560" s="177" t="n"/>
      <c r="B560" s="177" t="n"/>
      <c r="C560" s="177" t="n"/>
      <c r="D560" s="177" t="n"/>
      <c r="E560" s="177" t="n"/>
      <c r="F560" s="177" t="n"/>
      <c r="G560" s="177" t="n"/>
      <c r="H560" s="177" t="n"/>
      <c r="I560" s="177" t="n"/>
      <c r="J560" s="177" t="n"/>
      <c r="K560" s="177" t="n"/>
      <c r="L560" s="177" t="n"/>
      <c r="M560" s="177" t="n"/>
      <c r="N560" s="177" t="n"/>
      <c r="O560" s="177" t="n"/>
      <c r="P560" s="177" t="n"/>
      <c r="Q560" s="177" t="n"/>
      <c r="R560" s="177" t="n"/>
      <c r="S560" s="177" t="n"/>
      <c r="T560" s="177" t="n"/>
      <c r="U560" s="177" t="n"/>
      <c r="V560" s="177" t="n"/>
      <c r="W560" s="177" t="n"/>
      <c r="X560" s="177" t="n"/>
      <c r="Y560" s="177" t="n"/>
    </row>
    <row r="561">
      <c r="A561" s="177" t="n"/>
      <c r="B561" s="177" t="n"/>
      <c r="C561" s="177" t="n"/>
      <c r="D561" s="177" t="n"/>
      <c r="E561" s="177" t="n"/>
      <c r="F561" s="177" t="n"/>
      <c r="G561" s="177" t="n"/>
      <c r="H561" s="177" t="n"/>
      <c r="I561" s="177" t="n"/>
      <c r="J561" s="177" t="n"/>
      <c r="K561" s="177" t="n"/>
      <c r="L561" s="177" t="n"/>
      <c r="M561" s="177" t="n"/>
      <c r="N561" s="177" t="n"/>
      <c r="O561" s="177" t="n"/>
      <c r="P561" s="177" t="n"/>
      <c r="Q561" s="177" t="n"/>
      <c r="R561" s="177" t="n"/>
      <c r="S561" s="177" t="n"/>
      <c r="T561" s="177" t="n"/>
      <c r="U561" s="177" t="n"/>
      <c r="V561" s="177" t="n"/>
      <c r="W561" s="177" t="n"/>
      <c r="X561" s="177" t="n"/>
      <c r="Y561" s="177" t="n"/>
    </row>
    <row r="562">
      <c r="A562" s="177" t="n"/>
      <c r="B562" s="177" t="n"/>
      <c r="C562" s="177" t="n"/>
      <c r="D562" s="177" t="n"/>
      <c r="E562" s="177" t="n"/>
      <c r="F562" s="177" t="n"/>
      <c r="G562" s="177" t="n"/>
      <c r="H562" s="177" t="n"/>
      <c r="I562" s="177" t="n"/>
      <c r="J562" s="177" t="n"/>
      <c r="K562" s="177" t="n"/>
      <c r="L562" s="177" t="n"/>
      <c r="M562" s="177" t="n"/>
      <c r="N562" s="177" t="n"/>
      <c r="O562" s="177" t="n"/>
      <c r="P562" s="177" t="n"/>
      <c r="Q562" s="177" t="n"/>
      <c r="R562" s="177" t="n"/>
      <c r="S562" s="177" t="n"/>
      <c r="T562" s="177" t="n"/>
      <c r="U562" s="177" t="n"/>
      <c r="V562" s="177" t="n"/>
      <c r="W562" s="177" t="n"/>
      <c r="X562" s="177" t="n"/>
      <c r="Y562" s="177" t="n"/>
    </row>
    <row r="563">
      <c r="A563" s="177" t="n"/>
      <c r="B563" s="177" t="n"/>
      <c r="C563" s="177" t="n"/>
      <c r="D563" s="177" t="n"/>
      <c r="E563" s="177" t="n"/>
      <c r="F563" s="177" t="n"/>
      <c r="G563" s="177" t="n"/>
      <c r="H563" s="177" t="n"/>
      <c r="I563" s="177" t="n"/>
      <c r="J563" s="177" t="n"/>
      <c r="K563" s="177" t="n"/>
      <c r="L563" s="177" t="n"/>
      <c r="M563" s="177" t="n"/>
      <c r="N563" s="177" t="n"/>
      <c r="O563" s="177" t="n"/>
      <c r="P563" s="177" t="n"/>
      <c r="Q563" s="177" t="n"/>
      <c r="R563" s="177" t="n"/>
      <c r="S563" s="177" t="n"/>
      <c r="T563" s="177" t="n"/>
      <c r="U563" s="177" t="n"/>
      <c r="V563" s="177" t="n"/>
      <c r="W563" s="177" t="n"/>
      <c r="X563" s="177" t="n"/>
      <c r="Y563" s="177" t="n"/>
    </row>
    <row r="564">
      <c r="A564" s="177" t="n"/>
      <c r="B564" s="177" t="n"/>
      <c r="C564" s="177" t="n"/>
      <c r="D564" s="177" t="n"/>
      <c r="E564" s="177" t="n"/>
      <c r="F564" s="177" t="n"/>
      <c r="G564" s="177" t="n"/>
      <c r="H564" s="177" t="n"/>
      <c r="I564" s="177" t="n"/>
      <c r="J564" s="177" t="n"/>
      <c r="K564" s="177" t="n"/>
      <c r="L564" s="177" t="n"/>
      <c r="M564" s="177" t="n"/>
      <c r="N564" s="177" t="n"/>
      <c r="O564" s="177" t="n"/>
      <c r="P564" s="177" t="n"/>
      <c r="Q564" s="177" t="n"/>
      <c r="R564" s="177" t="n"/>
      <c r="S564" s="177" t="n"/>
      <c r="T564" s="177" t="n"/>
      <c r="U564" s="177" t="n"/>
      <c r="V564" s="177" t="n"/>
      <c r="W564" s="177" t="n"/>
      <c r="X564" s="177" t="n"/>
      <c r="Y564" s="177" t="n"/>
    </row>
    <row r="565">
      <c r="A565" s="177" t="n"/>
      <c r="B565" s="177" t="n"/>
      <c r="C565" s="177" t="n"/>
      <c r="D565" s="177" t="n"/>
      <c r="E565" s="177" t="n"/>
      <c r="F565" s="177" t="n"/>
      <c r="G565" s="177" t="n"/>
      <c r="H565" s="177" t="n"/>
      <c r="I565" s="177" t="n"/>
      <c r="J565" s="177" t="n"/>
      <c r="K565" s="177" t="n"/>
      <c r="L565" s="177" t="n"/>
      <c r="M565" s="177" t="n"/>
      <c r="N565" s="177" t="n"/>
      <c r="O565" s="177" t="n"/>
      <c r="P565" s="177" t="n"/>
      <c r="Q565" s="177" t="n"/>
      <c r="R565" s="177" t="n"/>
      <c r="S565" s="177" t="n"/>
      <c r="T565" s="177" t="n"/>
      <c r="U565" s="177" t="n"/>
      <c r="V565" s="177" t="n"/>
      <c r="W565" s="177" t="n"/>
      <c r="X565" s="177" t="n"/>
      <c r="Y565" s="177" t="n"/>
    </row>
    <row r="566">
      <c r="A566" s="177" t="n"/>
      <c r="B566" s="177" t="n"/>
      <c r="C566" s="177" t="n"/>
      <c r="D566" s="177" t="n"/>
      <c r="E566" s="177" t="n"/>
      <c r="F566" s="177" t="n"/>
      <c r="G566" s="177" t="n"/>
      <c r="H566" s="177" t="n"/>
      <c r="I566" s="177" t="n"/>
      <c r="J566" s="177" t="n"/>
      <c r="K566" s="177" t="n"/>
      <c r="L566" s="177" t="n"/>
      <c r="M566" s="177" t="n"/>
      <c r="N566" s="177" t="n"/>
      <c r="O566" s="177" t="n"/>
      <c r="P566" s="177" t="n"/>
      <c r="Q566" s="177" t="n"/>
      <c r="R566" s="177" t="n"/>
      <c r="S566" s="177" t="n"/>
      <c r="T566" s="177" t="n"/>
      <c r="U566" s="177" t="n"/>
      <c r="V566" s="177" t="n"/>
      <c r="W566" s="177" t="n"/>
      <c r="X566" s="177" t="n"/>
      <c r="Y566" s="177" t="n"/>
    </row>
    <row r="567">
      <c r="A567" s="177" t="n"/>
      <c r="B567" s="177" t="n"/>
      <c r="C567" s="177" t="n"/>
      <c r="D567" s="177" t="n"/>
      <c r="E567" s="177" t="n"/>
      <c r="F567" s="177" t="n"/>
      <c r="G567" s="177" t="n"/>
      <c r="H567" s="177" t="n"/>
      <c r="I567" s="177" t="n"/>
      <c r="J567" s="177" t="n"/>
      <c r="K567" s="177" t="n"/>
      <c r="L567" s="177" t="n"/>
      <c r="M567" s="177" t="n"/>
      <c r="N567" s="177" t="n"/>
      <c r="O567" s="177" t="n"/>
      <c r="P567" s="177" t="n"/>
      <c r="Q567" s="177" t="n"/>
      <c r="R567" s="177" t="n"/>
      <c r="S567" s="177" t="n"/>
      <c r="T567" s="177" t="n"/>
      <c r="U567" s="177" t="n"/>
      <c r="V567" s="177" t="n"/>
      <c r="W567" s="177" t="n"/>
      <c r="X567" s="177" t="n"/>
      <c r="Y567" s="177" t="n"/>
    </row>
    <row r="568">
      <c r="A568" s="177" t="n"/>
      <c r="B568" s="177" t="n"/>
      <c r="C568" s="177" t="n"/>
      <c r="D568" s="177" t="n"/>
      <c r="E568" s="177" t="n"/>
      <c r="F568" s="177" t="n"/>
      <c r="G568" s="177" t="n"/>
      <c r="H568" s="177" t="n"/>
      <c r="I568" s="177" t="n"/>
      <c r="J568" s="177" t="n"/>
      <c r="K568" s="177" t="n"/>
      <c r="L568" s="177" t="n"/>
      <c r="M568" s="177" t="n"/>
      <c r="N568" s="177" t="n"/>
      <c r="O568" s="177" t="n"/>
      <c r="P568" s="177" t="n"/>
      <c r="Q568" s="177" t="n"/>
      <c r="R568" s="177" t="n"/>
      <c r="S568" s="177" t="n"/>
      <c r="T568" s="177" t="n"/>
      <c r="U568" s="177" t="n"/>
      <c r="V568" s="177" t="n"/>
      <c r="W568" s="177" t="n"/>
      <c r="X568" s="177" t="n"/>
      <c r="Y568" s="177" t="n"/>
    </row>
    <row r="569">
      <c r="A569" s="177" t="n"/>
      <c r="B569" s="177" t="n"/>
      <c r="C569" s="177" t="n"/>
      <c r="D569" s="177" t="n"/>
      <c r="E569" s="177" t="n"/>
      <c r="F569" s="177" t="n"/>
      <c r="G569" s="177" t="n"/>
      <c r="H569" s="177" t="n"/>
      <c r="I569" s="177" t="n"/>
      <c r="J569" s="177" t="n"/>
      <c r="K569" s="177" t="n"/>
      <c r="L569" s="177" t="n"/>
      <c r="M569" s="177" t="n"/>
      <c r="N569" s="177" t="n"/>
      <c r="O569" s="177" t="n"/>
      <c r="P569" s="177" t="n"/>
      <c r="Q569" s="177" t="n"/>
      <c r="R569" s="177" t="n"/>
      <c r="S569" s="177" t="n"/>
      <c r="T569" s="177" t="n"/>
      <c r="U569" s="177" t="n"/>
      <c r="V569" s="177" t="n"/>
      <c r="W569" s="177" t="n"/>
      <c r="X569" s="177" t="n"/>
      <c r="Y569" s="177" t="n"/>
    </row>
    <row r="570">
      <c r="A570" s="177" t="n"/>
      <c r="B570" s="177" t="n"/>
      <c r="C570" s="177" t="n"/>
      <c r="D570" s="177" t="n"/>
      <c r="E570" s="177" t="n"/>
      <c r="F570" s="177" t="n"/>
      <c r="G570" s="177" t="n"/>
      <c r="H570" s="177" t="n"/>
      <c r="I570" s="177" t="n"/>
      <c r="J570" s="177" t="n"/>
      <c r="K570" s="177" t="n"/>
      <c r="L570" s="177" t="n"/>
      <c r="M570" s="177" t="n"/>
      <c r="N570" s="177" t="n"/>
      <c r="O570" s="177" t="n"/>
      <c r="P570" s="177" t="n"/>
      <c r="Q570" s="177" t="n"/>
      <c r="R570" s="177" t="n"/>
      <c r="S570" s="177" t="n"/>
      <c r="T570" s="177" t="n"/>
      <c r="U570" s="177" t="n"/>
      <c r="V570" s="177" t="n"/>
      <c r="W570" s="177" t="n"/>
      <c r="X570" s="177" t="n"/>
      <c r="Y570" s="177" t="n"/>
    </row>
    <row r="571">
      <c r="A571" s="177" t="n"/>
      <c r="B571" s="177" t="n"/>
      <c r="C571" s="177" t="n"/>
      <c r="D571" s="177" t="n"/>
      <c r="E571" s="177" t="n"/>
      <c r="F571" s="177" t="n"/>
      <c r="G571" s="177" t="n"/>
      <c r="H571" s="177" t="n"/>
      <c r="I571" s="177" t="n"/>
      <c r="J571" s="177" t="n"/>
      <c r="K571" s="177" t="n"/>
      <c r="L571" s="177" t="n"/>
      <c r="M571" s="177" t="n"/>
      <c r="N571" s="177" t="n"/>
      <c r="O571" s="177" t="n"/>
      <c r="P571" s="177" t="n"/>
      <c r="Q571" s="177" t="n"/>
      <c r="R571" s="177" t="n"/>
      <c r="S571" s="177" t="n"/>
      <c r="T571" s="177" t="n"/>
      <c r="U571" s="177" t="n"/>
      <c r="V571" s="177" t="n"/>
      <c r="W571" s="177" t="n"/>
      <c r="X571" s="177" t="n"/>
      <c r="Y571" s="177" t="n"/>
    </row>
    <row r="572">
      <c r="A572" s="177" t="n"/>
      <c r="B572" s="177" t="n"/>
      <c r="C572" s="177" t="n"/>
      <c r="D572" s="177" t="n"/>
      <c r="E572" s="177" t="n"/>
      <c r="F572" s="177" t="n"/>
      <c r="G572" s="177" t="n"/>
      <c r="H572" s="177" t="n"/>
      <c r="I572" s="177" t="n"/>
      <c r="J572" s="177" t="n"/>
      <c r="K572" s="177" t="n"/>
      <c r="L572" s="177" t="n"/>
      <c r="M572" s="177" t="n"/>
      <c r="N572" s="177" t="n"/>
      <c r="O572" s="177" t="n"/>
      <c r="P572" s="177" t="n"/>
      <c r="Q572" s="177" t="n"/>
      <c r="R572" s="177" t="n"/>
      <c r="S572" s="177" t="n"/>
      <c r="T572" s="177" t="n"/>
      <c r="U572" s="177" t="n"/>
      <c r="V572" s="177" t="n"/>
      <c r="W572" s="177" t="n"/>
      <c r="X572" s="177" t="n"/>
      <c r="Y572" s="177" t="n"/>
    </row>
    <row r="573">
      <c r="A573" s="177" t="n"/>
      <c r="B573" s="177" t="n"/>
      <c r="C573" s="177" t="n"/>
      <c r="D573" s="177" t="n"/>
      <c r="E573" s="177" t="n"/>
      <c r="F573" s="177" t="n"/>
      <c r="G573" s="177" t="n"/>
      <c r="H573" s="177" t="n"/>
      <c r="I573" s="177" t="n"/>
      <c r="J573" s="177" t="n"/>
      <c r="K573" s="177" t="n"/>
      <c r="L573" s="177" t="n"/>
      <c r="M573" s="177" t="n"/>
      <c r="N573" s="177" t="n"/>
      <c r="O573" s="177" t="n"/>
      <c r="P573" s="177" t="n"/>
      <c r="Q573" s="177" t="n"/>
      <c r="R573" s="177" t="n"/>
      <c r="S573" s="177" t="n"/>
      <c r="T573" s="177" t="n"/>
      <c r="U573" s="177" t="n"/>
      <c r="V573" s="177" t="n"/>
      <c r="W573" s="177" t="n"/>
      <c r="X573" s="177" t="n"/>
      <c r="Y573" s="177" t="n"/>
    </row>
    <row r="574">
      <c r="A574" s="177" t="n"/>
      <c r="B574" s="177" t="n"/>
      <c r="C574" s="177" t="n"/>
      <c r="D574" s="177" t="n"/>
      <c r="E574" s="177" t="n"/>
      <c r="F574" s="177" t="n"/>
      <c r="G574" s="177" t="n"/>
      <c r="H574" s="177" t="n"/>
      <c r="I574" s="177" t="n"/>
      <c r="J574" s="177" t="n"/>
      <c r="K574" s="177" t="n"/>
      <c r="L574" s="177" t="n"/>
      <c r="M574" s="177" t="n"/>
      <c r="N574" s="177" t="n"/>
      <c r="O574" s="177" t="n"/>
      <c r="P574" s="177" t="n"/>
      <c r="Q574" s="177" t="n"/>
      <c r="R574" s="177" t="n"/>
      <c r="S574" s="177" t="n"/>
      <c r="T574" s="177" t="n"/>
      <c r="U574" s="177" t="n"/>
      <c r="V574" s="177" t="n"/>
      <c r="W574" s="177" t="n"/>
      <c r="X574" s="177" t="n"/>
      <c r="Y574" s="177" t="n"/>
    </row>
    <row r="575">
      <c r="A575" s="177" t="n"/>
      <c r="B575" s="177" t="n"/>
      <c r="C575" s="177" t="n"/>
      <c r="D575" s="177" t="n"/>
      <c r="E575" s="177" t="n"/>
      <c r="F575" s="177" t="n"/>
      <c r="G575" s="177" t="n"/>
      <c r="H575" s="177" t="n"/>
      <c r="I575" s="177" t="n"/>
      <c r="J575" s="177" t="n"/>
      <c r="K575" s="177" t="n"/>
      <c r="L575" s="177" t="n"/>
      <c r="M575" s="177" t="n"/>
      <c r="N575" s="177" t="n"/>
      <c r="O575" s="177" t="n"/>
      <c r="P575" s="177" t="n"/>
      <c r="Q575" s="177" t="n"/>
      <c r="R575" s="177" t="n"/>
      <c r="S575" s="177" t="n"/>
      <c r="T575" s="177" t="n"/>
      <c r="U575" s="177" t="n"/>
      <c r="V575" s="177" t="n"/>
      <c r="W575" s="177" t="n"/>
      <c r="X575" s="177" t="n"/>
      <c r="Y575" s="177" t="n"/>
    </row>
    <row r="576">
      <c r="A576" s="177" t="n"/>
      <c r="B576" s="177" t="n"/>
      <c r="C576" s="177" t="n"/>
      <c r="D576" s="177" t="n"/>
      <c r="E576" s="177" t="n"/>
      <c r="F576" s="177" t="n"/>
      <c r="G576" s="177" t="n"/>
      <c r="H576" s="177" t="n"/>
      <c r="I576" s="177" t="n"/>
      <c r="J576" s="177" t="n"/>
      <c r="K576" s="177" t="n"/>
      <c r="L576" s="177" t="n"/>
      <c r="M576" s="177" t="n"/>
      <c r="N576" s="177" t="n"/>
      <c r="O576" s="177" t="n"/>
      <c r="P576" s="177" t="n"/>
      <c r="Q576" s="177" t="n"/>
      <c r="R576" s="177" t="n"/>
      <c r="S576" s="177" t="n"/>
      <c r="T576" s="177" t="n"/>
      <c r="U576" s="177" t="n"/>
      <c r="V576" s="177" t="n"/>
      <c r="W576" s="177" t="n"/>
      <c r="X576" s="177" t="n"/>
      <c r="Y576" s="177" t="n"/>
    </row>
    <row r="577">
      <c r="A577" s="177" t="n"/>
      <c r="B577" s="177" t="n"/>
      <c r="C577" s="177" t="n"/>
      <c r="D577" s="177" t="n"/>
      <c r="E577" s="177" t="n"/>
      <c r="F577" s="177" t="n"/>
      <c r="G577" s="177" t="n"/>
      <c r="H577" s="177" t="n"/>
      <c r="I577" s="177" t="n"/>
      <c r="J577" s="177" t="n"/>
      <c r="K577" s="177" t="n"/>
      <c r="L577" s="177" t="n"/>
      <c r="M577" s="177" t="n"/>
      <c r="N577" s="177" t="n"/>
      <c r="O577" s="177" t="n"/>
      <c r="P577" s="177" t="n"/>
      <c r="Q577" s="177" t="n"/>
      <c r="R577" s="177" t="n"/>
      <c r="S577" s="177" t="n"/>
      <c r="T577" s="177" t="n"/>
      <c r="U577" s="177" t="n"/>
      <c r="V577" s="177" t="n"/>
      <c r="W577" s="177" t="n"/>
      <c r="X577" s="177" t="n"/>
      <c r="Y577" s="177" t="n"/>
    </row>
    <row r="578">
      <c r="A578" s="177" t="n"/>
      <c r="B578" s="177" t="n"/>
      <c r="C578" s="177" t="n"/>
      <c r="D578" s="177" t="n"/>
      <c r="E578" s="177" t="n"/>
      <c r="F578" s="177" t="n"/>
      <c r="G578" s="177" t="n"/>
      <c r="H578" s="177" t="n"/>
      <c r="I578" s="177" t="n"/>
      <c r="J578" s="177" t="n"/>
      <c r="K578" s="177" t="n"/>
      <c r="L578" s="177" t="n"/>
      <c r="M578" s="177" t="n"/>
      <c r="N578" s="177" t="n"/>
      <c r="O578" s="177" t="n"/>
      <c r="P578" s="177" t="n"/>
      <c r="Q578" s="177" t="n"/>
      <c r="R578" s="177" t="n"/>
      <c r="S578" s="177" t="n"/>
      <c r="T578" s="177" t="n"/>
      <c r="U578" s="177" t="n"/>
      <c r="V578" s="177" t="n"/>
      <c r="W578" s="177" t="n"/>
      <c r="X578" s="177" t="n"/>
      <c r="Y578" s="177" t="n"/>
    </row>
    <row r="579">
      <c r="A579" s="177" t="n"/>
      <c r="B579" s="177" t="n"/>
      <c r="C579" s="177" t="n"/>
      <c r="D579" s="177" t="n"/>
      <c r="E579" s="177" t="n"/>
      <c r="F579" s="177" t="n"/>
      <c r="G579" s="177" t="n"/>
      <c r="H579" s="177" t="n"/>
      <c r="I579" s="177" t="n"/>
      <c r="J579" s="177" t="n"/>
      <c r="K579" s="177" t="n"/>
      <c r="L579" s="177" t="n"/>
      <c r="M579" s="177" t="n"/>
      <c r="N579" s="177" t="n"/>
      <c r="O579" s="177" t="n"/>
      <c r="P579" s="177" t="n"/>
      <c r="Q579" s="177" t="n"/>
      <c r="R579" s="177" t="n"/>
      <c r="S579" s="177" t="n"/>
      <c r="T579" s="177" t="n"/>
      <c r="U579" s="177" t="n"/>
      <c r="V579" s="177" t="n"/>
      <c r="W579" s="177" t="n"/>
      <c r="X579" s="177" t="n"/>
      <c r="Y579" s="177" t="n"/>
    </row>
    <row r="580">
      <c r="A580" s="177" t="n"/>
      <c r="B580" s="177" t="n"/>
      <c r="C580" s="177" t="n"/>
      <c r="D580" s="177" t="n"/>
      <c r="E580" s="177" t="n"/>
      <c r="F580" s="177" t="n"/>
      <c r="G580" s="177" t="n"/>
      <c r="H580" s="177" t="n"/>
      <c r="I580" s="177" t="n"/>
      <c r="J580" s="177" t="n"/>
      <c r="K580" s="177" t="n"/>
      <c r="L580" s="177" t="n"/>
      <c r="M580" s="177" t="n"/>
      <c r="N580" s="177" t="n"/>
      <c r="O580" s="177" t="n"/>
      <c r="P580" s="177" t="n"/>
      <c r="Q580" s="177" t="n"/>
      <c r="R580" s="177" t="n"/>
      <c r="S580" s="177" t="n"/>
      <c r="T580" s="177" t="n"/>
      <c r="U580" s="177" t="n"/>
      <c r="V580" s="177" t="n"/>
      <c r="W580" s="177" t="n"/>
      <c r="X580" s="177" t="n"/>
      <c r="Y580" s="177" t="n"/>
    </row>
    <row r="581">
      <c r="A581" s="177" t="n"/>
      <c r="B581" s="177" t="n"/>
      <c r="C581" s="177" t="n"/>
      <c r="D581" s="177" t="n"/>
      <c r="E581" s="177" t="n"/>
      <c r="F581" s="177" t="n"/>
      <c r="G581" s="177" t="n"/>
      <c r="H581" s="177" t="n"/>
      <c r="I581" s="177" t="n"/>
      <c r="J581" s="177" t="n"/>
      <c r="K581" s="177" t="n"/>
      <c r="L581" s="177" t="n"/>
      <c r="M581" s="177" t="n"/>
      <c r="N581" s="177" t="n"/>
      <c r="O581" s="177" t="n"/>
      <c r="P581" s="177" t="n"/>
      <c r="Q581" s="177" t="n"/>
      <c r="R581" s="177" t="n"/>
      <c r="S581" s="177" t="n"/>
      <c r="T581" s="177" t="n"/>
      <c r="U581" s="177" t="n"/>
      <c r="V581" s="177" t="n"/>
      <c r="W581" s="177" t="n"/>
      <c r="X581" s="177" t="n"/>
      <c r="Y581" s="177" t="n"/>
    </row>
    <row r="582">
      <c r="A582" s="177" t="n"/>
      <c r="B582" s="177" t="n"/>
      <c r="C582" s="177" t="n"/>
      <c r="D582" s="177" t="n"/>
      <c r="E582" s="177" t="n"/>
      <c r="F582" s="177" t="n"/>
      <c r="G582" s="177" t="n"/>
      <c r="H582" s="177" t="n"/>
      <c r="I582" s="177" t="n"/>
      <c r="J582" s="177" t="n"/>
      <c r="K582" s="177" t="n"/>
      <c r="L582" s="177" t="n"/>
      <c r="M582" s="177" t="n"/>
      <c r="N582" s="177" t="n"/>
      <c r="O582" s="177" t="n"/>
      <c r="P582" s="177" t="n"/>
      <c r="Q582" s="177" t="n"/>
      <c r="R582" s="177" t="n"/>
      <c r="S582" s="177" t="n"/>
      <c r="T582" s="177" t="n"/>
      <c r="U582" s="177" t="n"/>
      <c r="V582" s="177" t="n"/>
      <c r="W582" s="177" t="n"/>
      <c r="X582" s="177" t="n"/>
      <c r="Y582" s="177" t="n"/>
    </row>
    <row r="583">
      <c r="A583" s="177" t="n"/>
      <c r="B583" s="177" t="n"/>
      <c r="C583" s="177" t="n"/>
      <c r="D583" s="177" t="n"/>
      <c r="E583" s="177" t="n"/>
      <c r="F583" s="177" t="n"/>
      <c r="G583" s="177" t="n"/>
      <c r="H583" s="177" t="n"/>
      <c r="I583" s="177" t="n"/>
      <c r="J583" s="177" t="n"/>
      <c r="K583" s="177" t="n"/>
      <c r="L583" s="177" t="n"/>
      <c r="M583" s="177" t="n"/>
      <c r="N583" s="177" t="n"/>
      <c r="O583" s="177" t="n"/>
      <c r="P583" s="177" t="n"/>
      <c r="Q583" s="177" t="n"/>
      <c r="R583" s="177" t="n"/>
      <c r="S583" s="177" t="n"/>
      <c r="T583" s="177" t="n"/>
      <c r="U583" s="177" t="n"/>
      <c r="V583" s="177" t="n"/>
      <c r="W583" s="177" t="n"/>
      <c r="X583" s="177" t="n"/>
      <c r="Y583" s="177" t="n"/>
    </row>
    <row r="584">
      <c r="A584" s="177" t="n"/>
      <c r="B584" s="177" t="n"/>
      <c r="C584" s="177" t="n"/>
      <c r="D584" s="177" t="n"/>
      <c r="E584" s="177" t="n"/>
      <c r="F584" s="177" t="n"/>
      <c r="G584" s="177" t="n"/>
      <c r="H584" s="177" t="n"/>
      <c r="I584" s="177" t="n"/>
      <c r="J584" s="177" t="n"/>
      <c r="K584" s="177" t="n"/>
      <c r="L584" s="177" t="n"/>
      <c r="M584" s="177" t="n"/>
      <c r="N584" s="177" t="n"/>
      <c r="O584" s="177" t="n"/>
      <c r="P584" s="177" t="n"/>
      <c r="Q584" s="177" t="n"/>
      <c r="R584" s="177" t="n"/>
      <c r="S584" s="177" t="n"/>
      <c r="T584" s="177" t="n"/>
      <c r="U584" s="177" t="n"/>
      <c r="V584" s="177" t="n"/>
      <c r="W584" s="177" t="n"/>
      <c r="X584" s="177" t="n"/>
      <c r="Y584" s="177" t="n"/>
    </row>
    <row r="585">
      <c r="A585" s="177" t="n"/>
      <c r="B585" s="177" t="n"/>
      <c r="C585" s="177" t="n"/>
      <c r="D585" s="177" t="n"/>
      <c r="E585" s="177" t="n"/>
      <c r="F585" s="177" t="n"/>
      <c r="G585" s="177" t="n"/>
      <c r="H585" s="177" t="n"/>
      <c r="I585" s="177" t="n"/>
      <c r="J585" s="177" t="n"/>
      <c r="K585" s="177" t="n"/>
      <c r="L585" s="177" t="n"/>
      <c r="M585" s="177" t="n"/>
      <c r="N585" s="177" t="n"/>
      <c r="O585" s="177" t="n"/>
      <c r="P585" s="177" t="n"/>
      <c r="Q585" s="177" t="n"/>
      <c r="R585" s="177" t="n"/>
      <c r="S585" s="177" t="n"/>
      <c r="T585" s="177" t="n"/>
      <c r="U585" s="177" t="n"/>
      <c r="V585" s="177" t="n"/>
      <c r="W585" s="177" t="n"/>
      <c r="X585" s="177" t="n"/>
      <c r="Y585" s="177" t="n"/>
    </row>
    <row r="586">
      <c r="A586" s="177" t="n"/>
      <c r="B586" s="177" t="n"/>
      <c r="C586" s="177" t="n"/>
      <c r="D586" s="177" t="n"/>
      <c r="E586" s="177" t="n"/>
      <c r="F586" s="177" t="n"/>
      <c r="G586" s="177" t="n"/>
      <c r="H586" s="177" t="n"/>
      <c r="I586" s="177" t="n"/>
      <c r="J586" s="177" t="n"/>
      <c r="K586" s="177" t="n"/>
      <c r="L586" s="177" t="n"/>
      <c r="M586" s="177" t="n"/>
      <c r="N586" s="177" t="n"/>
      <c r="O586" s="177" t="n"/>
      <c r="P586" s="177" t="n"/>
      <c r="Q586" s="177" t="n"/>
      <c r="R586" s="177" t="n"/>
      <c r="S586" s="177" t="n"/>
      <c r="T586" s="177" t="n"/>
      <c r="U586" s="177" t="n"/>
      <c r="V586" s="177" t="n"/>
      <c r="W586" s="177" t="n"/>
      <c r="X586" s="177" t="n"/>
      <c r="Y586" s="177" t="n"/>
    </row>
    <row r="587">
      <c r="A587" s="177" t="n"/>
      <c r="B587" s="177" t="n"/>
      <c r="C587" s="177" t="n"/>
      <c r="D587" s="177" t="n"/>
      <c r="E587" s="177" t="n"/>
      <c r="F587" s="177" t="n"/>
      <c r="G587" s="177" t="n"/>
      <c r="H587" s="177" t="n"/>
      <c r="I587" s="177" t="n"/>
      <c r="J587" s="177" t="n"/>
      <c r="K587" s="177" t="n"/>
      <c r="L587" s="177" t="n"/>
      <c r="M587" s="177" t="n"/>
      <c r="N587" s="177" t="n"/>
      <c r="O587" s="177" t="n"/>
      <c r="P587" s="177" t="n"/>
      <c r="Q587" s="177" t="n"/>
      <c r="R587" s="177" t="n"/>
      <c r="S587" s="177" t="n"/>
      <c r="T587" s="177" t="n"/>
      <c r="U587" s="177" t="n"/>
      <c r="V587" s="177" t="n"/>
      <c r="W587" s="177" t="n"/>
      <c r="X587" s="177" t="n"/>
      <c r="Y587" s="177" t="n"/>
    </row>
    <row r="588">
      <c r="A588" s="177" t="n"/>
      <c r="B588" s="177" t="n"/>
      <c r="C588" s="177" t="n"/>
      <c r="D588" s="177" t="n"/>
      <c r="E588" s="177" t="n"/>
      <c r="F588" s="177" t="n"/>
      <c r="G588" s="177" t="n"/>
      <c r="H588" s="177" t="n"/>
      <c r="I588" s="177" t="n"/>
      <c r="J588" s="177" t="n"/>
      <c r="K588" s="177" t="n"/>
      <c r="L588" s="177" t="n"/>
      <c r="M588" s="177" t="n"/>
      <c r="N588" s="177" t="n"/>
      <c r="O588" s="177" t="n"/>
      <c r="P588" s="177" t="n"/>
      <c r="Q588" s="177" t="n"/>
      <c r="R588" s="177" t="n"/>
      <c r="S588" s="177" t="n"/>
      <c r="T588" s="177" t="n"/>
      <c r="U588" s="177" t="n"/>
      <c r="V588" s="177" t="n"/>
      <c r="W588" s="177" t="n"/>
      <c r="X588" s="177" t="n"/>
      <c r="Y588" s="177" t="n"/>
    </row>
    <row r="589">
      <c r="A589" s="177" t="n"/>
      <c r="B589" s="177" t="n"/>
      <c r="C589" s="177" t="n"/>
      <c r="D589" s="177" t="n"/>
      <c r="E589" s="177" t="n"/>
      <c r="F589" s="177" t="n"/>
      <c r="G589" s="177" t="n"/>
      <c r="H589" s="177" t="n"/>
      <c r="I589" s="177" t="n"/>
      <c r="J589" s="177" t="n"/>
      <c r="K589" s="177" t="n"/>
      <c r="L589" s="177" t="n"/>
      <c r="M589" s="177" t="n"/>
      <c r="N589" s="177" t="n"/>
      <c r="O589" s="177" t="n"/>
      <c r="P589" s="177" t="n"/>
      <c r="Q589" s="177" t="n"/>
      <c r="R589" s="177" t="n"/>
      <c r="S589" s="177" t="n"/>
      <c r="T589" s="177" t="n"/>
      <c r="U589" s="177" t="n"/>
      <c r="V589" s="177" t="n"/>
      <c r="W589" s="177" t="n"/>
      <c r="X589" s="177" t="n"/>
      <c r="Y589" s="177" t="n"/>
    </row>
    <row r="590">
      <c r="A590" s="177" t="n"/>
      <c r="B590" s="177" t="n"/>
      <c r="C590" s="177" t="n"/>
      <c r="D590" s="177" t="n"/>
      <c r="E590" s="177" t="n"/>
      <c r="F590" s="177" t="n"/>
      <c r="G590" s="177" t="n"/>
      <c r="H590" s="177" t="n"/>
      <c r="I590" s="177" t="n"/>
      <c r="J590" s="177" t="n"/>
      <c r="K590" s="177" t="n"/>
      <c r="L590" s="177" t="n"/>
      <c r="M590" s="177" t="n"/>
      <c r="N590" s="177" t="n"/>
      <c r="O590" s="177" t="n"/>
      <c r="P590" s="177" t="n"/>
      <c r="Q590" s="177" t="n"/>
      <c r="R590" s="177" t="n"/>
      <c r="S590" s="177" t="n"/>
      <c r="T590" s="177" t="n"/>
      <c r="U590" s="177" t="n"/>
      <c r="V590" s="177" t="n"/>
      <c r="W590" s="177" t="n"/>
      <c r="X590" s="177" t="n"/>
      <c r="Y590" s="177" t="n"/>
    </row>
    <row r="591">
      <c r="A591" s="177" t="n"/>
      <c r="B591" s="177" t="n"/>
      <c r="C591" s="177" t="n"/>
      <c r="D591" s="177" t="n"/>
      <c r="E591" s="177" t="n"/>
      <c r="F591" s="177" t="n"/>
      <c r="G591" s="177" t="n"/>
      <c r="H591" s="177" t="n"/>
      <c r="I591" s="177" t="n"/>
      <c r="J591" s="177" t="n"/>
      <c r="K591" s="177" t="n"/>
      <c r="L591" s="177" t="n"/>
      <c r="M591" s="177" t="n"/>
      <c r="N591" s="177" t="n"/>
      <c r="O591" s="177" t="n"/>
      <c r="P591" s="177" t="n"/>
      <c r="Q591" s="177" t="n"/>
      <c r="R591" s="177" t="n"/>
      <c r="S591" s="177" t="n"/>
      <c r="T591" s="177" t="n"/>
      <c r="U591" s="177" t="n"/>
      <c r="V591" s="177" t="n"/>
      <c r="W591" s="177" t="n"/>
      <c r="X591" s="177" t="n"/>
      <c r="Y591" s="177" t="n"/>
    </row>
    <row r="592">
      <c r="A592" s="177" t="n"/>
      <c r="B592" s="177" t="n"/>
      <c r="C592" s="177" t="n"/>
      <c r="D592" s="177" t="n"/>
      <c r="E592" s="177" t="n"/>
      <c r="F592" s="177" t="n"/>
      <c r="G592" s="177" t="n"/>
      <c r="H592" s="177" t="n"/>
      <c r="I592" s="177" t="n"/>
      <c r="J592" s="177" t="n"/>
      <c r="K592" s="177" t="n"/>
      <c r="L592" s="177" t="n"/>
      <c r="M592" s="177" t="n"/>
      <c r="N592" s="177" t="n"/>
      <c r="O592" s="177" t="n"/>
      <c r="P592" s="177" t="n"/>
      <c r="Q592" s="177" t="n"/>
      <c r="R592" s="177" t="n"/>
      <c r="S592" s="177" t="n"/>
      <c r="T592" s="177" t="n"/>
      <c r="U592" s="177" t="n"/>
      <c r="V592" s="177" t="n"/>
      <c r="W592" s="177" t="n"/>
      <c r="X592" s="177" t="n"/>
      <c r="Y592" s="177" t="n"/>
    </row>
    <row r="593">
      <c r="A593" s="177" t="n"/>
      <c r="B593" s="177" t="n"/>
      <c r="C593" s="177" t="n"/>
      <c r="D593" s="177" t="n"/>
      <c r="E593" s="177" t="n"/>
      <c r="F593" s="177" t="n"/>
      <c r="G593" s="177" t="n"/>
      <c r="H593" s="177" t="n"/>
      <c r="I593" s="177" t="n"/>
      <c r="J593" s="177" t="n"/>
      <c r="K593" s="177" t="n"/>
      <c r="L593" s="177" t="n"/>
      <c r="M593" s="177" t="n"/>
      <c r="N593" s="177" t="n"/>
      <c r="O593" s="177" t="n"/>
      <c r="P593" s="177" t="n"/>
      <c r="Q593" s="177" t="n"/>
      <c r="R593" s="177" t="n"/>
      <c r="S593" s="177" t="n"/>
      <c r="T593" s="177" t="n"/>
      <c r="U593" s="177" t="n"/>
      <c r="V593" s="177" t="n"/>
      <c r="W593" s="177" t="n"/>
      <c r="X593" s="177" t="n"/>
      <c r="Y593" s="177" t="n"/>
    </row>
    <row r="594">
      <c r="A594" s="177" t="n"/>
      <c r="B594" s="177" t="n"/>
      <c r="C594" s="177" t="n"/>
      <c r="D594" s="177" t="n"/>
      <c r="E594" s="177" t="n"/>
      <c r="F594" s="177" t="n"/>
      <c r="G594" s="177" t="n"/>
      <c r="H594" s="177" t="n"/>
      <c r="I594" s="177" t="n"/>
      <c r="J594" s="177" t="n"/>
      <c r="K594" s="177" t="n"/>
      <c r="L594" s="177" t="n"/>
      <c r="M594" s="177" t="n"/>
      <c r="N594" s="177" t="n"/>
      <c r="O594" s="177" t="n"/>
      <c r="P594" s="177" t="n"/>
      <c r="Q594" s="177" t="n"/>
      <c r="R594" s="177" t="n"/>
      <c r="S594" s="177" t="n"/>
      <c r="T594" s="177" t="n"/>
      <c r="U594" s="177" t="n"/>
      <c r="V594" s="177" t="n"/>
      <c r="W594" s="177" t="n"/>
      <c r="X594" s="177" t="n"/>
      <c r="Y594" s="177" t="n"/>
    </row>
    <row r="595">
      <c r="A595" s="177" t="n"/>
      <c r="B595" s="177" t="n"/>
      <c r="C595" s="177" t="n"/>
      <c r="D595" s="177" t="n"/>
      <c r="E595" s="177" t="n"/>
      <c r="F595" s="177" t="n"/>
      <c r="G595" s="177" t="n"/>
      <c r="H595" s="177" t="n"/>
      <c r="I595" s="177" t="n"/>
      <c r="J595" s="177" t="n"/>
      <c r="K595" s="177" t="n"/>
      <c r="L595" s="177" t="n"/>
      <c r="M595" s="177" t="n"/>
      <c r="N595" s="177" t="n"/>
      <c r="O595" s="177" t="n"/>
      <c r="P595" s="177" t="n"/>
      <c r="Q595" s="177" t="n"/>
      <c r="R595" s="177" t="n"/>
      <c r="S595" s="177" t="n"/>
      <c r="T595" s="177" t="n"/>
      <c r="U595" s="177" t="n"/>
      <c r="V595" s="177" t="n"/>
      <c r="W595" s="177" t="n"/>
      <c r="X595" s="177" t="n"/>
      <c r="Y595" s="177" t="n"/>
    </row>
    <row r="596">
      <c r="A596" s="177" t="n"/>
      <c r="B596" s="177" t="n"/>
      <c r="C596" s="177" t="n"/>
      <c r="D596" s="177" t="n"/>
      <c r="E596" s="177" t="n"/>
      <c r="F596" s="177" t="n"/>
      <c r="G596" s="177" t="n"/>
      <c r="H596" s="177" t="n"/>
      <c r="I596" s="177" t="n"/>
      <c r="J596" s="177" t="n"/>
      <c r="K596" s="177" t="n"/>
      <c r="L596" s="177" t="n"/>
      <c r="M596" s="177" t="n"/>
      <c r="N596" s="177" t="n"/>
      <c r="O596" s="177" t="n"/>
      <c r="P596" s="177" t="n"/>
      <c r="Q596" s="177" t="n"/>
      <c r="R596" s="177" t="n"/>
      <c r="S596" s="177" t="n"/>
      <c r="T596" s="177" t="n"/>
      <c r="U596" s="177" t="n"/>
      <c r="V596" s="177" t="n"/>
      <c r="W596" s="177" t="n"/>
      <c r="X596" s="177" t="n"/>
      <c r="Y596" s="177" t="n"/>
    </row>
    <row r="597">
      <c r="A597" s="177" t="n"/>
      <c r="B597" s="177" t="n"/>
      <c r="C597" s="177" t="n"/>
      <c r="D597" s="177" t="n"/>
      <c r="E597" s="177" t="n"/>
      <c r="F597" s="177" t="n"/>
      <c r="G597" s="177" t="n"/>
      <c r="H597" s="177" t="n"/>
      <c r="I597" s="177" t="n"/>
      <c r="J597" s="177" t="n"/>
      <c r="K597" s="177" t="n"/>
      <c r="L597" s="177" t="n"/>
      <c r="M597" s="177" t="n"/>
      <c r="N597" s="177" t="n"/>
      <c r="O597" s="177" t="n"/>
      <c r="P597" s="177" t="n"/>
      <c r="Q597" s="177" t="n"/>
      <c r="R597" s="177" t="n"/>
      <c r="S597" s="177" t="n"/>
      <c r="T597" s="177" t="n"/>
      <c r="U597" s="177" t="n"/>
      <c r="V597" s="177" t="n"/>
      <c r="W597" s="177" t="n"/>
      <c r="X597" s="177" t="n"/>
      <c r="Y597" s="177" t="n"/>
    </row>
    <row r="598">
      <c r="A598" s="177" t="n"/>
      <c r="B598" s="177" t="n"/>
      <c r="C598" s="177" t="n"/>
      <c r="D598" s="177" t="n"/>
      <c r="E598" s="177" t="n"/>
      <c r="F598" s="177" t="n"/>
      <c r="G598" s="177" t="n"/>
      <c r="H598" s="177" t="n"/>
      <c r="I598" s="177" t="n"/>
      <c r="J598" s="177" t="n"/>
      <c r="K598" s="177" t="n"/>
      <c r="L598" s="177" t="n"/>
      <c r="M598" s="177" t="n"/>
      <c r="N598" s="177" t="n"/>
      <c r="O598" s="177" t="n"/>
      <c r="P598" s="177" t="n"/>
      <c r="Q598" s="177" t="n"/>
      <c r="R598" s="177" t="n"/>
      <c r="S598" s="177" t="n"/>
      <c r="T598" s="177" t="n"/>
      <c r="U598" s="177" t="n"/>
      <c r="V598" s="177" t="n"/>
      <c r="W598" s="177" t="n"/>
      <c r="X598" s="177" t="n"/>
      <c r="Y598" s="177" t="n"/>
    </row>
    <row r="599">
      <c r="A599" s="177" t="n"/>
      <c r="B599" s="177" t="n"/>
      <c r="C599" s="177" t="n"/>
      <c r="D599" s="177" t="n"/>
      <c r="E599" s="177" t="n"/>
      <c r="F599" s="177" t="n"/>
      <c r="G599" s="177" t="n"/>
      <c r="H599" s="177" t="n"/>
      <c r="I599" s="177" t="n"/>
      <c r="J599" s="177" t="n"/>
      <c r="K599" s="177" t="n"/>
      <c r="L599" s="177" t="n"/>
      <c r="M599" s="177" t="n"/>
      <c r="N599" s="177" t="n"/>
      <c r="O599" s="177" t="n"/>
      <c r="P599" s="177" t="n"/>
      <c r="Q599" s="177" t="n"/>
      <c r="R599" s="177" t="n"/>
      <c r="S599" s="177" t="n"/>
      <c r="T599" s="177" t="n"/>
      <c r="U599" s="177" t="n"/>
      <c r="V599" s="177" t="n"/>
      <c r="W599" s="177" t="n"/>
      <c r="X599" s="177" t="n"/>
      <c r="Y599" s="177" t="n"/>
    </row>
    <row r="600">
      <c r="A600" s="177" t="n"/>
      <c r="B600" s="177" t="n"/>
      <c r="C600" s="177" t="n"/>
      <c r="D600" s="177" t="n"/>
      <c r="E600" s="177" t="n"/>
      <c r="F600" s="177" t="n"/>
      <c r="G600" s="177" t="n"/>
      <c r="H600" s="177" t="n"/>
      <c r="I600" s="177" t="n"/>
      <c r="J600" s="177" t="n"/>
      <c r="K600" s="177" t="n"/>
      <c r="L600" s="177" t="n"/>
      <c r="M600" s="177" t="n"/>
      <c r="N600" s="177" t="n"/>
      <c r="O600" s="177" t="n"/>
      <c r="P600" s="177" t="n"/>
      <c r="Q600" s="177" t="n"/>
      <c r="R600" s="177" t="n"/>
      <c r="S600" s="177" t="n"/>
      <c r="T600" s="177" t="n"/>
      <c r="U600" s="177" t="n"/>
      <c r="V600" s="177" t="n"/>
      <c r="W600" s="177" t="n"/>
      <c r="X600" s="177" t="n"/>
      <c r="Y600" s="177" t="n"/>
    </row>
    <row r="601">
      <c r="A601" s="177" t="n"/>
      <c r="B601" s="177" t="n"/>
      <c r="C601" s="177" t="n"/>
      <c r="D601" s="177" t="n"/>
      <c r="E601" s="177" t="n"/>
      <c r="F601" s="177" t="n"/>
      <c r="G601" s="177" t="n"/>
      <c r="H601" s="177" t="n"/>
      <c r="I601" s="177" t="n"/>
      <c r="J601" s="177" t="n"/>
      <c r="K601" s="177" t="n"/>
      <c r="L601" s="177" t="n"/>
      <c r="M601" s="177" t="n"/>
      <c r="N601" s="177" t="n"/>
      <c r="O601" s="177" t="n"/>
      <c r="P601" s="177" t="n"/>
      <c r="Q601" s="177" t="n"/>
      <c r="R601" s="177" t="n"/>
      <c r="S601" s="177" t="n"/>
      <c r="T601" s="177" t="n"/>
      <c r="U601" s="177" t="n"/>
      <c r="V601" s="177" t="n"/>
      <c r="W601" s="177" t="n"/>
      <c r="X601" s="177" t="n"/>
      <c r="Y601" s="177" t="n"/>
    </row>
    <row r="602">
      <c r="A602" s="177" t="n"/>
      <c r="B602" s="177" t="n"/>
      <c r="C602" s="177" t="n"/>
      <c r="D602" s="177" t="n"/>
      <c r="E602" s="177" t="n"/>
      <c r="F602" s="177" t="n"/>
      <c r="G602" s="177" t="n"/>
      <c r="H602" s="177" t="n"/>
      <c r="I602" s="177" t="n"/>
      <c r="J602" s="177" t="n"/>
      <c r="K602" s="177" t="n"/>
      <c r="L602" s="177" t="n"/>
      <c r="M602" s="177" t="n"/>
      <c r="N602" s="177" t="n"/>
      <c r="O602" s="177" t="n"/>
      <c r="P602" s="177" t="n"/>
      <c r="Q602" s="177" t="n"/>
      <c r="R602" s="177" t="n"/>
      <c r="S602" s="177" t="n"/>
      <c r="T602" s="177" t="n"/>
      <c r="U602" s="177" t="n"/>
      <c r="V602" s="177" t="n"/>
      <c r="W602" s="177" t="n"/>
      <c r="X602" s="177" t="n"/>
      <c r="Y602" s="177" t="n"/>
    </row>
    <row r="603">
      <c r="A603" s="177" t="n"/>
      <c r="B603" s="177" t="n"/>
      <c r="C603" s="177" t="n"/>
      <c r="D603" s="177" t="n"/>
      <c r="E603" s="177" t="n"/>
      <c r="F603" s="177" t="n"/>
      <c r="G603" s="177" t="n"/>
      <c r="H603" s="177" t="n"/>
      <c r="I603" s="177" t="n"/>
      <c r="J603" s="177" t="n"/>
      <c r="K603" s="177" t="n"/>
      <c r="L603" s="177" t="n"/>
      <c r="M603" s="177" t="n"/>
      <c r="N603" s="177" t="n"/>
      <c r="O603" s="177" t="n"/>
      <c r="P603" s="177" t="n"/>
      <c r="Q603" s="177" t="n"/>
      <c r="R603" s="177" t="n"/>
      <c r="S603" s="177" t="n"/>
      <c r="T603" s="177" t="n"/>
      <c r="U603" s="177" t="n"/>
      <c r="V603" s="177" t="n"/>
      <c r="W603" s="177" t="n"/>
      <c r="X603" s="177" t="n"/>
      <c r="Y603" s="177" t="n"/>
    </row>
    <row r="604">
      <c r="A604" s="177" t="n"/>
      <c r="B604" s="177" t="n"/>
      <c r="C604" s="177" t="n"/>
      <c r="D604" s="177" t="n"/>
      <c r="E604" s="177" t="n"/>
      <c r="F604" s="177" t="n"/>
      <c r="G604" s="177" t="n"/>
      <c r="H604" s="177" t="n"/>
      <c r="I604" s="177" t="n"/>
      <c r="J604" s="177" t="n"/>
      <c r="K604" s="177" t="n"/>
      <c r="L604" s="177" t="n"/>
      <c r="M604" s="177" t="n"/>
      <c r="N604" s="177" t="n"/>
      <c r="O604" s="177" t="n"/>
      <c r="P604" s="177" t="n"/>
      <c r="Q604" s="177" t="n"/>
      <c r="R604" s="177" t="n"/>
      <c r="S604" s="177" t="n"/>
      <c r="T604" s="177" t="n"/>
      <c r="U604" s="177" t="n"/>
      <c r="V604" s="177" t="n"/>
      <c r="W604" s="177" t="n"/>
      <c r="X604" s="177" t="n"/>
      <c r="Y604" s="177" t="n"/>
    </row>
    <row r="605">
      <c r="A605" s="177" t="n"/>
      <c r="B605" s="177" t="n"/>
      <c r="C605" s="177" t="n"/>
      <c r="D605" s="177" t="n"/>
      <c r="E605" s="177" t="n"/>
      <c r="F605" s="177" t="n"/>
      <c r="G605" s="177" t="n"/>
      <c r="H605" s="177" t="n"/>
      <c r="I605" s="177" t="n"/>
      <c r="J605" s="177" t="n"/>
      <c r="K605" s="177" t="n"/>
      <c r="L605" s="177" t="n"/>
      <c r="M605" s="177" t="n"/>
      <c r="N605" s="177" t="n"/>
      <c r="O605" s="177" t="n"/>
      <c r="P605" s="177" t="n"/>
      <c r="Q605" s="177" t="n"/>
      <c r="R605" s="177" t="n"/>
      <c r="S605" s="177" t="n"/>
      <c r="T605" s="177" t="n"/>
      <c r="U605" s="177" t="n"/>
      <c r="V605" s="177" t="n"/>
      <c r="W605" s="177" t="n"/>
      <c r="X605" s="177" t="n"/>
      <c r="Y605" s="177" t="n"/>
    </row>
    <row r="606">
      <c r="A606" s="177" t="n"/>
      <c r="B606" s="177" t="n"/>
      <c r="C606" s="177" t="n"/>
      <c r="D606" s="177" t="n"/>
      <c r="E606" s="177" t="n"/>
      <c r="F606" s="177" t="n"/>
      <c r="G606" s="177" t="n"/>
      <c r="H606" s="177" t="n"/>
      <c r="I606" s="177" t="n"/>
      <c r="J606" s="177" t="n"/>
      <c r="K606" s="177" t="n"/>
      <c r="L606" s="177" t="n"/>
      <c r="M606" s="177" t="n"/>
      <c r="N606" s="177" t="n"/>
      <c r="O606" s="177" t="n"/>
      <c r="P606" s="177" t="n"/>
      <c r="Q606" s="177" t="n"/>
      <c r="R606" s="177" t="n"/>
      <c r="S606" s="177" t="n"/>
      <c r="T606" s="177" t="n"/>
      <c r="U606" s="177" t="n"/>
      <c r="V606" s="177" t="n"/>
      <c r="W606" s="177" t="n"/>
      <c r="X606" s="177" t="n"/>
      <c r="Y606" s="177" t="n"/>
    </row>
    <row r="607">
      <c r="A607" s="177" t="n"/>
      <c r="B607" s="177" t="n"/>
      <c r="C607" s="177" t="n"/>
      <c r="D607" s="177" t="n"/>
      <c r="E607" s="177" t="n"/>
      <c r="F607" s="177" t="n"/>
      <c r="G607" s="177" t="n"/>
      <c r="H607" s="177" t="n"/>
      <c r="I607" s="177" t="n"/>
      <c r="J607" s="177" t="n"/>
      <c r="K607" s="177" t="n"/>
      <c r="L607" s="177" t="n"/>
      <c r="M607" s="177" t="n"/>
      <c r="N607" s="177" t="n"/>
      <c r="O607" s="177" t="n"/>
      <c r="P607" s="177" t="n"/>
      <c r="Q607" s="177" t="n"/>
      <c r="R607" s="177" t="n"/>
      <c r="S607" s="177" t="n"/>
      <c r="T607" s="177" t="n"/>
      <c r="U607" s="177" t="n"/>
      <c r="V607" s="177" t="n"/>
      <c r="W607" s="177" t="n"/>
      <c r="X607" s="177" t="n"/>
      <c r="Y607" s="177" t="n"/>
    </row>
    <row r="608">
      <c r="A608" s="177" t="n"/>
      <c r="B608" s="177" t="n"/>
      <c r="C608" s="177" t="n"/>
      <c r="D608" s="177" t="n"/>
      <c r="E608" s="177" t="n"/>
      <c r="F608" s="177" t="n"/>
      <c r="G608" s="177" t="n"/>
      <c r="H608" s="177" t="n"/>
      <c r="I608" s="177" t="n"/>
      <c r="J608" s="177" t="n"/>
      <c r="K608" s="177" t="n"/>
      <c r="L608" s="177" t="n"/>
      <c r="M608" s="177" t="n"/>
      <c r="N608" s="177" t="n"/>
      <c r="O608" s="177" t="n"/>
      <c r="P608" s="177" t="n"/>
      <c r="Q608" s="177" t="n"/>
      <c r="R608" s="177" t="n"/>
      <c r="S608" s="177" t="n"/>
      <c r="T608" s="177" t="n"/>
      <c r="U608" s="177" t="n"/>
      <c r="V608" s="177" t="n"/>
      <c r="W608" s="177" t="n"/>
      <c r="X608" s="177" t="n"/>
      <c r="Y608" s="177" t="n"/>
    </row>
    <row r="609">
      <c r="A609" s="177" t="n"/>
      <c r="B609" s="177" t="n"/>
      <c r="C609" s="177" t="n"/>
      <c r="D609" s="177" t="n"/>
      <c r="E609" s="177" t="n"/>
      <c r="F609" s="177" t="n"/>
      <c r="G609" s="177" t="n"/>
      <c r="H609" s="177" t="n"/>
      <c r="I609" s="177" t="n"/>
      <c r="J609" s="177" t="n"/>
      <c r="K609" s="177" t="n"/>
      <c r="L609" s="177" t="n"/>
      <c r="M609" s="177" t="n"/>
      <c r="N609" s="177" t="n"/>
      <c r="O609" s="177" t="n"/>
      <c r="P609" s="177" t="n"/>
      <c r="Q609" s="177" t="n"/>
      <c r="R609" s="177" t="n"/>
      <c r="S609" s="177" t="n"/>
      <c r="T609" s="177" t="n"/>
      <c r="U609" s="177" t="n"/>
      <c r="V609" s="177" t="n"/>
      <c r="W609" s="177" t="n"/>
      <c r="X609" s="177" t="n"/>
      <c r="Y609" s="177" t="n"/>
    </row>
    <row r="610">
      <c r="A610" s="177" t="n"/>
      <c r="B610" s="177" t="n"/>
      <c r="C610" s="177" t="n"/>
      <c r="D610" s="177" t="n"/>
      <c r="E610" s="177" t="n"/>
      <c r="F610" s="177" t="n"/>
      <c r="G610" s="177" t="n"/>
      <c r="H610" s="177" t="n"/>
      <c r="I610" s="177" t="n"/>
      <c r="J610" s="177" t="n"/>
      <c r="K610" s="177" t="n"/>
      <c r="L610" s="177" t="n"/>
      <c r="M610" s="177" t="n"/>
      <c r="N610" s="177" t="n"/>
      <c r="O610" s="177" t="n"/>
      <c r="P610" s="177" t="n"/>
      <c r="Q610" s="177" t="n"/>
      <c r="R610" s="177" t="n"/>
      <c r="S610" s="177" t="n"/>
      <c r="T610" s="177" t="n"/>
      <c r="U610" s="177" t="n"/>
      <c r="V610" s="177" t="n"/>
      <c r="W610" s="177" t="n"/>
      <c r="X610" s="177" t="n"/>
      <c r="Y610" s="177" t="n"/>
    </row>
    <row r="611">
      <c r="A611" s="177" t="n"/>
      <c r="B611" s="177" t="n"/>
      <c r="C611" s="177" t="n"/>
      <c r="D611" s="177" t="n"/>
      <c r="E611" s="177" t="n"/>
      <c r="F611" s="177" t="n"/>
      <c r="G611" s="177" t="n"/>
      <c r="H611" s="177" t="n"/>
      <c r="I611" s="177" t="n"/>
      <c r="J611" s="177" t="n"/>
      <c r="K611" s="177" t="n"/>
      <c r="L611" s="177" t="n"/>
      <c r="M611" s="177" t="n"/>
      <c r="N611" s="177" t="n"/>
      <c r="O611" s="177" t="n"/>
      <c r="P611" s="177" t="n"/>
      <c r="Q611" s="177" t="n"/>
      <c r="R611" s="177" t="n"/>
      <c r="S611" s="177" t="n"/>
      <c r="T611" s="177" t="n"/>
      <c r="U611" s="177" t="n"/>
      <c r="V611" s="177" t="n"/>
      <c r="W611" s="177" t="n"/>
      <c r="X611" s="177" t="n"/>
      <c r="Y611" s="177" t="n"/>
    </row>
    <row r="612">
      <c r="A612" s="177" t="n"/>
      <c r="B612" s="177" t="n"/>
      <c r="C612" s="177" t="n"/>
      <c r="D612" s="177" t="n"/>
      <c r="E612" s="177" t="n"/>
      <c r="F612" s="177" t="n"/>
      <c r="G612" s="177" t="n"/>
      <c r="H612" s="177" t="n"/>
      <c r="I612" s="177" t="n"/>
      <c r="J612" s="177" t="n"/>
      <c r="K612" s="177" t="n"/>
      <c r="L612" s="177" t="n"/>
      <c r="M612" s="177" t="n"/>
      <c r="N612" s="177" t="n"/>
      <c r="O612" s="177" t="n"/>
      <c r="P612" s="177" t="n"/>
      <c r="Q612" s="177" t="n"/>
      <c r="R612" s="177" t="n"/>
      <c r="S612" s="177" t="n"/>
      <c r="T612" s="177" t="n"/>
      <c r="U612" s="177" t="n"/>
      <c r="V612" s="177" t="n"/>
      <c r="W612" s="177" t="n"/>
      <c r="X612" s="177" t="n"/>
      <c r="Y612" s="177" t="n"/>
    </row>
    <row r="613">
      <c r="A613" s="177" t="n"/>
      <c r="B613" s="177" t="n"/>
      <c r="C613" s="177" t="n"/>
      <c r="D613" s="177" t="n"/>
      <c r="E613" s="177" t="n"/>
      <c r="F613" s="177" t="n"/>
      <c r="G613" s="177" t="n"/>
      <c r="H613" s="177" t="n"/>
      <c r="I613" s="177" t="n"/>
      <c r="J613" s="177" t="n"/>
      <c r="K613" s="177" t="n"/>
      <c r="L613" s="177" t="n"/>
      <c r="M613" s="177" t="n"/>
      <c r="N613" s="177" t="n"/>
      <c r="O613" s="177" t="n"/>
      <c r="P613" s="177" t="n"/>
      <c r="Q613" s="177" t="n"/>
      <c r="R613" s="177" t="n"/>
      <c r="S613" s="177" t="n"/>
      <c r="T613" s="177" t="n"/>
      <c r="U613" s="177" t="n"/>
      <c r="V613" s="177" t="n"/>
      <c r="W613" s="177" t="n"/>
      <c r="X613" s="177" t="n"/>
      <c r="Y613" s="177" t="n"/>
    </row>
    <row r="614">
      <c r="A614" s="177" t="n"/>
      <c r="B614" s="177" t="n"/>
      <c r="C614" s="177" t="n"/>
      <c r="D614" s="177" t="n"/>
      <c r="E614" s="177" t="n"/>
      <c r="F614" s="177" t="n"/>
      <c r="G614" s="177" t="n"/>
      <c r="H614" s="177" t="n"/>
      <c r="I614" s="177" t="n"/>
      <c r="J614" s="177" t="n"/>
      <c r="K614" s="177" t="n"/>
      <c r="L614" s="177" t="n"/>
      <c r="M614" s="177" t="n"/>
      <c r="N614" s="177" t="n"/>
      <c r="O614" s="177" t="n"/>
      <c r="P614" s="177" t="n"/>
      <c r="Q614" s="177" t="n"/>
      <c r="R614" s="177" t="n"/>
      <c r="S614" s="177" t="n"/>
      <c r="T614" s="177" t="n"/>
      <c r="U614" s="177" t="n"/>
      <c r="V614" s="177" t="n"/>
      <c r="W614" s="177" t="n"/>
      <c r="X614" s="177" t="n"/>
      <c r="Y614" s="177" t="n"/>
    </row>
    <row r="615">
      <c r="A615" s="177" t="n"/>
      <c r="B615" s="177" t="n"/>
      <c r="C615" s="177" t="n"/>
      <c r="D615" s="177" t="n"/>
      <c r="E615" s="177" t="n"/>
      <c r="F615" s="177" t="n"/>
      <c r="G615" s="177" t="n"/>
      <c r="H615" s="177" t="n"/>
      <c r="I615" s="177" t="n"/>
      <c r="J615" s="177" t="n"/>
      <c r="K615" s="177" t="n"/>
      <c r="L615" s="177" t="n"/>
      <c r="M615" s="177" t="n"/>
      <c r="N615" s="177" t="n"/>
      <c r="O615" s="177" t="n"/>
      <c r="P615" s="177" t="n"/>
      <c r="Q615" s="177" t="n"/>
      <c r="R615" s="177" t="n"/>
      <c r="S615" s="177" t="n"/>
      <c r="T615" s="177" t="n"/>
      <c r="U615" s="177" t="n"/>
      <c r="V615" s="177" t="n"/>
      <c r="W615" s="177" t="n"/>
      <c r="X615" s="177" t="n"/>
      <c r="Y615" s="177" t="n"/>
    </row>
    <row r="616">
      <c r="A616" s="177" t="n"/>
      <c r="B616" s="177" t="n"/>
      <c r="C616" s="177" t="n"/>
      <c r="D616" s="177" t="n"/>
      <c r="E616" s="177" t="n"/>
      <c r="F616" s="177" t="n"/>
      <c r="G616" s="177" t="n"/>
      <c r="H616" s="177" t="n"/>
      <c r="I616" s="177" t="n"/>
      <c r="J616" s="177" t="n"/>
      <c r="K616" s="177" t="n"/>
      <c r="L616" s="177" t="n"/>
      <c r="M616" s="177" t="n"/>
      <c r="N616" s="177" t="n"/>
      <c r="O616" s="177" t="n"/>
      <c r="P616" s="177" t="n"/>
      <c r="Q616" s="177" t="n"/>
      <c r="R616" s="177" t="n"/>
      <c r="S616" s="177" t="n"/>
      <c r="T616" s="177" t="n"/>
      <c r="U616" s="177" t="n"/>
      <c r="V616" s="177" t="n"/>
      <c r="W616" s="177" t="n"/>
      <c r="X616" s="177" t="n"/>
      <c r="Y616" s="177" t="n"/>
    </row>
    <row r="617">
      <c r="A617" s="177" t="n"/>
      <c r="B617" s="177" t="n"/>
      <c r="C617" s="177" t="n"/>
      <c r="D617" s="177" t="n"/>
      <c r="E617" s="177" t="n"/>
      <c r="F617" s="177" t="n"/>
      <c r="G617" s="177" t="n"/>
      <c r="H617" s="177" t="n"/>
      <c r="I617" s="177" t="n"/>
      <c r="J617" s="177" t="n"/>
      <c r="K617" s="177" t="n"/>
      <c r="L617" s="177" t="n"/>
      <c r="M617" s="177" t="n"/>
      <c r="N617" s="177" t="n"/>
      <c r="O617" s="177" t="n"/>
      <c r="P617" s="177" t="n"/>
      <c r="Q617" s="177" t="n"/>
      <c r="R617" s="177" t="n"/>
      <c r="S617" s="177" t="n"/>
      <c r="T617" s="177" t="n"/>
      <c r="U617" s="177" t="n"/>
      <c r="V617" s="177" t="n"/>
      <c r="W617" s="177" t="n"/>
      <c r="X617" s="177" t="n"/>
      <c r="Y617" s="177" t="n"/>
    </row>
    <row r="618">
      <c r="A618" s="177" t="n"/>
      <c r="B618" s="177" t="n"/>
      <c r="C618" s="177" t="n"/>
      <c r="D618" s="177" t="n"/>
      <c r="E618" s="177" t="n"/>
      <c r="F618" s="177" t="n"/>
      <c r="G618" s="177" t="n"/>
      <c r="H618" s="177" t="n"/>
      <c r="I618" s="177" t="n"/>
      <c r="J618" s="177" t="n"/>
      <c r="K618" s="177" t="n"/>
      <c r="L618" s="177" t="n"/>
      <c r="M618" s="177" t="n"/>
      <c r="N618" s="177" t="n"/>
      <c r="O618" s="177" t="n"/>
      <c r="P618" s="177" t="n"/>
      <c r="Q618" s="177" t="n"/>
      <c r="R618" s="177" t="n"/>
      <c r="S618" s="177" t="n"/>
      <c r="T618" s="177" t="n"/>
      <c r="U618" s="177" t="n"/>
      <c r="V618" s="177" t="n"/>
      <c r="W618" s="177" t="n"/>
      <c r="X618" s="177" t="n"/>
      <c r="Y618" s="177" t="n"/>
    </row>
    <row r="619">
      <c r="A619" s="177" t="n"/>
      <c r="B619" s="177" t="n"/>
      <c r="C619" s="177" t="n"/>
      <c r="D619" s="177" t="n"/>
      <c r="E619" s="177" t="n"/>
      <c r="F619" s="177" t="n"/>
      <c r="G619" s="177" t="n"/>
      <c r="H619" s="177" t="n"/>
      <c r="I619" s="177" t="n"/>
      <c r="J619" s="177" t="n"/>
      <c r="K619" s="177" t="n"/>
      <c r="L619" s="177" t="n"/>
      <c r="M619" s="177" t="n"/>
      <c r="N619" s="177" t="n"/>
      <c r="O619" s="177" t="n"/>
      <c r="P619" s="177" t="n"/>
      <c r="Q619" s="177" t="n"/>
      <c r="R619" s="177" t="n"/>
      <c r="S619" s="177" t="n"/>
      <c r="T619" s="177" t="n"/>
      <c r="U619" s="177" t="n"/>
      <c r="V619" s="177" t="n"/>
      <c r="W619" s="177" t="n"/>
      <c r="X619" s="177" t="n"/>
      <c r="Y619" s="177" t="n"/>
    </row>
    <row r="620">
      <c r="A620" s="177" t="n"/>
      <c r="B620" s="177" t="n"/>
      <c r="C620" s="177" t="n"/>
      <c r="D620" s="177" t="n"/>
      <c r="E620" s="177" t="n"/>
      <c r="F620" s="177" t="n"/>
      <c r="G620" s="177" t="n"/>
      <c r="H620" s="177" t="n"/>
      <c r="I620" s="177" t="n"/>
      <c r="J620" s="177" t="n"/>
      <c r="K620" s="177" t="n"/>
      <c r="L620" s="177" t="n"/>
      <c r="M620" s="177" t="n"/>
      <c r="N620" s="177" t="n"/>
      <c r="O620" s="177" t="n"/>
      <c r="P620" s="177" t="n"/>
      <c r="Q620" s="177" t="n"/>
      <c r="R620" s="177" t="n"/>
      <c r="S620" s="177" t="n"/>
      <c r="T620" s="177" t="n"/>
      <c r="U620" s="177" t="n"/>
      <c r="V620" s="177" t="n"/>
      <c r="W620" s="177" t="n"/>
      <c r="X620" s="177" t="n"/>
      <c r="Y620" s="177" t="n"/>
    </row>
    <row r="621">
      <c r="A621" s="177" t="n"/>
      <c r="B621" s="177" t="n"/>
      <c r="C621" s="177" t="n"/>
      <c r="D621" s="177" t="n"/>
      <c r="E621" s="177" t="n"/>
      <c r="F621" s="177" t="n"/>
      <c r="G621" s="177" t="n"/>
      <c r="H621" s="177" t="n"/>
      <c r="I621" s="177" t="n"/>
      <c r="J621" s="177" t="n"/>
      <c r="K621" s="177" t="n"/>
      <c r="L621" s="177" t="n"/>
      <c r="M621" s="177" t="n"/>
      <c r="N621" s="177" t="n"/>
      <c r="O621" s="177" t="n"/>
      <c r="P621" s="177" t="n"/>
      <c r="Q621" s="177" t="n"/>
      <c r="R621" s="177" t="n"/>
      <c r="S621" s="177" t="n"/>
      <c r="T621" s="177" t="n"/>
      <c r="U621" s="177" t="n"/>
      <c r="V621" s="177" t="n"/>
      <c r="W621" s="177" t="n"/>
      <c r="X621" s="177" t="n"/>
      <c r="Y621" s="177" t="n"/>
    </row>
    <row r="622">
      <c r="A622" s="177" t="n"/>
      <c r="B622" s="177" t="n"/>
      <c r="C622" s="177" t="n"/>
      <c r="D622" s="177" t="n"/>
      <c r="E622" s="177" t="n"/>
      <c r="F622" s="177" t="n"/>
      <c r="G622" s="177" t="n"/>
      <c r="H622" s="177" t="n"/>
      <c r="I622" s="177" t="n"/>
      <c r="J622" s="177" t="n"/>
      <c r="K622" s="177" t="n"/>
      <c r="L622" s="177" t="n"/>
      <c r="M622" s="177" t="n"/>
      <c r="N622" s="177" t="n"/>
      <c r="O622" s="177" t="n"/>
      <c r="P622" s="177" t="n"/>
      <c r="Q622" s="177" t="n"/>
      <c r="R622" s="177" t="n"/>
      <c r="S622" s="177" t="n"/>
      <c r="T622" s="177" t="n"/>
      <c r="U622" s="177" t="n"/>
      <c r="V622" s="177" t="n"/>
      <c r="W622" s="177" t="n"/>
      <c r="X622" s="177" t="n"/>
      <c r="Y622" s="177" t="n"/>
    </row>
    <row r="623">
      <c r="A623" s="177" t="n"/>
      <c r="B623" s="177" t="n"/>
      <c r="C623" s="177" t="n"/>
      <c r="D623" s="177" t="n"/>
      <c r="E623" s="177" t="n"/>
      <c r="F623" s="177" t="n"/>
      <c r="G623" s="177" t="n"/>
      <c r="H623" s="177" t="n"/>
      <c r="I623" s="177" t="n"/>
      <c r="J623" s="177" t="n"/>
      <c r="K623" s="177" t="n"/>
      <c r="L623" s="177" t="n"/>
      <c r="M623" s="177" t="n"/>
      <c r="N623" s="177" t="n"/>
      <c r="O623" s="177" t="n"/>
      <c r="P623" s="177" t="n"/>
      <c r="Q623" s="177" t="n"/>
      <c r="R623" s="177" t="n"/>
      <c r="S623" s="177" t="n"/>
      <c r="T623" s="177" t="n"/>
      <c r="U623" s="177" t="n"/>
      <c r="V623" s="177" t="n"/>
      <c r="W623" s="177" t="n"/>
      <c r="X623" s="177" t="n"/>
      <c r="Y623" s="177" t="n"/>
    </row>
    <row r="624">
      <c r="A624" s="177" t="n"/>
      <c r="B624" s="177" t="n"/>
      <c r="C624" s="177" t="n"/>
      <c r="D624" s="177" t="n"/>
      <c r="E624" s="177" t="n"/>
      <c r="F624" s="177" t="n"/>
      <c r="G624" s="177" t="n"/>
      <c r="H624" s="177" t="n"/>
      <c r="I624" s="177" t="n"/>
      <c r="J624" s="177" t="n"/>
      <c r="K624" s="177" t="n"/>
      <c r="L624" s="177" t="n"/>
      <c r="M624" s="177" t="n"/>
      <c r="N624" s="177" t="n"/>
      <c r="O624" s="177" t="n"/>
      <c r="P624" s="177" t="n"/>
      <c r="Q624" s="177" t="n"/>
      <c r="R624" s="177" t="n"/>
      <c r="S624" s="177" t="n"/>
      <c r="T624" s="177" t="n"/>
      <c r="U624" s="177" t="n"/>
      <c r="V624" s="177" t="n"/>
      <c r="W624" s="177" t="n"/>
      <c r="X624" s="177" t="n"/>
      <c r="Y624" s="177" t="n"/>
    </row>
    <row r="625">
      <c r="A625" s="177" t="n"/>
      <c r="B625" s="177" t="n"/>
      <c r="C625" s="177" t="n"/>
      <c r="D625" s="177" t="n"/>
      <c r="E625" s="177" t="n"/>
      <c r="F625" s="177" t="n"/>
      <c r="G625" s="177" t="n"/>
      <c r="H625" s="177" t="n"/>
      <c r="I625" s="177" t="n"/>
      <c r="J625" s="177" t="n"/>
      <c r="K625" s="177" t="n"/>
      <c r="L625" s="177" t="n"/>
      <c r="M625" s="177" t="n"/>
      <c r="N625" s="177" t="n"/>
      <c r="O625" s="177" t="n"/>
      <c r="P625" s="177" t="n"/>
      <c r="Q625" s="177" t="n"/>
      <c r="R625" s="177" t="n"/>
      <c r="S625" s="177" t="n"/>
      <c r="T625" s="177" t="n"/>
      <c r="U625" s="177" t="n"/>
      <c r="V625" s="177" t="n"/>
      <c r="W625" s="177" t="n"/>
      <c r="X625" s="177" t="n"/>
      <c r="Y625" s="177" t="n"/>
    </row>
    <row r="626">
      <c r="A626" s="177" t="n"/>
      <c r="B626" s="177" t="n"/>
      <c r="C626" s="177" t="n"/>
      <c r="D626" s="177" t="n"/>
      <c r="E626" s="177" t="n"/>
      <c r="F626" s="177" t="n"/>
      <c r="G626" s="177" t="n"/>
      <c r="H626" s="177" t="n"/>
      <c r="I626" s="177" t="n"/>
      <c r="J626" s="177" t="n"/>
      <c r="K626" s="177" t="n"/>
      <c r="L626" s="177" t="n"/>
      <c r="M626" s="177" t="n"/>
      <c r="N626" s="177" t="n"/>
      <c r="O626" s="177" t="n"/>
      <c r="P626" s="177" t="n"/>
      <c r="Q626" s="177" t="n"/>
      <c r="R626" s="177" t="n"/>
      <c r="S626" s="177" t="n"/>
      <c r="T626" s="177" t="n"/>
      <c r="U626" s="177" t="n"/>
      <c r="V626" s="177" t="n"/>
      <c r="W626" s="177" t="n"/>
      <c r="X626" s="177" t="n"/>
      <c r="Y626" s="177" t="n"/>
    </row>
    <row r="627">
      <c r="A627" s="177" t="n"/>
      <c r="B627" s="177" t="n"/>
      <c r="C627" s="177" t="n"/>
      <c r="D627" s="177" t="n"/>
      <c r="E627" s="177" t="n"/>
      <c r="F627" s="177" t="n"/>
      <c r="G627" s="177" t="n"/>
      <c r="H627" s="177" t="n"/>
      <c r="I627" s="177" t="n"/>
      <c r="J627" s="177" t="n"/>
      <c r="K627" s="177" t="n"/>
      <c r="L627" s="177" t="n"/>
      <c r="M627" s="177" t="n"/>
      <c r="N627" s="177" t="n"/>
      <c r="O627" s="177" t="n"/>
      <c r="P627" s="177" t="n"/>
      <c r="Q627" s="177" t="n"/>
      <c r="R627" s="177" t="n"/>
      <c r="S627" s="177" t="n"/>
      <c r="T627" s="177" t="n"/>
      <c r="U627" s="177" t="n"/>
      <c r="V627" s="177" t="n"/>
      <c r="W627" s="177" t="n"/>
      <c r="X627" s="177" t="n"/>
      <c r="Y627" s="177" t="n"/>
    </row>
    <row r="628">
      <c r="A628" s="177" t="n"/>
      <c r="B628" s="177" t="n"/>
      <c r="C628" s="177" t="n"/>
      <c r="D628" s="177" t="n"/>
      <c r="E628" s="177" t="n"/>
      <c r="F628" s="177" t="n"/>
      <c r="G628" s="177" t="n"/>
      <c r="H628" s="177" t="n"/>
      <c r="I628" s="177" t="n"/>
      <c r="J628" s="177" t="n"/>
      <c r="K628" s="177" t="n"/>
      <c r="L628" s="177" t="n"/>
      <c r="M628" s="177" t="n"/>
      <c r="N628" s="177" t="n"/>
      <c r="O628" s="177" t="n"/>
      <c r="P628" s="177" t="n"/>
      <c r="Q628" s="177" t="n"/>
      <c r="R628" s="177" t="n"/>
      <c r="S628" s="177" t="n"/>
      <c r="T628" s="177" t="n"/>
      <c r="U628" s="177" t="n"/>
      <c r="V628" s="177" t="n"/>
      <c r="W628" s="177" t="n"/>
      <c r="X628" s="177" t="n"/>
      <c r="Y628" s="177" t="n"/>
    </row>
    <row r="629">
      <c r="A629" s="177" t="n"/>
      <c r="B629" s="177" t="n"/>
      <c r="C629" s="177" t="n"/>
      <c r="D629" s="177" t="n"/>
      <c r="E629" s="177" t="n"/>
      <c r="F629" s="177" t="n"/>
      <c r="G629" s="177" t="n"/>
      <c r="H629" s="177" t="n"/>
      <c r="I629" s="177" t="n"/>
      <c r="J629" s="177" t="n"/>
      <c r="K629" s="177" t="n"/>
      <c r="L629" s="177" t="n"/>
      <c r="M629" s="177" t="n"/>
      <c r="N629" s="177" t="n"/>
      <c r="O629" s="177" t="n"/>
      <c r="P629" s="177" t="n"/>
      <c r="Q629" s="177" t="n"/>
      <c r="R629" s="177" t="n"/>
      <c r="S629" s="177" t="n"/>
      <c r="T629" s="177" t="n"/>
      <c r="U629" s="177" t="n"/>
      <c r="V629" s="177" t="n"/>
      <c r="W629" s="177" t="n"/>
      <c r="X629" s="177" t="n"/>
      <c r="Y629" s="177" t="n"/>
    </row>
    <row r="630">
      <c r="A630" s="177" t="n"/>
      <c r="B630" s="177" t="n"/>
      <c r="C630" s="177" t="n"/>
      <c r="D630" s="177" t="n"/>
      <c r="E630" s="177" t="n"/>
      <c r="F630" s="177" t="n"/>
      <c r="G630" s="177" t="n"/>
      <c r="H630" s="177" t="n"/>
      <c r="I630" s="177" t="n"/>
      <c r="J630" s="177" t="n"/>
      <c r="K630" s="177" t="n"/>
      <c r="L630" s="177" t="n"/>
      <c r="M630" s="177" t="n"/>
      <c r="N630" s="177" t="n"/>
      <c r="O630" s="177" t="n"/>
      <c r="P630" s="177" t="n"/>
      <c r="Q630" s="177" t="n"/>
      <c r="R630" s="177" t="n"/>
      <c r="S630" s="177" t="n"/>
      <c r="T630" s="177" t="n"/>
      <c r="U630" s="177" t="n"/>
      <c r="V630" s="177" t="n"/>
      <c r="W630" s="177" t="n"/>
      <c r="X630" s="177" t="n"/>
      <c r="Y630" s="177" t="n"/>
    </row>
    <row r="631">
      <c r="A631" s="177" t="n"/>
      <c r="B631" s="177" t="n"/>
      <c r="C631" s="177" t="n"/>
      <c r="D631" s="177" t="n"/>
      <c r="E631" s="177" t="n"/>
      <c r="F631" s="177" t="n"/>
      <c r="G631" s="177" t="n"/>
      <c r="H631" s="177" t="n"/>
      <c r="I631" s="177" t="n"/>
      <c r="J631" s="177" t="n"/>
      <c r="K631" s="177" t="n"/>
      <c r="L631" s="177" t="n"/>
      <c r="M631" s="177" t="n"/>
      <c r="N631" s="177" t="n"/>
      <c r="O631" s="177" t="n"/>
      <c r="P631" s="177" t="n"/>
      <c r="Q631" s="177" t="n"/>
      <c r="R631" s="177" t="n"/>
      <c r="S631" s="177" t="n"/>
      <c r="T631" s="177" t="n"/>
      <c r="U631" s="177" t="n"/>
      <c r="V631" s="177" t="n"/>
      <c r="W631" s="177" t="n"/>
      <c r="X631" s="177" t="n"/>
      <c r="Y631" s="177" t="n"/>
    </row>
    <row r="632">
      <c r="A632" s="177" t="n"/>
      <c r="B632" s="177" t="n"/>
      <c r="C632" s="177" t="n"/>
      <c r="D632" s="177" t="n"/>
      <c r="E632" s="177" t="n"/>
      <c r="F632" s="177" t="n"/>
      <c r="G632" s="177" t="n"/>
      <c r="H632" s="177" t="n"/>
      <c r="I632" s="177" t="n"/>
      <c r="J632" s="177" t="n"/>
      <c r="K632" s="177" t="n"/>
      <c r="L632" s="177" t="n"/>
      <c r="M632" s="177" t="n"/>
      <c r="N632" s="177" t="n"/>
      <c r="O632" s="177" t="n"/>
      <c r="P632" s="177" t="n"/>
      <c r="Q632" s="177" t="n"/>
      <c r="R632" s="177" t="n"/>
      <c r="S632" s="177" t="n"/>
      <c r="T632" s="177" t="n"/>
      <c r="U632" s="177" t="n"/>
      <c r="V632" s="177" t="n"/>
      <c r="W632" s="177" t="n"/>
      <c r="X632" s="177" t="n"/>
      <c r="Y632" s="177" t="n"/>
    </row>
    <row r="633">
      <c r="A633" s="177" t="n"/>
      <c r="B633" s="177" t="n"/>
      <c r="C633" s="177" t="n"/>
      <c r="D633" s="177" t="n"/>
      <c r="E633" s="177" t="n"/>
      <c r="F633" s="177" t="n"/>
      <c r="G633" s="177" t="n"/>
      <c r="H633" s="177" t="n"/>
      <c r="I633" s="177" t="n"/>
      <c r="J633" s="177" t="n"/>
      <c r="K633" s="177" t="n"/>
      <c r="L633" s="177" t="n"/>
      <c r="M633" s="177" t="n"/>
      <c r="N633" s="177" t="n"/>
      <c r="O633" s="177" t="n"/>
      <c r="P633" s="177" t="n"/>
      <c r="Q633" s="177" t="n"/>
      <c r="R633" s="177" t="n"/>
      <c r="S633" s="177" t="n"/>
      <c r="T633" s="177" t="n"/>
      <c r="U633" s="177" t="n"/>
      <c r="V633" s="177" t="n"/>
      <c r="W633" s="177" t="n"/>
      <c r="X633" s="177" t="n"/>
      <c r="Y633" s="177" t="n"/>
    </row>
    <row r="634">
      <c r="A634" s="177" t="n"/>
      <c r="B634" s="177" t="n"/>
      <c r="C634" s="177" t="n"/>
      <c r="D634" s="177" t="n"/>
      <c r="E634" s="177" t="n"/>
      <c r="F634" s="177" t="n"/>
      <c r="G634" s="177" t="n"/>
      <c r="H634" s="177" t="n"/>
      <c r="I634" s="177" t="n"/>
      <c r="J634" s="177" t="n"/>
      <c r="K634" s="177" t="n"/>
      <c r="L634" s="177" t="n"/>
      <c r="M634" s="177" t="n"/>
      <c r="N634" s="177" t="n"/>
      <c r="O634" s="177" t="n"/>
      <c r="P634" s="177" t="n"/>
      <c r="Q634" s="177" t="n"/>
      <c r="R634" s="177" t="n"/>
      <c r="S634" s="177" t="n"/>
      <c r="T634" s="177" t="n"/>
      <c r="U634" s="177" t="n"/>
      <c r="V634" s="177" t="n"/>
      <c r="W634" s="177" t="n"/>
      <c r="X634" s="177" t="n"/>
      <c r="Y634" s="177" t="n"/>
    </row>
    <row r="635">
      <c r="A635" s="177" t="n"/>
      <c r="B635" s="177" t="n"/>
      <c r="C635" s="177" t="n"/>
      <c r="D635" s="177" t="n"/>
      <c r="E635" s="177" t="n"/>
      <c r="F635" s="177" t="n"/>
      <c r="G635" s="177" t="n"/>
      <c r="H635" s="177" t="n"/>
      <c r="I635" s="177" t="n"/>
      <c r="J635" s="177" t="n"/>
      <c r="K635" s="177" t="n"/>
      <c r="L635" s="177" t="n"/>
      <c r="M635" s="177" t="n"/>
      <c r="N635" s="177" t="n"/>
      <c r="O635" s="177" t="n"/>
      <c r="P635" s="177" t="n"/>
      <c r="Q635" s="177" t="n"/>
      <c r="R635" s="177" t="n"/>
      <c r="S635" s="177" t="n"/>
      <c r="T635" s="177" t="n"/>
      <c r="U635" s="177" t="n"/>
      <c r="V635" s="177" t="n"/>
      <c r="W635" s="177" t="n"/>
      <c r="X635" s="177" t="n"/>
      <c r="Y635" s="177" t="n"/>
    </row>
    <row r="636">
      <c r="A636" s="177" t="n"/>
      <c r="B636" s="177" t="n"/>
      <c r="C636" s="177" t="n"/>
      <c r="D636" s="177" t="n"/>
      <c r="E636" s="177" t="n"/>
      <c r="F636" s="177" t="n"/>
      <c r="G636" s="177" t="n"/>
      <c r="H636" s="177" t="n"/>
      <c r="I636" s="177" t="n"/>
      <c r="J636" s="177" t="n"/>
      <c r="K636" s="177" t="n"/>
      <c r="L636" s="177" t="n"/>
      <c r="M636" s="177" t="n"/>
      <c r="N636" s="177" t="n"/>
      <c r="O636" s="177" t="n"/>
      <c r="P636" s="177" t="n"/>
      <c r="Q636" s="177" t="n"/>
      <c r="R636" s="177" t="n"/>
      <c r="S636" s="177" t="n"/>
      <c r="T636" s="177" t="n"/>
      <c r="U636" s="177" t="n"/>
      <c r="V636" s="177" t="n"/>
      <c r="W636" s="177" t="n"/>
      <c r="X636" s="177" t="n"/>
      <c r="Y636" s="177" t="n"/>
    </row>
    <row r="637">
      <c r="A637" s="177" t="n"/>
      <c r="B637" s="177" t="n"/>
      <c r="C637" s="177" t="n"/>
      <c r="D637" s="177" t="n"/>
      <c r="E637" s="177" t="n"/>
      <c r="F637" s="177" t="n"/>
      <c r="G637" s="177" t="n"/>
      <c r="H637" s="177" t="n"/>
      <c r="I637" s="177" t="n"/>
      <c r="J637" s="177" t="n"/>
      <c r="K637" s="177" t="n"/>
      <c r="L637" s="177" t="n"/>
      <c r="M637" s="177" t="n"/>
      <c r="N637" s="177" t="n"/>
      <c r="O637" s="177" t="n"/>
      <c r="P637" s="177" t="n"/>
      <c r="Q637" s="177" t="n"/>
      <c r="R637" s="177" t="n"/>
      <c r="S637" s="177" t="n"/>
      <c r="T637" s="177" t="n"/>
      <c r="U637" s="177" t="n"/>
      <c r="V637" s="177" t="n"/>
      <c r="W637" s="177" t="n"/>
      <c r="X637" s="177" t="n"/>
      <c r="Y637" s="177" t="n"/>
    </row>
    <row r="638">
      <c r="A638" s="177" t="n"/>
      <c r="B638" s="177" t="n"/>
      <c r="C638" s="177" t="n"/>
      <c r="D638" s="177" t="n"/>
      <c r="E638" s="177" t="n"/>
      <c r="F638" s="177" t="n"/>
      <c r="G638" s="177" t="n"/>
      <c r="H638" s="177" t="n"/>
      <c r="I638" s="177" t="n"/>
      <c r="J638" s="177" t="n"/>
      <c r="K638" s="177" t="n"/>
      <c r="L638" s="177" t="n"/>
      <c r="M638" s="177" t="n"/>
      <c r="N638" s="177" t="n"/>
      <c r="O638" s="177" t="n"/>
      <c r="P638" s="177" t="n"/>
      <c r="Q638" s="177" t="n"/>
      <c r="R638" s="177" t="n"/>
      <c r="S638" s="177" t="n"/>
      <c r="T638" s="177" t="n"/>
      <c r="U638" s="177" t="n"/>
      <c r="V638" s="177" t="n"/>
      <c r="W638" s="177" t="n"/>
      <c r="X638" s="177" t="n"/>
      <c r="Y638" s="177" t="n"/>
    </row>
    <row r="639">
      <c r="A639" s="177" t="n"/>
      <c r="B639" s="177" t="n"/>
      <c r="C639" s="177" t="n"/>
      <c r="D639" s="177" t="n"/>
      <c r="E639" s="177" t="n"/>
      <c r="F639" s="177" t="n"/>
      <c r="G639" s="177" t="n"/>
      <c r="H639" s="177" t="n"/>
      <c r="I639" s="177" t="n"/>
      <c r="J639" s="177" t="n"/>
      <c r="K639" s="177" t="n"/>
      <c r="L639" s="177" t="n"/>
      <c r="M639" s="177" t="n"/>
      <c r="N639" s="177" t="n"/>
      <c r="O639" s="177" t="n"/>
      <c r="P639" s="177" t="n"/>
      <c r="Q639" s="177" t="n"/>
      <c r="R639" s="177" t="n"/>
      <c r="S639" s="177" t="n"/>
      <c r="T639" s="177" t="n"/>
      <c r="U639" s="177" t="n"/>
      <c r="V639" s="177" t="n"/>
      <c r="W639" s="177" t="n"/>
      <c r="X639" s="177" t="n"/>
      <c r="Y639" s="177" t="n"/>
    </row>
    <row r="640">
      <c r="A640" s="177" t="n"/>
      <c r="B640" s="177" t="n"/>
      <c r="C640" s="177" t="n"/>
      <c r="D640" s="177" t="n"/>
      <c r="E640" s="177" t="n"/>
      <c r="F640" s="177" t="n"/>
      <c r="G640" s="177" t="n"/>
      <c r="H640" s="177" t="n"/>
      <c r="I640" s="177" t="n"/>
      <c r="J640" s="177" t="n"/>
      <c r="K640" s="177" t="n"/>
      <c r="L640" s="177" t="n"/>
      <c r="M640" s="177" t="n"/>
      <c r="N640" s="177" t="n"/>
      <c r="O640" s="177" t="n"/>
      <c r="P640" s="177" t="n"/>
      <c r="Q640" s="177" t="n"/>
      <c r="R640" s="177" t="n"/>
      <c r="S640" s="177" t="n"/>
      <c r="T640" s="177" t="n"/>
      <c r="U640" s="177" t="n"/>
      <c r="V640" s="177" t="n"/>
      <c r="W640" s="177" t="n"/>
      <c r="X640" s="177" t="n"/>
      <c r="Y640" s="177" t="n"/>
    </row>
    <row r="641">
      <c r="A641" s="177" t="n"/>
      <c r="B641" s="177" t="n"/>
      <c r="C641" s="177" t="n"/>
      <c r="D641" s="177" t="n"/>
      <c r="E641" s="177" t="n"/>
      <c r="F641" s="177" t="n"/>
      <c r="G641" s="177" t="n"/>
      <c r="H641" s="177" t="n"/>
      <c r="I641" s="177" t="n"/>
      <c r="J641" s="177" t="n"/>
      <c r="K641" s="177" t="n"/>
      <c r="L641" s="177" t="n"/>
      <c r="M641" s="177" t="n"/>
      <c r="N641" s="177" t="n"/>
      <c r="O641" s="177" t="n"/>
      <c r="P641" s="177" t="n"/>
      <c r="Q641" s="177" t="n"/>
      <c r="R641" s="177" t="n"/>
      <c r="S641" s="177" t="n"/>
      <c r="T641" s="177" t="n"/>
      <c r="U641" s="177" t="n"/>
      <c r="V641" s="177" t="n"/>
      <c r="W641" s="177" t="n"/>
      <c r="X641" s="177" t="n"/>
      <c r="Y641" s="177" t="n"/>
    </row>
    <row r="642">
      <c r="A642" s="177" t="n"/>
      <c r="B642" s="177" t="n"/>
      <c r="C642" s="177" t="n"/>
      <c r="D642" s="177" t="n"/>
      <c r="E642" s="177" t="n"/>
      <c r="F642" s="177" t="n"/>
      <c r="G642" s="177" t="n"/>
      <c r="H642" s="177" t="n"/>
      <c r="I642" s="177" t="n"/>
      <c r="J642" s="177" t="n"/>
      <c r="K642" s="177" t="n"/>
      <c r="L642" s="177" t="n"/>
      <c r="M642" s="177" t="n"/>
      <c r="N642" s="177" t="n"/>
      <c r="O642" s="177" t="n"/>
      <c r="P642" s="177" t="n"/>
      <c r="Q642" s="177" t="n"/>
      <c r="R642" s="177" t="n"/>
      <c r="S642" s="177" t="n"/>
      <c r="T642" s="177" t="n"/>
      <c r="U642" s="177" t="n"/>
      <c r="V642" s="177" t="n"/>
      <c r="W642" s="177" t="n"/>
      <c r="X642" s="177" t="n"/>
      <c r="Y642" s="177" t="n"/>
    </row>
    <row r="643">
      <c r="A643" s="177" t="n"/>
      <c r="B643" s="177" t="n"/>
      <c r="C643" s="177" t="n"/>
      <c r="D643" s="177" t="n"/>
      <c r="E643" s="177" t="n"/>
      <c r="F643" s="177" t="n"/>
      <c r="G643" s="177" t="n"/>
      <c r="H643" s="177" t="n"/>
      <c r="I643" s="177" t="n"/>
      <c r="J643" s="177" t="n"/>
      <c r="K643" s="177" t="n"/>
      <c r="L643" s="177" t="n"/>
      <c r="M643" s="177" t="n"/>
      <c r="N643" s="177" t="n"/>
      <c r="O643" s="177" t="n"/>
      <c r="P643" s="177" t="n"/>
      <c r="Q643" s="177" t="n"/>
      <c r="R643" s="177" t="n"/>
      <c r="S643" s="177" t="n"/>
      <c r="T643" s="177" t="n"/>
      <c r="U643" s="177" t="n"/>
      <c r="V643" s="177" t="n"/>
      <c r="W643" s="177" t="n"/>
      <c r="X643" s="177" t="n"/>
      <c r="Y643" s="177" t="n"/>
    </row>
    <row r="644">
      <c r="A644" s="177" t="n"/>
      <c r="B644" s="177" t="n"/>
      <c r="C644" s="177" t="n"/>
      <c r="D644" s="177" t="n"/>
      <c r="E644" s="177" t="n"/>
      <c r="F644" s="177" t="n"/>
      <c r="G644" s="177" t="n"/>
      <c r="H644" s="177" t="n"/>
      <c r="I644" s="177" t="n"/>
      <c r="J644" s="177" t="n"/>
      <c r="K644" s="177" t="n"/>
      <c r="L644" s="177" t="n"/>
      <c r="M644" s="177" t="n"/>
      <c r="N644" s="177" t="n"/>
      <c r="O644" s="177" t="n"/>
      <c r="P644" s="177" t="n"/>
      <c r="Q644" s="177" t="n"/>
      <c r="R644" s="177" t="n"/>
      <c r="S644" s="177" t="n"/>
      <c r="T644" s="177" t="n"/>
      <c r="U644" s="177" t="n"/>
      <c r="V644" s="177" t="n"/>
      <c r="W644" s="177" t="n"/>
      <c r="X644" s="177" t="n"/>
      <c r="Y644" s="177" t="n"/>
    </row>
    <row r="645">
      <c r="A645" s="177" t="n"/>
      <c r="B645" s="177" t="n"/>
      <c r="C645" s="177" t="n"/>
      <c r="D645" s="177" t="n"/>
      <c r="E645" s="177" t="n"/>
      <c r="F645" s="177" t="n"/>
      <c r="G645" s="177" t="n"/>
      <c r="H645" s="177" t="n"/>
      <c r="I645" s="177" t="n"/>
      <c r="J645" s="177" t="n"/>
      <c r="K645" s="177" t="n"/>
      <c r="L645" s="177" t="n"/>
      <c r="M645" s="177" t="n"/>
      <c r="N645" s="177" t="n"/>
      <c r="O645" s="177" t="n"/>
      <c r="P645" s="177" t="n"/>
      <c r="Q645" s="177" t="n"/>
      <c r="R645" s="177" t="n"/>
      <c r="S645" s="177" t="n"/>
      <c r="T645" s="177" t="n"/>
      <c r="U645" s="177" t="n"/>
      <c r="V645" s="177" t="n"/>
      <c r="W645" s="177" t="n"/>
      <c r="X645" s="177" t="n"/>
      <c r="Y645" s="177" t="n"/>
    </row>
    <row r="646">
      <c r="A646" s="177" t="n"/>
      <c r="B646" s="177" t="n"/>
      <c r="C646" s="177" t="n"/>
      <c r="D646" s="177" t="n"/>
      <c r="E646" s="177" t="n"/>
      <c r="F646" s="177" t="n"/>
      <c r="G646" s="177" t="n"/>
      <c r="H646" s="177" t="n"/>
      <c r="I646" s="177" t="n"/>
      <c r="J646" s="177" t="n"/>
      <c r="K646" s="177" t="n"/>
      <c r="L646" s="177" t="n"/>
      <c r="M646" s="177" t="n"/>
      <c r="N646" s="177" t="n"/>
      <c r="O646" s="177" t="n"/>
      <c r="P646" s="177" t="n"/>
      <c r="Q646" s="177" t="n"/>
      <c r="R646" s="177" t="n"/>
      <c r="S646" s="177" t="n"/>
      <c r="T646" s="177" t="n"/>
      <c r="U646" s="177" t="n"/>
      <c r="V646" s="177" t="n"/>
      <c r="W646" s="177" t="n"/>
      <c r="X646" s="177" t="n"/>
      <c r="Y646" s="177" t="n"/>
    </row>
    <row r="647">
      <c r="A647" s="177" t="n"/>
      <c r="B647" s="177" t="n"/>
      <c r="C647" s="177" t="n"/>
      <c r="D647" s="177" t="n"/>
      <c r="E647" s="177" t="n"/>
      <c r="F647" s="177" t="n"/>
      <c r="G647" s="177" t="n"/>
      <c r="H647" s="177" t="n"/>
      <c r="I647" s="177" t="n"/>
      <c r="J647" s="177" t="n"/>
      <c r="K647" s="177" t="n"/>
      <c r="L647" s="177" t="n"/>
      <c r="M647" s="177" t="n"/>
      <c r="N647" s="177" t="n"/>
      <c r="O647" s="177" t="n"/>
      <c r="P647" s="177" t="n"/>
      <c r="Q647" s="177" t="n"/>
      <c r="R647" s="177" t="n"/>
      <c r="S647" s="177" t="n"/>
      <c r="T647" s="177" t="n"/>
      <c r="U647" s="177" t="n"/>
      <c r="V647" s="177" t="n"/>
      <c r="W647" s="177" t="n"/>
      <c r="X647" s="177" t="n"/>
      <c r="Y647" s="177" t="n"/>
    </row>
    <row r="648">
      <c r="A648" s="177" t="n"/>
      <c r="B648" s="177" t="n"/>
      <c r="C648" s="177" t="n"/>
      <c r="D648" s="177" t="n"/>
      <c r="E648" s="177" t="n"/>
      <c r="F648" s="177" t="n"/>
      <c r="G648" s="177" t="n"/>
      <c r="H648" s="177" t="n"/>
      <c r="I648" s="177" t="n"/>
      <c r="J648" s="177" t="n"/>
      <c r="K648" s="177" t="n"/>
      <c r="L648" s="177" t="n"/>
      <c r="M648" s="177" t="n"/>
      <c r="N648" s="177" t="n"/>
      <c r="O648" s="177" t="n"/>
      <c r="P648" s="177" t="n"/>
      <c r="Q648" s="177" t="n"/>
      <c r="R648" s="177" t="n"/>
      <c r="S648" s="177" t="n"/>
      <c r="T648" s="177" t="n"/>
      <c r="U648" s="177" t="n"/>
      <c r="V648" s="177" t="n"/>
      <c r="W648" s="177" t="n"/>
      <c r="X648" s="177" t="n"/>
      <c r="Y648" s="177" t="n"/>
    </row>
    <row r="649">
      <c r="A649" s="177" t="n"/>
      <c r="B649" s="177" t="n"/>
      <c r="C649" s="177" t="n"/>
      <c r="D649" s="177" t="n"/>
      <c r="E649" s="177" t="n"/>
      <c r="F649" s="177" t="n"/>
      <c r="G649" s="177" t="n"/>
      <c r="H649" s="177" t="n"/>
      <c r="I649" s="177" t="n"/>
      <c r="J649" s="177" t="n"/>
      <c r="K649" s="177" t="n"/>
      <c r="L649" s="177" t="n"/>
      <c r="M649" s="177" t="n"/>
      <c r="N649" s="177" t="n"/>
      <c r="O649" s="177" t="n"/>
      <c r="P649" s="177" t="n"/>
      <c r="Q649" s="177" t="n"/>
      <c r="R649" s="177" t="n"/>
      <c r="S649" s="177" t="n"/>
      <c r="T649" s="177" t="n"/>
      <c r="U649" s="177" t="n"/>
      <c r="V649" s="177" t="n"/>
      <c r="W649" s="177" t="n"/>
      <c r="X649" s="177" t="n"/>
      <c r="Y649" s="177" t="n"/>
    </row>
    <row r="650">
      <c r="A650" s="177" t="n"/>
      <c r="B650" s="177" t="n"/>
      <c r="C650" s="177" t="n"/>
      <c r="D650" s="177" t="n"/>
      <c r="E650" s="177" t="n"/>
      <c r="F650" s="177" t="n"/>
      <c r="G650" s="177" t="n"/>
      <c r="H650" s="177" t="n"/>
      <c r="I650" s="177" t="n"/>
      <c r="J650" s="177" t="n"/>
      <c r="K650" s="177" t="n"/>
      <c r="L650" s="177" t="n"/>
      <c r="M650" s="177" t="n"/>
      <c r="N650" s="177" t="n"/>
      <c r="O650" s="177" t="n"/>
      <c r="P650" s="177" t="n"/>
      <c r="Q650" s="177" t="n"/>
      <c r="R650" s="177" t="n"/>
      <c r="S650" s="177" t="n"/>
      <c r="T650" s="177" t="n"/>
      <c r="U650" s="177" t="n"/>
      <c r="V650" s="177" t="n"/>
      <c r="W650" s="177" t="n"/>
      <c r="X650" s="177" t="n"/>
      <c r="Y650" s="177" t="n"/>
    </row>
    <row r="651">
      <c r="A651" s="177" t="n"/>
      <c r="B651" s="177" t="n"/>
      <c r="C651" s="177" t="n"/>
      <c r="D651" s="177" t="n"/>
      <c r="E651" s="177" t="n"/>
      <c r="F651" s="177" t="n"/>
      <c r="G651" s="177" t="n"/>
      <c r="H651" s="177" t="n"/>
      <c r="I651" s="177" t="n"/>
      <c r="J651" s="177" t="n"/>
      <c r="K651" s="177" t="n"/>
      <c r="L651" s="177" t="n"/>
      <c r="M651" s="177" t="n"/>
      <c r="N651" s="177" t="n"/>
      <c r="O651" s="177" t="n"/>
      <c r="P651" s="177" t="n"/>
      <c r="Q651" s="177" t="n"/>
      <c r="R651" s="177" t="n"/>
      <c r="S651" s="177" t="n"/>
      <c r="T651" s="177" t="n"/>
      <c r="U651" s="177" t="n"/>
      <c r="V651" s="177" t="n"/>
      <c r="W651" s="177" t="n"/>
      <c r="X651" s="177" t="n"/>
      <c r="Y651" s="177" t="n"/>
    </row>
    <row r="652">
      <c r="A652" s="177" t="n"/>
      <c r="B652" s="177" t="n"/>
      <c r="C652" s="177" t="n"/>
      <c r="D652" s="177" t="n"/>
      <c r="E652" s="177" t="n"/>
      <c r="F652" s="177" t="n"/>
      <c r="G652" s="177" t="n"/>
      <c r="H652" s="177" t="n"/>
      <c r="I652" s="177" t="n"/>
      <c r="J652" s="177" t="n"/>
      <c r="K652" s="177" t="n"/>
      <c r="L652" s="177" t="n"/>
      <c r="M652" s="177" t="n"/>
      <c r="N652" s="177" t="n"/>
      <c r="O652" s="177" t="n"/>
      <c r="P652" s="177" t="n"/>
      <c r="Q652" s="177" t="n"/>
      <c r="R652" s="177" t="n"/>
      <c r="S652" s="177" t="n"/>
      <c r="T652" s="177" t="n"/>
      <c r="U652" s="177" t="n"/>
      <c r="V652" s="177" t="n"/>
      <c r="W652" s="177" t="n"/>
      <c r="X652" s="177" t="n"/>
      <c r="Y652" s="177" t="n"/>
    </row>
    <row r="653">
      <c r="A653" s="177" t="n"/>
      <c r="B653" s="177" t="n"/>
      <c r="C653" s="177" t="n"/>
      <c r="D653" s="177" t="n"/>
      <c r="E653" s="177" t="n"/>
      <c r="F653" s="177" t="n"/>
      <c r="G653" s="177" t="n"/>
      <c r="H653" s="177" t="n"/>
      <c r="I653" s="177" t="n"/>
      <c r="J653" s="177" t="n"/>
      <c r="K653" s="177" t="n"/>
      <c r="L653" s="177" t="n"/>
      <c r="M653" s="177" t="n"/>
      <c r="N653" s="177" t="n"/>
      <c r="O653" s="177" t="n"/>
      <c r="P653" s="177" t="n"/>
      <c r="Q653" s="177" t="n"/>
      <c r="R653" s="177" t="n"/>
      <c r="S653" s="177" t="n"/>
      <c r="T653" s="177" t="n"/>
      <c r="U653" s="177" t="n"/>
      <c r="V653" s="177" t="n"/>
      <c r="W653" s="177" t="n"/>
      <c r="X653" s="177" t="n"/>
      <c r="Y653" s="177" t="n"/>
    </row>
    <row r="654">
      <c r="A654" s="177" t="n"/>
      <c r="B654" s="177" t="n"/>
      <c r="C654" s="177" t="n"/>
      <c r="D654" s="177" t="n"/>
      <c r="E654" s="177" t="n"/>
      <c r="F654" s="177" t="n"/>
      <c r="G654" s="177" t="n"/>
      <c r="H654" s="177" t="n"/>
      <c r="I654" s="177" t="n"/>
      <c r="J654" s="177" t="n"/>
      <c r="K654" s="177" t="n"/>
      <c r="L654" s="177" t="n"/>
      <c r="M654" s="177" t="n"/>
      <c r="N654" s="177" t="n"/>
      <c r="O654" s="177" t="n"/>
      <c r="P654" s="177" t="n"/>
      <c r="Q654" s="177" t="n"/>
      <c r="R654" s="177" t="n"/>
      <c r="S654" s="177" t="n"/>
      <c r="T654" s="177" t="n"/>
      <c r="U654" s="177" t="n"/>
      <c r="V654" s="177" t="n"/>
      <c r="W654" s="177" t="n"/>
      <c r="X654" s="177" t="n"/>
      <c r="Y654" s="177" t="n"/>
    </row>
    <row r="655">
      <c r="A655" s="177" t="n"/>
      <c r="B655" s="177" t="n"/>
      <c r="C655" s="177" t="n"/>
      <c r="D655" s="177" t="n"/>
      <c r="E655" s="177" t="n"/>
      <c r="F655" s="177" t="n"/>
      <c r="G655" s="177" t="n"/>
      <c r="H655" s="177" t="n"/>
      <c r="I655" s="177" t="n"/>
      <c r="J655" s="177" t="n"/>
      <c r="K655" s="177" t="n"/>
      <c r="L655" s="177" t="n"/>
      <c r="M655" s="177" t="n"/>
      <c r="N655" s="177" t="n"/>
      <c r="O655" s="177" t="n"/>
      <c r="P655" s="177" t="n"/>
      <c r="Q655" s="177" t="n"/>
      <c r="R655" s="177" t="n"/>
      <c r="S655" s="177" t="n"/>
      <c r="T655" s="177" t="n"/>
      <c r="U655" s="177" t="n"/>
      <c r="V655" s="177" t="n"/>
      <c r="W655" s="177" t="n"/>
      <c r="X655" s="177" t="n"/>
      <c r="Y655" s="177" t="n"/>
    </row>
    <row r="656">
      <c r="A656" s="177" t="n"/>
      <c r="B656" s="177" t="n"/>
      <c r="C656" s="177" t="n"/>
      <c r="D656" s="177" t="n"/>
      <c r="E656" s="177" t="n"/>
      <c r="F656" s="177" t="n"/>
      <c r="G656" s="177" t="n"/>
      <c r="H656" s="177" t="n"/>
      <c r="I656" s="177" t="n"/>
      <c r="J656" s="177" t="n"/>
      <c r="K656" s="177" t="n"/>
      <c r="L656" s="177" t="n"/>
      <c r="M656" s="177" t="n"/>
      <c r="N656" s="177" t="n"/>
      <c r="O656" s="177" t="n"/>
      <c r="P656" s="177" t="n"/>
      <c r="Q656" s="177" t="n"/>
      <c r="R656" s="177" t="n"/>
      <c r="S656" s="177" t="n"/>
      <c r="T656" s="177" t="n"/>
      <c r="U656" s="177" t="n"/>
      <c r="V656" s="177" t="n"/>
      <c r="W656" s="177" t="n"/>
      <c r="X656" s="177" t="n"/>
      <c r="Y656" s="177" t="n"/>
    </row>
    <row r="657">
      <c r="A657" s="177" t="n"/>
      <c r="B657" s="177" t="n"/>
      <c r="C657" s="177" t="n"/>
      <c r="D657" s="177" t="n"/>
      <c r="E657" s="177" t="n"/>
      <c r="F657" s="177" t="n"/>
      <c r="G657" s="177" t="n"/>
      <c r="H657" s="177" t="n"/>
      <c r="I657" s="177" t="n"/>
      <c r="J657" s="177" t="n"/>
      <c r="K657" s="177" t="n"/>
      <c r="L657" s="177" t="n"/>
      <c r="M657" s="177" t="n"/>
      <c r="N657" s="177" t="n"/>
      <c r="O657" s="177" t="n"/>
      <c r="P657" s="177" t="n"/>
      <c r="Q657" s="177" t="n"/>
      <c r="R657" s="177" t="n"/>
      <c r="S657" s="177" t="n"/>
      <c r="T657" s="177" t="n"/>
      <c r="U657" s="177" t="n"/>
      <c r="V657" s="177" t="n"/>
      <c r="W657" s="177" t="n"/>
      <c r="X657" s="177" t="n"/>
      <c r="Y657" s="177" t="n"/>
    </row>
    <row r="658">
      <c r="A658" s="177" t="n"/>
      <c r="B658" s="177" t="n"/>
      <c r="C658" s="177" t="n"/>
      <c r="D658" s="177" t="n"/>
      <c r="E658" s="177" t="n"/>
      <c r="F658" s="177" t="n"/>
      <c r="G658" s="177" t="n"/>
      <c r="H658" s="177" t="n"/>
      <c r="I658" s="177" t="n"/>
      <c r="J658" s="177" t="n"/>
      <c r="K658" s="177" t="n"/>
      <c r="L658" s="177" t="n"/>
      <c r="M658" s="177" t="n"/>
      <c r="N658" s="177" t="n"/>
      <c r="O658" s="177" t="n"/>
      <c r="P658" s="177" t="n"/>
      <c r="Q658" s="177" t="n"/>
      <c r="R658" s="177" t="n"/>
      <c r="S658" s="177" t="n"/>
      <c r="T658" s="177" t="n"/>
      <c r="U658" s="177" t="n"/>
      <c r="V658" s="177" t="n"/>
      <c r="W658" s="177" t="n"/>
      <c r="X658" s="177" t="n"/>
      <c r="Y658" s="177" t="n"/>
    </row>
    <row r="659">
      <c r="A659" s="177" t="n"/>
      <c r="B659" s="177" t="n"/>
      <c r="C659" s="177" t="n"/>
      <c r="D659" s="177" t="n"/>
      <c r="E659" s="177" t="n"/>
      <c r="F659" s="177" t="n"/>
      <c r="G659" s="177" t="n"/>
      <c r="H659" s="177" t="n"/>
      <c r="I659" s="177" t="n"/>
      <c r="J659" s="177" t="n"/>
      <c r="K659" s="177" t="n"/>
      <c r="L659" s="177" t="n"/>
      <c r="M659" s="177" t="n"/>
      <c r="N659" s="177" t="n"/>
      <c r="O659" s="177" t="n"/>
      <c r="P659" s="177" t="n"/>
      <c r="Q659" s="177" t="n"/>
      <c r="R659" s="177" t="n"/>
      <c r="S659" s="177" t="n"/>
      <c r="T659" s="177" t="n"/>
      <c r="U659" s="177" t="n"/>
      <c r="V659" s="177" t="n"/>
      <c r="W659" s="177" t="n"/>
      <c r="X659" s="177" t="n"/>
      <c r="Y659" s="177" t="n"/>
    </row>
    <row r="660">
      <c r="A660" s="177" t="n"/>
      <c r="B660" s="177" t="n"/>
      <c r="C660" s="177" t="n"/>
      <c r="D660" s="177" t="n"/>
      <c r="E660" s="177" t="n"/>
      <c r="F660" s="177" t="n"/>
      <c r="G660" s="177" t="n"/>
      <c r="H660" s="177" t="n"/>
      <c r="I660" s="177" t="n"/>
      <c r="J660" s="177" t="n"/>
      <c r="K660" s="177" t="n"/>
      <c r="L660" s="177" t="n"/>
      <c r="M660" s="177" t="n"/>
      <c r="N660" s="177" t="n"/>
      <c r="O660" s="177" t="n"/>
      <c r="P660" s="177" t="n"/>
      <c r="Q660" s="177" t="n"/>
      <c r="R660" s="177" t="n"/>
      <c r="S660" s="177" t="n"/>
      <c r="T660" s="177" t="n"/>
      <c r="U660" s="177" t="n"/>
      <c r="V660" s="177" t="n"/>
      <c r="W660" s="177" t="n"/>
      <c r="X660" s="177" t="n"/>
      <c r="Y660" s="177" t="n"/>
    </row>
    <row r="661">
      <c r="A661" s="177" t="n"/>
      <c r="B661" s="177" t="n"/>
      <c r="C661" s="177" t="n"/>
      <c r="D661" s="177" t="n"/>
      <c r="E661" s="177" t="n"/>
      <c r="F661" s="177" t="n"/>
      <c r="G661" s="177" t="n"/>
      <c r="H661" s="177" t="n"/>
      <c r="I661" s="177" t="n"/>
      <c r="J661" s="177" t="n"/>
      <c r="K661" s="177" t="n"/>
      <c r="L661" s="177" t="n"/>
      <c r="M661" s="177" t="n"/>
      <c r="N661" s="177" t="n"/>
      <c r="O661" s="177" t="n"/>
      <c r="P661" s="177" t="n"/>
      <c r="Q661" s="177" t="n"/>
      <c r="R661" s="177" t="n"/>
      <c r="S661" s="177" t="n"/>
      <c r="T661" s="177" t="n"/>
      <c r="U661" s="177" t="n"/>
      <c r="V661" s="177" t="n"/>
      <c r="W661" s="177" t="n"/>
      <c r="X661" s="177" t="n"/>
      <c r="Y661" s="177" t="n"/>
    </row>
    <row r="662">
      <c r="A662" s="177" t="n"/>
      <c r="B662" s="177" t="n"/>
      <c r="C662" s="177" t="n"/>
      <c r="D662" s="177" t="n"/>
      <c r="E662" s="177" t="n"/>
      <c r="F662" s="177" t="n"/>
      <c r="G662" s="177" t="n"/>
      <c r="H662" s="177" t="n"/>
      <c r="I662" s="177" t="n"/>
      <c r="J662" s="177" t="n"/>
      <c r="K662" s="177" t="n"/>
      <c r="L662" s="177" t="n"/>
      <c r="M662" s="177" t="n"/>
      <c r="N662" s="177" t="n"/>
      <c r="O662" s="177" t="n"/>
      <c r="P662" s="177" t="n"/>
      <c r="Q662" s="177" t="n"/>
      <c r="R662" s="177" t="n"/>
      <c r="S662" s="177" t="n"/>
      <c r="T662" s="177" t="n"/>
      <c r="U662" s="177" t="n"/>
      <c r="V662" s="177" t="n"/>
      <c r="W662" s="177" t="n"/>
      <c r="X662" s="177" t="n"/>
      <c r="Y662" s="177" t="n"/>
    </row>
    <row r="663">
      <c r="A663" s="177" t="n"/>
      <c r="B663" s="177" t="n"/>
      <c r="C663" s="177" t="n"/>
      <c r="D663" s="177" t="n"/>
      <c r="E663" s="177" t="n"/>
      <c r="F663" s="177" t="n"/>
      <c r="G663" s="177" t="n"/>
      <c r="H663" s="177" t="n"/>
      <c r="I663" s="177" t="n"/>
      <c r="J663" s="177" t="n"/>
      <c r="K663" s="177" t="n"/>
      <c r="L663" s="177" t="n"/>
      <c r="M663" s="177" t="n"/>
      <c r="N663" s="177" t="n"/>
      <c r="O663" s="177" t="n"/>
      <c r="P663" s="177" t="n"/>
      <c r="Q663" s="177" t="n"/>
      <c r="R663" s="177" t="n"/>
      <c r="S663" s="177" t="n"/>
      <c r="T663" s="177" t="n"/>
      <c r="U663" s="177" t="n"/>
      <c r="V663" s="177" t="n"/>
      <c r="W663" s="177" t="n"/>
      <c r="X663" s="177" t="n"/>
      <c r="Y663" s="177" t="n"/>
    </row>
    <row r="664">
      <c r="A664" s="177" t="n"/>
      <c r="B664" s="177" t="n"/>
      <c r="C664" s="177" t="n"/>
      <c r="D664" s="177" t="n"/>
      <c r="E664" s="177" t="n"/>
      <c r="F664" s="177" t="n"/>
      <c r="G664" s="177" t="n"/>
      <c r="H664" s="177" t="n"/>
      <c r="I664" s="177" t="n"/>
      <c r="J664" s="177" t="n"/>
      <c r="K664" s="177" t="n"/>
      <c r="L664" s="177" t="n"/>
      <c r="M664" s="177" t="n"/>
      <c r="N664" s="177" t="n"/>
      <c r="O664" s="177" t="n"/>
      <c r="P664" s="177" t="n"/>
      <c r="Q664" s="177" t="n"/>
      <c r="R664" s="177" t="n"/>
      <c r="S664" s="177" t="n"/>
      <c r="T664" s="177" t="n"/>
      <c r="U664" s="177" t="n"/>
      <c r="V664" s="177" t="n"/>
      <c r="W664" s="177" t="n"/>
      <c r="X664" s="177" t="n"/>
      <c r="Y664" s="177" t="n"/>
    </row>
    <row r="665">
      <c r="A665" s="177" t="n"/>
      <c r="B665" s="177" t="n"/>
      <c r="C665" s="177" t="n"/>
      <c r="D665" s="177" t="n"/>
      <c r="E665" s="177" t="n"/>
      <c r="F665" s="177" t="n"/>
      <c r="G665" s="177" t="n"/>
      <c r="H665" s="177" t="n"/>
      <c r="I665" s="177" t="n"/>
      <c r="J665" s="177" t="n"/>
      <c r="K665" s="177" t="n"/>
      <c r="L665" s="177" t="n"/>
      <c r="M665" s="177" t="n"/>
      <c r="N665" s="177" t="n"/>
      <c r="O665" s="177" t="n"/>
      <c r="P665" s="177" t="n"/>
      <c r="Q665" s="177" t="n"/>
      <c r="R665" s="177" t="n"/>
      <c r="S665" s="177" t="n"/>
      <c r="T665" s="177" t="n"/>
      <c r="U665" s="177" t="n"/>
      <c r="V665" s="177" t="n"/>
      <c r="W665" s="177" t="n"/>
      <c r="X665" s="177" t="n"/>
      <c r="Y665" s="177" t="n"/>
    </row>
    <row r="666">
      <c r="A666" s="177" t="n"/>
      <c r="B666" s="177" t="n"/>
      <c r="C666" s="177" t="n"/>
      <c r="D666" s="177" t="n"/>
      <c r="E666" s="177" t="n"/>
      <c r="F666" s="177" t="n"/>
      <c r="G666" s="177" t="n"/>
      <c r="H666" s="177" t="n"/>
      <c r="I666" s="177" t="n"/>
      <c r="J666" s="177" t="n"/>
      <c r="K666" s="177" t="n"/>
      <c r="L666" s="177" t="n"/>
      <c r="M666" s="177" t="n"/>
      <c r="N666" s="177" t="n"/>
      <c r="O666" s="177" t="n"/>
      <c r="P666" s="177" t="n"/>
      <c r="Q666" s="177" t="n"/>
      <c r="R666" s="177" t="n"/>
      <c r="S666" s="177" t="n"/>
      <c r="T666" s="177" t="n"/>
      <c r="U666" s="177" t="n"/>
      <c r="V666" s="177" t="n"/>
      <c r="W666" s="177" t="n"/>
      <c r="X666" s="177" t="n"/>
      <c r="Y666" s="177" t="n"/>
    </row>
    <row r="667">
      <c r="A667" s="177" t="n"/>
      <c r="B667" s="177" t="n"/>
      <c r="C667" s="177" t="n"/>
      <c r="D667" s="177" t="n"/>
      <c r="E667" s="177" t="n"/>
      <c r="F667" s="177" t="n"/>
      <c r="G667" s="177" t="n"/>
      <c r="H667" s="177" t="n"/>
      <c r="I667" s="177" t="n"/>
      <c r="J667" s="177" t="n"/>
      <c r="K667" s="177" t="n"/>
      <c r="L667" s="177" t="n"/>
      <c r="M667" s="177" t="n"/>
      <c r="N667" s="177" t="n"/>
      <c r="O667" s="177" t="n"/>
      <c r="P667" s="177" t="n"/>
      <c r="Q667" s="177" t="n"/>
      <c r="R667" s="177" t="n"/>
      <c r="S667" s="177" t="n"/>
      <c r="T667" s="177" t="n"/>
      <c r="U667" s="177" t="n"/>
      <c r="V667" s="177" t="n"/>
      <c r="W667" s="177" t="n"/>
      <c r="X667" s="177" t="n"/>
      <c r="Y667" s="177" t="n"/>
    </row>
    <row r="668">
      <c r="A668" s="177" t="n"/>
      <c r="B668" s="177" t="n"/>
      <c r="C668" s="177" t="n"/>
      <c r="D668" s="177" t="n"/>
      <c r="E668" s="177" t="n"/>
      <c r="F668" s="177" t="n"/>
      <c r="G668" s="177" t="n"/>
      <c r="H668" s="177" t="n"/>
      <c r="I668" s="177" t="n"/>
      <c r="J668" s="177" t="n"/>
      <c r="K668" s="177" t="n"/>
      <c r="L668" s="177" t="n"/>
      <c r="M668" s="177" t="n"/>
      <c r="N668" s="177" t="n"/>
      <c r="O668" s="177" t="n"/>
      <c r="P668" s="177" t="n"/>
      <c r="Q668" s="177" t="n"/>
      <c r="R668" s="177" t="n"/>
      <c r="S668" s="177" t="n"/>
      <c r="T668" s="177" t="n"/>
      <c r="U668" s="177" t="n"/>
      <c r="V668" s="177" t="n"/>
      <c r="W668" s="177" t="n"/>
      <c r="X668" s="177" t="n"/>
      <c r="Y668" s="177" t="n"/>
    </row>
    <row r="669">
      <c r="A669" s="177" t="n"/>
      <c r="B669" s="177" t="n"/>
      <c r="C669" s="177" t="n"/>
      <c r="D669" s="177" t="n"/>
      <c r="E669" s="177" t="n"/>
      <c r="F669" s="177" t="n"/>
      <c r="G669" s="177" t="n"/>
      <c r="H669" s="177" t="n"/>
      <c r="I669" s="177" t="n"/>
      <c r="J669" s="177" t="n"/>
      <c r="K669" s="177" t="n"/>
      <c r="L669" s="177" t="n"/>
      <c r="M669" s="177" t="n"/>
      <c r="N669" s="177" t="n"/>
      <c r="O669" s="177" t="n"/>
      <c r="P669" s="177" t="n"/>
      <c r="Q669" s="177" t="n"/>
      <c r="R669" s="177" t="n"/>
      <c r="S669" s="177" t="n"/>
      <c r="T669" s="177" t="n"/>
      <c r="U669" s="177" t="n"/>
      <c r="V669" s="177" t="n"/>
      <c r="W669" s="177" t="n"/>
      <c r="X669" s="177" t="n"/>
      <c r="Y669" s="177" t="n"/>
    </row>
    <row r="670">
      <c r="A670" s="177" t="n"/>
      <c r="B670" s="177" t="n"/>
      <c r="C670" s="177" t="n"/>
      <c r="D670" s="177" t="n"/>
      <c r="E670" s="177" t="n"/>
      <c r="F670" s="177" t="n"/>
      <c r="G670" s="177" t="n"/>
      <c r="H670" s="177" t="n"/>
      <c r="I670" s="177" t="n"/>
      <c r="J670" s="177" t="n"/>
      <c r="K670" s="177" t="n"/>
      <c r="L670" s="177" t="n"/>
      <c r="M670" s="177" t="n"/>
      <c r="N670" s="177" t="n"/>
      <c r="O670" s="177" t="n"/>
      <c r="P670" s="177" t="n"/>
      <c r="Q670" s="177" t="n"/>
      <c r="R670" s="177" t="n"/>
      <c r="S670" s="177" t="n"/>
      <c r="T670" s="177" t="n"/>
      <c r="U670" s="177" t="n"/>
      <c r="V670" s="177" t="n"/>
      <c r="W670" s="177" t="n"/>
      <c r="X670" s="177" t="n"/>
      <c r="Y670" s="177" t="n"/>
    </row>
    <row r="671">
      <c r="A671" s="177" t="n"/>
      <c r="B671" s="177" t="n"/>
      <c r="C671" s="177" t="n"/>
      <c r="D671" s="177" t="n"/>
      <c r="E671" s="177" t="n"/>
      <c r="F671" s="177" t="n"/>
      <c r="G671" s="177" t="n"/>
      <c r="H671" s="177" t="n"/>
      <c r="I671" s="177" t="n"/>
      <c r="J671" s="177" t="n"/>
      <c r="K671" s="177" t="n"/>
      <c r="L671" s="177" t="n"/>
      <c r="M671" s="177" t="n"/>
      <c r="N671" s="177" t="n"/>
      <c r="O671" s="177" t="n"/>
      <c r="P671" s="177" t="n"/>
      <c r="Q671" s="177" t="n"/>
      <c r="R671" s="177" t="n"/>
      <c r="S671" s="177" t="n"/>
      <c r="T671" s="177" t="n"/>
      <c r="U671" s="177" t="n"/>
      <c r="V671" s="177" t="n"/>
      <c r="W671" s="177" t="n"/>
      <c r="X671" s="177" t="n"/>
      <c r="Y671" s="177" t="n"/>
    </row>
    <row r="672">
      <c r="A672" s="177" t="n"/>
      <c r="B672" s="177" t="n"/>
      <c r="C672" s="177" t="n"/>
      <c r="D672" s="177" t="n"/>
      <c r="E672" s="177" t="n"/>
      <c r="F672" s="177" t="n"/>
      <c r="G672" s="177" t="n"/>
      <c r="H672" s="177" t="n"/>
      <c r="I672" s="177" t="n"/>
      <c r="J672" s="177" t="n"/>
      <c r="K672" s="177" t="n"/>
      <c r="L672" s="177" t="n"/>
      <c r="M672" s="177" t="n"/>
      <c r="N672" s="177" t="n"/>
      <c r="O672" s="177" t="n"/>
      <c r="P672" s="177" t="n"/>
      <c r="Q672" s="177" t="n"/>
      <c r="R672" s="177" t="n"/>
      <c r="S672" s="177" t="n"/>
      <c r="T672" s="177" t="n"/>
      <c r="U672" s="177" t="n"/>
      <c r="V672" s="177" t="n"/>
      <c r="W672" s="177" t="n"/>
      <c r="X672" s="177" t="n"/>
      <c r="Y672" s="177" t="n"/>
    </row>
    <row r="673">
      <c r="A673" s="177" t="n"/>
      <c r="B673" s="177" t="n"/>
      <c r="C673" s="177" t="n"/>
      <c r="D673" s="177" t="n"/>
      <c r="E673" s="177" t="n"/>
      <c r="F673" s="177" t="n"/>
      <c r="G673" s="177" t="n"/>
      <c r="H673" s="177" t="n"/>
      <c r="I673" s="177" t="n"/>
      <c r="J673" s="177" t="n"/>
      <c r="K673" s="177" t="n"/>
      <c r="L673" s="177" t="n"/>
      <c r="M673" s="177" t="n"/>
      <c r="N673" s="177" t="n"/>
      <c r="O673" s="177" t="n"/>
      <c r="P673" s="177" t="n"/>
      <c r="Q673" s="177" t="n"/>
      <c r="R673" s="177" t="n"/>
      <c r="S673" s="177" t="n"/>
      <c r="T673" s="177" t="n"/>
      <c r="U673" s="177" t="n"/>
      <c r="V673" s="177" t="n"/>
      <c r="W673" s="177" t="n"/>
      <c r="X673" s="177" t="n"/>
      <c r="Y673" s="177" t="n"/>
    </row>
    <row r="674">
      <c r="A674" s="177" t="n"/>
      <c r="B674" s="177" t="n"/>
      <c r="C674" s="177" t="n"/>
      <c r="D674" s="177" t="n"/>
      <c r="E674" s="177" t="n"/>
      <c r="F674" s="177" t="n"/>
      <c r="G674" s="177" t="n"/>
      <c r="H674" s="177" t="n"/>
      <c r="I674" s="177" t="n"/>
      <c r="J674" s="177" t="n"/>
      <c r="K674" s="177" t="n"/>
      <c r="L674" s="177" t="n"/>
      <c r="M674" s="177" t="n"/>
      <c r="N674" s="177" t="n"/>
      <c r="O674" s="177" t="n"/>
      <c r="P674" s="177" t="n"/>
      <c r="Q674" s="177" t="n"/>
      <c r="R674" s="177" t="n"/>
      <c r="S674" s="177" t="n"/>
      <c r="T674" s="177" t="n"/>
      <c r="U674" s="177" t="n"/>
      <c r="V674" s="177" t="n"/>
      <c r="W674" s="177" t="n"/>
      <c r="X674" s="177" t="n"/>
      <c r="Y674" s="177" t="n"/>
    </row>
    <row r="675">
      <c r="A675" s="177" t="n"/>
      <c r="B675" s="177" t="n"/>
      <c r="C675" s="177" t="n"/>
      <c r="D675" s="177" t="n"/>
      <c r="E675" s="177" t="n"/>
      <c r="F675" s="177" t="n"/>
      <c r="G675" s="177" t="n"/>
      <c r="H675" s="177" t="n"/>
      <c r="I675" s="177" t="n"/>
      <c r="J675" s="177" t="n"/>
      <c r="K675" s="177" t="n"/>
      <c r="L675" s="177" t="n"/>
      <c r="M675" s="177" t="n"/>
      <c r="N675" s="177" t="n"/>
      <c r="O675" s="177" t="n"/>
      <c r="P675" s="177" t="n"/>
      <c r="Q675" s="177" t="n"/>
      <c r="R675" s="177" t="n"/>
      <c r="S675" s="177" t="n"/>
      <c r="T675" s="177" t="n"/>
      <c r="U675" s="177" t="n"/>
      <c r="V675" s="177" t="n"/>
      <c r="W675" s="177" t="n"/>
      <c r="X675" s="177" t="n"/>
      <c r="Y675" s="177" t="n"/>
    </row>
    <row r="676">
      <c r="A676" s="177" t="n"/>
      <c r="B676" s="177" t="n"/>
      <c r="C676" s="177" t="n"/>
      <c r="D676" s="177" t="n"/>
      <c r="E676" s="177" t="n"/>
      <c r="F676" s="177" t="n"/>
      <c r="G676" s="177" t="n"/>
      <c r="H676" s="177" t="n"/>
      <c r="I676" s="177" t="n"/>
      <c r="J676" s="177" t="n"/>
      <c r="K676" s="177" t="n"/>
      <c r="L676" s="177" t="n"/>
      <c r="M676" s="177" t="n"/>
      <c r="N676" s="177" t="n"/>
      <c r="O676" s="177" t="n"/>
      <c r="P676" s="177" t="n"/>
      <c r="Q676" s="177" t="n"/>
      <c r="R676" s="177" t="n"/>
      <c r="S676" s="177" t="n"/>
      <c r="T676" s="177" t="n"/>
      <c r="U676" s="177" t="n"/>
      <c r="V676" s="177" t="n"/>
      <c r="W676" s="177" t="n"/>
      <c r="X676" s="177" t="n"/>
      <c r="Y676" s="177" t="n"/>
    </row>
    <row r="677">
      <c r="A677" s="177" t="n"/>
      <c r="B677" s="177" t="n"/>
      <c r="C677" s="177" t="n"/>
      <c r="D677" s="177" t="n"/>
      <c r="E677" s="177" t="n"/>
      <c r="F677" s="177" t="n"/>
      <c r="G677" s="177" t="n"/>
      <c r="H677" s="177" t="n"/>
      <c r="I677" s="177" t="n"/>
      <c r="J677" s="177" t="n"/>
      <c r="K677" s="177" t="n"/>
      <c r="L677" s="177" t="n"/>
      <c r="M677" s="177" t="n"/>
      <c r="N677" s="177" t="n"/>
      <c r="O677" s="177" t="n"/>
      <c r="P677" s="177" t="n"/>
      <c r="Q677" s="177" t="n"/>
      <c r="R677" s="177" t="n"/>
      <c r="S677" s="177" t="n"/>
      <c r="T677" s="177" t="n"/>
      <c r="U677" s="177" t="n"/>
      <c r="V677" s="177" t="n"/>
      <c r="W677" s="177" t="n"/>
      <c r="X677" s="177" t="n"/>
      <c r="Y677" s="177" t="n"/>
    </row>
    <row r="678">
      <c r="A678" s="177" t="n"/>
      <c r="B678" s="177" t="n"/>
      <c r="C678" s="177" t="n"/>
      <c r="D678" s="177" t="n"/>
      <c r="E678" s="177" t="n"/>
      <c r="F678" s="177" t="n"/>
      <c r="G678" s="177" t="n"/>
      <c r="H678" s="177" t="n"/>
      <c r="I678" s="177" t="n"/>
      <c r="J678" s="177" t="n"/>
      <c r="K678" s="177" t="n"/>
      <c r="L678" s="177" t="n"/>
      <c r="M678" s="177" t="n"/>
      <c r="N678" s="177" t="n"/>
      <c r="O678" s="177" t="n"/>
      <c r="P678" s="177" t="n"/>
      <c r="Q678" s="177" t="n"/>
      <c r="R678" s="177" t="n"/>
      <c r="S678" s="177" t="n"/>
      <c r="T678" s="177" t="n"/>
      <c r="U678" s="177" t="n"/>
      <c r="V678" s="177" t="n"/>
      <c r="W678" s="177" t="n"/>
      <c r="X678" s="177" t="n"/>
      <c r="Y678" s="177" t="n"/>
    </row>
    <row r="679">
      <c r="A679" s="177" t="n"/>
      <c r="B679" s="177" t="n"/>
      <c r="C679" s="177" t="n"/>
      <c r="D679" s="177" t="n"/>
      <c r="E679" s="177" t="n"/>
      <c r="F679" s="177" t="n"/>
      <c r="G679" s="177" t="n"/>
      <c r="H679" s="177" t="n"/>
      <c r="I679" s="177" t="n"/>
      <c r="J679" s="177" t="n"/>
      <c r="K679" s="177" t="n"/>
      <c r="L679" s="177" t="n"/>
      <c r="M679" s="177" t="n"/>
      <c r="N679" s="177" t="n"/>
      <c r="O679" s="177" t="n"/>
      <c r="P679" s="177" t="n"/>
      <c r="Q679" s="177" t="n"/>
      <c r="R679" s="177" t="n"/>
      <c r="S679" s="177" t="n"/>
      <c r="T679" s="177" t="n"/>
      <c r="U679" s="177" t="n"/>
      <c r="V679" s="177" t="n"/>
      <c r="W679" s="177" t="n"/>
      <c r="X679" s="177" t="n"/>
      <c r="Y679" s="177" t="n"/>
    </row>
    <row r="680">
      <c r="A680" s="177" t="n"/>
      <c r="B680" s="177" t="n"/>
      <c r="C680" s="177" t="n"/>
      <c r="D680" s="177" t="n"/>
      <c r="E680" s="177" t="n"/>
      <c r="F680" s="177" t="n"/>
      <c r="G680" s="177" t="n"/>
      <c r="H680" s="177" t="n"/>
      <c r="I680" s="177" t="n"/>
      <c r="J680" s="177" t="n"/>
      <c r="K680" s="177" t="n"/>
      <c r="L680" s="177" t="n"/>
      <c r="M680" s="177" t="n"/>
      <c r="N680" s="177" t="n"/>
      <c r="O680" s="177" t="n"/>
      <c r="P680" s="177" t="n"/>
      <c r="Q680" s="177" t="n"/>
      <c r="R680" s="177" t="n"/>
      <c r="S680" s="177" t="n"/>
      <c r="T680" s="177" t="n"/>
      <c r="U680" s="177" t="n"/>
      <c r="V680" s="177" t="n"/>
      <c r="W680" s="177" t="n"/>
      <c r="X680" s="177" t="n"/>
      <c r="Y680" s="177" t="n"/>
    </row>
    <row r="681">
      <c r="A681" s="177" t="n"/>
      <c r="B681" s="177" t="n"/>
      <c r="C681" s="177" t="n"/>
      <c r="D681" s="177" t="n"/>
      <c r="E681" s="177" t="n"/>
      <c r="F681" s="177" t="n"/>
      <c r="G681" s="177" t="n"/>
      <c r="H681" s="177" t="n"/>
      <c r="I681" s="177" t="n"/>
      <c r="J681" s="177" t="n"/>
      <c r="K681" s="177" t="n"/>
      <c r="L681" s="177" t="n"/>
      <c r="M681" s="177" t="n"/>
      <c r="N681" s="177" t="n"/>
      <c r="O681" s="177" t="n"/>
      <c r="P681" s="177" t="n"/>
      <c r="Q681" s="177" t="n"/>
      <c r="R681" s="177" t="n"/>
      <c r="S681" s="177" t="n"/>
      <c r="T681" s="177" t="n"/>
      <c r="U681" s="177" t="n"/>
      <c r="V681" s="177" t="n"/>
      <c r="W681" s="177" t="n"/>
      <c r="X681" s="177" t="n"/>
      <c r="Y681" s="177" t="n"/>
    </row>
    <row r="682">
      <c r="A682" s="177" t="n"/>
      <c r="B682" s="177" t="n"/>
      <c r="C682" s="177" t="n"/>
      <c r="D682" s="177" t="n"/>
      <c r="E682" s="177" t="n"/>
      <c r="F682" s="177" t="n"/>
      <c r="G682" s="177" t="n"/>
      <c r="H682" s="177" t="n"/>
      <c r="I682" s="177" t="n"/>
      <c r="J682" s="177" t="n"/>
      <c r="K682" s="177" t="n"/>
      <c r="L682" s="177" t="n"/>
      <c r="M682" s="177" t="n"/>
      <c r="N682" s="177" t="n"/>
      <c r="O682" s="177" t="n"/>
      <c r="P682" s="177" t="n"/>
      <c r="Q682" s="177" t="n"/>
      <c r="R682" s="177" t="n"/>
      <c r="S682" s="177" t="n"/>
      <c r="T682" s="177" t="n"/>
      <c r="U682" s="177" t="n"/>
      <c r="V682" s="177" t="n"/>
      <c r="W682" s="177" t="n"/>
      <c r="X682" s="177" t="n"/>
      <c r="Y682" s="177" t="n"/>
    </row>
    <row r="683">
      <c r="A683" s="177" t="n"/>
      <c r="B683" s="177" t="n"/>
      <c r="C683" s="177" t="n"/>
      <c r="D683" s="177" t="n"/>
      <c r="E683" s="177" t="n"/>
      <c r="F683" s="177" t="n"/>
      <c r="G683" s="177" t="n"/>
      <c r="H683" s="177" t="n"/>
      <c r="I683" s="177" t="n"/>
      <c r="J683" s="177" t="n"/>
      <c r="K683" s="177" t="n"/>
      <c r="L683" s="177" t="n"/>
      <c r="M683" s="177" t="n"/>
      <c r="N683" s="177" t="n"/>
      <c r="O683" s="177" t="n"/>
      <c r="P683" s="177" t="n"/>
      <c r="Q683" s="177" t="n"/>
      <c r="R683" s="177" t="n"/>
      <c r="S683" s="177" t="n"/>
      <c r="T683" s="177" t="n"/>
      <c r="U683" s="177" t="n"/>
      <c r="V683" s="177" t="n"/>
      <c r="W683" s="177" t="n"/>
      <c r="X683" s="177" t="n"/>
      <c r="Y683" s="177" t="n"/>
    </row>
    <row r="684">
      <c r="A684" s="177" t="n"/>
      <c r="B684" s="177" t="n"/>
      <c r="C684" s="177" t="n"/>
      <c r="D684" s="177" t="n"/>
      <c r="E684" s="177" t="n"/>
      <c r="F684" s="177" t="n"/>
      <c r="G684" s="177" t="n"/>
      <c r="H684" s="177" t="n"/>
      <c r="I684" s="177" t="n"/>
      <c r="J684" s="177" t="n"/>
      <c r="K684" s="177" t="n"/>
      <c r="L684" s="177" t="n"/>
      <c r="M684" s="177" t="n"/>
      <c r="N684" s="177" t="n"/>
      <c r="O684" s="177" t="n"/>
      <c r="P684" s="177" t="n"/>
      <c r="Q684" s="177" t="n"/>
      <c r="R684" s="177" t="n"/>
      <c r="S684" s="177" t="n"/>
      <c r="T684" s="177" t="n"/>
      <c r="U684" s="177" t="n"/>
      <c r="V684" s="177" t="n"/>
      <c r="W684" s="177" t="n"/>
      <c r="X684" s="177" t="n"/>
      <c r="Y684" s="177" t="n"/>
    </row>
    <row r="685">
      <c r="A685" s="177" t="n"/>
      <c r="B685" s="177" t="n"/>
      <c r="C685" s="177" t="n"/>
      <c r="D685" s="177" t="n"/>
      <c r="E685" s="177" t="n"/>
      <c r="F685" s="177" t="n"/>
      <c r="G685" s="177" t="n"/>
      <c r="H685" s="177" t="n"/>
      <c r="I685" s="177" t="n"/>
      <c r="J685" s="177" t="n"/>
      <c r="K685" s="177" t="n"/>
      <c r="L685" s="177" t="n"/>
      <c r="M685" s="177" t="n"/>
      <c r="N685" s="177" t="n"/>
      <c r="O685" s="177" t="n"/>
      <c r="P685" s="177" t="n"/>
      <c r="Q685" s="177" t="n"/>
      <c r="R685" s="177" t="n"/>
      <c r="S685" s="177" t="n"/>
      <c r="T685" s="177" t="n"/>
      <c r="U685" s="177" t="n"/>
      <c r="V685" s="177" t="n"/>
      <c r="W685" s="177" t="n"/>
      <c r="X685" s="177" t="n"/>
      <c r="Y685" s="177" t="n"/>
    </row>
    <row r="686">
      <c r="A686" s="177" t="n"/>
      <c r="B686" s="177" t="n"/>
      <c r="C686" s="177" t="n"/>
      <c r="D686" s="177" t="n"/>
      <c r="E686" s="177" t="n"/>
      <c r="F686" s="177" t="n"/>
      <c r="G686" s="177" t="n"/>
      <c r="H686" s="177" t="n"/>
      <c r="I686" s="177" t="n"/>
      <c r="J686" s="177" t="n"/>
      <c r="K686" s="177" t="n"/>
      <c r="L686" s="177" t="n"/>
      <c r="M686" s="177" t="n"/>
      <c r="N686" s="177" t="n"/>
      <c r="O686" s="177" t="n"/>
      <c r="P686" s="177" t="n"/>
      <c r="Q686" s="177" t="n"/>
      <c r="R686" s="177" t="n"/>
      <c r="S686" s="177" t="n"/>
      <c r="T686" s="177" t="n"/>
      <c r="U686" s="177" t="n"/>
      <c r="V686" s="177" t="n"/>
      <c r="W686" s="177" t="n"/>
      <c r="X686" s="177" t="n"/>
      <c r="Y686" s="177" t="n"/>
    </row>
    <row r="687">
      <c r="A687" s="177" t="n"/>
      <c r="B687" s="177" t="n"/>
      <c r="C687" s="177" t="n"/>
      <c r="D687" s="177" t="n"/>
      <c r="E687" s="177" t="n"/>
      <c r="F687" s="177" t="n"/>
      <c r="G687" s="177" t="n"/>
      <c r="H687" s="177" t="n"/>
      <c r="I687" s="177" t="n"/>
      <c r="J687" s="177" t="n"/>
      <c r="K687" s="177" t="n"/>
      <c r="L687" s="177" t="n"/>
      <c r="M687" s="177" t="n"/>
      <c r="N687" s="177" t="n"/>
      <c r="O687" s="177" t="n"/>
      <c r="P687" s="177" t="n"/>
      <c r="Q687" s="177" t="n"/>
      <c r="R687" s="177" t="n"/>
      <c r="S687" s="177" t="n"/>
      <c r="T687" s="177" t="n"/>
      <c r="U687" s="177" t="n"/>
      <c r="V687" s="177" t="n"/>
      <c r="W687" s="177" t="n"/>
      <c r="X687" s="177" t="n"/>
      <c r="Y687" s="177" t="n"/>
    </row>
    <row r="688">
      <c r="A688" s="177" t="n"/>
      <c r="B688" s="177" t="n"/>
      <c r="C688" s="177" t="n"/>
      <c r="D688" s="177" t="n"/>
      <c r="E688" s="177" t="n"/>
      <c r="F688" s="177" t="n"/>
      <c r="G688" s="177" t="n"/>
      <c r="H688" s="177" t="n"/>
      <c r="I688" s="177" t="n"/>
      <c r="J688" s="177" t="n"/>
      <c r="K688" s="177" t="n"/>
      <c r="L688" s="177" t="n"/>
      <c r="M688" s="177" t="n"/>
      <c r="N688" s="177" t="n"/>
      <c r="O688" s="177" t="n"/>
      <c r="P688" s="177" t="n"/>
      <c r="Q688" s="177" t="n"/>
      <c r="R688" s="177" t="n"/>
      <c r="S688" s="177" t="n"/>
      <c r="T688" s="177" t="n"/>
      <c r="U688" s="177" t="n"/>
      <c r="V688" s="177" t="n"/>
      <c r="W688" s="177" t="n"/>
      <c r="X688" s="177" t="n"/>
      <c r="Y688" s="177" t="n"/>
    </row>
    <row r="689">
      <c r="A689" s="177" t="n"/>
      <c r="B689" s="177" t="n"/>
      <c r="C689" s="177" t="n"/>
      <c r="D689" s="177" t="n"/>
      <c r="E689" s="177" t="n"/>
      <c r="F689" s="177" t="n"/>
      <c r="G689" s="177" t="n"/>
      <c r="H689" s="177" t="n"/>
      <c r="I689" s="177" t="n"/>
      <c r="J689" s="177" t="n"/>
      <c r="K689" s="177" t="n"/>
      <c r="L689" s="177" t="n"/>
      <c r="M689" s="177" t="n"/>
      <c r="N689" s="177" t="n"/>
      <c r="O689" s="177" t="n"/>
      <c r="P689" s="177" t="n"/>
      <c r="Q689" s="177" t="n"/>
      <c r="R689" s="177" t="n"/>
      <c r="S689" s="177" t="n"/>
      <c r="T689" s="177" t="n"/>
      <c r="U689" s="177" t="n"/>
      <c r="V689" s="177" t="n"/>
      <c r="W689" s="177" t="n"/>
      <c r="X689" s="177" t="n"/>
      <c r="Y689" s="177" t="n"/>
    </row>
    <row r="690">
      <c r="A690" s="177" t="n"/>
      <c r="B690" s="177" t="n"/>
      <c r="C690" s="177" t="n"/>
      <c r="D690" s="177" t="n"/>
      <c r="E690" s="177" t="n"/>
      <c r="F690" s="177" t="n"/>
      <c r="G690" s="177" t="n"/>
      <c r="H690" s="177" t="n"/>
      <c r="I690" s="177" t="n"/>
      <c r="J690" s="177" t="n"/>
      <c r="K690" s="177" t="n"/>
      <c r="L690" s="177" t="n"/>
      <c r="M690" s="177" t="n"/>
      <c r="N690" s="177" t="n"/>
      <c r="O690" s="177" t="n"/>
      <c r="P690" s="177" t="n"/>
      <c r="Q690" s="177" t="n"/>
      <c r="R690" s="177" t="n"/>
      <c r="S690" s="177" t="n"/>
      <c r="T690" s="177" t="n"/>
      <c r="U690" s="177" t="n"/>
      <c r="V690" s="177" t="n"/>
      <c r="W690" s="177" t="n"/>
      <c r="X690" s="177" t="n"/>
      <c r="Y690" s="177" t="n"/>
    </row>
    <row r="691">
      <c r="A691" s="177" t="n"/>
      <c r="B691" s="177" t="n"/>
      <c r="C691" s="177" t="n"/>
      <c r="D691" s="177" t="n"/>
      <c r="E691" s="177" t="n"/>
      <c r="F691" s="177" t="n"/>
      <c r="G691" s="177" t="n"/>
      <c r="H691" s="177" t="n"/>
      <c r="I691" s="177" t="n"/>
      <c r="J691" s="177" t="n"/>
      <c r="K691" s="177" t="n"/>
      <c r="L691" s="177" t="n"/>
      <c r="M691" s="177" t="n"/>
      <c r="N691" s="177" t="n"/>
      <c r="O691" s="177" t="n"/>
      <c r="P691" s="177" t="n"/>
      <c r="Q691" s="177" t="n"/>
      <c r="R691" s="177" t="n"/>
      <c r="S691" s="177" t="n"/>
      <c r="T691" s="177" t="n"/>
      <c r="U691" s="177" t="n"/>
      <c r="V691" s="177" t="n"/>
      <c r="W691" s="177" t="n"/>
      <c r="X691" s="177" t="n"/>
      <c r="Y691" s="177" t="n"/>
    </row>
    <row r="692">
      <c r="A692" s="177" t="n"/>
      <c r="B692" s="177" t="n"/>
      <c r="C692" s="177" t="n"/>
      <c r="D692" s="177" t="n"/>
      <c r="E692" s="177" t="n"/>
      <c r="F692" s="177" t="n"/>
      <c r="G692" s="177" t="n"/>
      <c r="H692" s="177" t="n"/>
      <c r="I692" s="177" t="n"/>
      <c r="J692" s="177" t="n"/>
      <c r="K692" s="177" t="n"/>
      <c r="L692" s="177" t="n"/>
      <c r="M692" s="177" t="n"/>
      <c r="N692" s="177" t="n"/>
      <c r="O692" s="177" t="n"/>
      <c r="P692" s="177" t="n"/>
      <c r="Q692" s="177" t="n"/>
      <c r="R692" s="177" t="n"/>
      <c r="S692" s="177" t="n"/>
      <c r="T692" s="177" t="n"/>
      <c r="U692" s="177" t="n"/>
      <c r="V692" s="177" t="n"/>
      <c r="W692" s="177" t="n"/>
      <c r="X692" s="177" t="n"/>
      <c r="Y692" s="177" t="n"/>
    </row>
    <row r="693">
      <c r="A693" s="177" t="n"/>
      <c r="B693" s="177" t="n"/>
      <c r="C693" s="177" t="n"/>
      <c r="D693" s="177" t="n"/>
      <c r="E693" s="177" t="n"/>
      <c r="F693" s="177" t="n"/>
      <c r="G693" s="177" t="n"/>
      <c r="H693" s="177" t="n"/>
      <c r="I693" s="177" t="n"/>
      <c r="J693" s="177" t="n"/>
      <c r="K693" s="177" t="n"/>
      <c r="L693" s="177" t="n"/>
      <c r="M693" s="177" t="n"/>
      <c r="N693" s="177" t="n"/>
      <c r="O693" s="177" t="n"/>
      <c r="P693" s="177" t="n"/>
      <c r="Q693" s="177" t="n"/>
      <c r="R693" s="177" t="n"/>
      <c r="S693" s="177" t="n"/>
      <c r="T693" s="177" t="n"/>
      <c r="U693" s="177" t="n"/>
      <c r="V693" s="177" t="n"/>
      <c r="W693" s="177" t="n"/>
      <c r="X693" s="177" t="n"/>
      <c r="Y693" s="177" t="n"/>
    </row>
    <row r="694">
      <c r="A694" s="177" t="n"/>
      <c r="B694" s="177" t="n"/>
      <c r="C694" s="177" t="n"/>
      <c r="D694" s="177" t="n"/>
      <c r="E694" s="177" t="n"/>
      <c r="F694" s="177" t="n"/>
      <c r="G694" s="177" t="n"/>
      <c r="H694" s="177" t="n"/>
      <c r="I694" s="177" t="n"/>
      <c r="J694" s="177" t="n"/>
      <c r="K694" s="177" t="n"/>
      <c r="L694" s="177" t="n"/>
      <c r="M694" s="177" t="n"/>
      <c r="N694" s="177" t="n"/>
      <c r="O694" s="177" t="n"/>
      <c r="P694" s="177" t="n"/>
      <c r="Q694" s="177" t="n"/>
      <c r="R694" s="177" t="n"/>
      <c r="S694" s="177" t="n"/>
      <c r="T694" s="177" t="n"/>
      <c r="U694" s="177" t="n"/>
      <c r="V694" s="177" t="n"/>
      <c r="W694" s="177" t="n"/>
      <c r="X694" s="177" t="n"/>
      <c r="Y694" s="177" t="n"/>
    </row>
    <row r="695">
      <c r="A695" s="177" t="n"/>
      <c r="B695" s="177" t="n"/>
      <c r="C695" s="177" t="n"/>
      <c r="D695" s="177" t="n"/>
      <c r="E695" s="177" t="n"/>
      <c r="F695" s="177" t="n"/>
      <c r="G695" s="177" t="n"/>
      <c r="H695" s="177" t="n"/>
      <c r="I695" s="177" t="n"/>
      <c r="J695" s="177" t="n"/>
      <c r="K695" s="177" t="n"/>
      <c r="L695" s="177" t="n"/>
      <c r="M695" s="177" t="n"/>
      <c r="N695" s="177" t="n"/>
      <c r="O695" s="177" t="n"/>
      <c r="P695" s="177" t="n"/>
      <c r="Q695" s="177" t="n"/>
      <c r="R695" s="177" t="n"/>
      <c r="S695" s="177" t="n"/>
      <c r="T695" s="177" t="n"/>
      <c r="U695" s="177" t="n"/>
      <c r="V695" s="177" t="n"/>
      <c r="W695" s="177" t="n"/>
      <c r="X695" s="177" t="n"/>
      <c r="Y695" s="177" t="n"/>
    </row>
    <row r="696">
      <c r="A696" s="177" t="n"/>
      <c r="B696" s="177" t="n"/>
      <c r="C696" s="177" t="n"/>
      <c r="D696" s="177" t="n"/>
      <c r="E696" s="177" t="n"/>
      <c r="F696" s="177" t="n"/>
      <c r="G696" s="177" t="n"/>
      <c r="H696" s="177" t="n"/>
      <c r="I696" s="177" t="n"/>
      <c r="J696" s="177" t="n"/>
      <c r="K696" s="177" t="n"/>
      <c r="L696" s="177" t="n"/>
      <c r="M696" s="177" t="n"/>
      <c r="N696" s="177" t="n"/>
      <c r="O696" s="177" t="n"/>
      <c r="P696" s="177" t="n"/>
      <c r="Q696" s="177" t="n"/>
      <c r="R696" s="177" t="n"/>
      <c r="S696" s="177" t="n"/>
      <c r="T696" s="177" t="n"/>
      <c r="U696" s="177" t="n"/>
      <c r="V696" s="177" t="n"/>
      <c r="W696" s="177" t="n"/>
      <c r="X696" s="177" t="n"/>
      <c r="Y696" s="177" t="n"/>
    </row>
    <row r="697">
      <c r="A697" s="177" t="n"/>
      <c r="B697" s="177" t="n"/>
      <c r="C697" s="177" t="n"/>
      <c r="D697" s="177" t="n"/>
      <c r="E697" s="177" t="n"/>
      <c r="F697" s="177" t="n"/>
      <c r="G697" s="177" t="n"/>
      <c r="H697" s="177" t="n"/>
      <c r="I697" s="177" t="n"/>
      <c r="J697" s="177" t="n"/>
      <c r="K697" s="177" t="n"/>
      <c r="L697" s="177" t="n"/>
      <c r="M697" s="177" t="n"/>
      <c r="N697" s="177" t="n"/>
      <c r="O697" s="177" t="n"/>
      <c r="P697" s="177" t="n"/>
      <c r="Q697" s="177" t="n"/>
      <c r="R697" s="177" t="n"/>
      <c r="S697" s="177" t="n"/>
      <c r="T697" s="177" t="n"/>
      <c r="U697" s="177" t="n"/>
      <c r="V697" s="177" t="n"/>
      <c r="W697" s="177" t="n"/>
      <c r="X697" s="177" t="n"/>
      <c r="Y697" s="177" t="n"/>
    </row>
    <row r="698">
      <c r="A698" s="177" t="n"/>
      <c r="B698" s="177" t="n"/>
      <c r="C698" s="177" t="n"/>
      <c r="D698" s="177" t="n"/>
      <c r="E698" s="177" t="n"/>
      <c r="F698" s="177" t="n"/>
      <c r="G698" s="177" t="n"/>
      <c r="H698" s="177" t="n"/>
      <c r="I698" s="177" t="n"/>
      <c r="J698" s="177" t="n"/>
      <c r="K698" s="177" t="n"/>
      <c r="L698" s="177" t="n"/>
      <c r="M698" s="177" t="n"/>
      <c r="N698" s="177" t="n"/>
      <c r="O698" s="177" t="n"/>
      <c r="P698" s="177" t="n"/>
      <c r="Q698" s="177" t="n"/>
      <c r="R698" s="177" t="n"/>
      <c r="S698" s="177" t="n"/>
      <c r="T698" s="177" t="n"/>
      <c r="U698" s="177" t="n"/>
      <c r="V698" s="177" t="n"/>
      <c r="W698" s="177" t="n"/>
      <c r="X698" s="177" t="n"/>
      <c r="Y698" s="177" t="n"/>
    </row>
    <row r="699">
      <c r="A699" s="177" t="n"/>
      <c r="B699" s="177" t="n"/>
      <c r="C699" s="177" t="n"/>
      <c r="D699" s="177" t="n"/>
      <c r="E699" s="177" t="n"/>
      <c r="F699" s="177" t="n"/>
      <c r="G699" s="177" t="n"/>
      <c r="H699" s="177" t="n"/>
      <c r="I699" s="177" t="n"/>
      <c r="J699" s="177" t="n"/>
      <c r="K699" s="177" t="n"/>
      <c r="L699" s="177" t="n"/>
      <c r="M699" s="177" t="n"/>
      <c r="N699" s="177" t="n"/>
      <c r="O699" s="177" t="n"/>
      <c r="P699" s="177" t="n"/>
      <c r="Q699" s="177" t="n"/>
      <c r="R699" s="177" t="n"/>
      <c r="S699" s="177" t="n"/>
      <c r="T699" s="177" t="n"/>
      <c r="U699" s="177" t="n"/>
      <c r="V699" s="177" t="n"/>
      <c r="W699" s="177" t="n"/>
      <c r="X699" s="177" t="n"/>
      <c r="Y699" s="177" t="n"/>
    </row>
    <row r="700">
      <c r="A700" s="177" t="n"/>
      <c r="B700" s="177" t="n"/>
      <c r="C700" s="177" t="n"/>
      <c r="D700" s="177" t="n"/>
      <c r="E700" s="177" t="n"/>
      <c r="F700" s="177" t="n"/>
      <c r="G700" s="177" t="n"/>
      <c r="H700" s="177" t="n"/>
      <c r="I700" s="177" t="n"/>
      <c r="J700" s="177" t="n"/>
      <c r="K700" s="177" t="n"/>
      <c r="L700" s="177" t="n"/>
      <c r="M700" s="177" t="n"/>
      <c r="N700" s="177" t="n"/>
      <c r="O700" s="177" t="n"/>
      <c r="P700" s="177" t="n"/>
      <c r="Q700" s="177" t="n"/>
      <c r="R700" s="177" t="n"/>
      <c r="S700" s="177" t="n"/>
      <c r="T700" s="177" t="n"/>
      <c r="U700" s="177" t="n"/>
      <c r="V700" s="177" t="n"/>
      <c r="W700" s="177" t="n"/>
      <c r="X700" s="177" t="n"/>
      <c r="Y700" s="177" t="n"/>
    </row>
    <row r="701">
      <c r="A701" s="177" t="n"/>
      <c r="B701" s="177" t="n"/>
      <c r="C701" s="177" t="n"/>
      <c r="D701" s="177" t="n"/>
      <c r="E701" s="177" t="n"/>
      <c r="F701" s="177" t="n"/>
      <c r="G701" s="177" t="n"/>
      <c r="H701" s="177" t="n"/>
      <c r="I701" s="177" t="n"/>
      <c r="J701" s="177" t="n"/>
      <c r="K701" s="177" t="n"/>
      <c r="L701" s="177" t="n"/>
      <c r="M701" s="177" t="n"/>
      <c r="N701" s="177" t="n"/>
      <c r="O701" s="177" t="n"/>
      <c r="P701" s="177" t="n"/>
      <c r="Q701" s="177" t="n"/>
      <c r="R701" s="177" t="n"/>
      <c r="S701" s="177" t="n"/>
      <c r="T701" s="177" t="n"/>
      <c r="U701" s="177" t="n"/>
      <c r="V701" s="177" t="n"/>
      <c r="W701" s="177" t="n"/>
      <c r="X701" s="177" t="n"/>
      <c r="Y701" s="177" t="n"/>
    </row>
    <row r="702">
      <c r="A702" s="177" t="n"/>
      <c r="B702" s="177" t="n"/>
      <c r="C702" s="177" t="n"/>
      <c r="D702" s="177" t="n"/>
      <c r="E702" s="177" t="n"/>
      <c r="F702" s="177" t="n"/>
      <c r="G702" s="177" t="n"/>
      <c r="H702" s="177" t="n"/>
      <c r="I702" s="177" t="n"/>
      <c r="J702" s="177" t="n"/>
      <c r="K702" s="177" t="n"/>
      <c r="L702" s="177" t="n"/>
      <c r="M702" s="177" t="n"/>
      <c r="N702" s="177" t="n"/>
      <c r="O702" s="177" t="n"/>
      <c r="P702" s="177" t="n"/>
      <c r="Q702" s="177" t="n"/>
      <c r="R702" s="177" t="n"/>
      <c r="S702" s="177" t="n"/>
      <c r="T702" s="177" t="n"/>
      <c r="U702" s="177" t="n"/>
      <c r="V702" s="177" t="n"/>
      <c r="W702" s="177" t="n"/>
      <c r="X702" s="177" t="n"/>
      <c r="Y702" s="177" t="n"/>
    </row>
    <row r="703">
      <c r="A703" s="177" t="n"/>
      <c r="B703" s="177" t="n"/>
      <c r="C703" s="177" t="n"/>
      <c r="D703" s="177" t="n"/>
      <c r="E703" s="177" t="n"/>
      <c r="F703" s="177" t="n"/>
      <c r="G703" s="177" t="n"/>
      <c r="H703" s="177" t="n"/>
      <c r="I703" s="177" t="n"/>
      <c r="J703" s="177" t="n"/>
      <c r="K703" s="177" t="n"/>
      <c r="L703" s="177" t="n"/>
      <c r="M703" s="177" t="n"/>
      <c r="N703" s="177" t="n"/>
      <c r="O703" s="177" t="n"/>
      <c r="P703" s="177" t="n"/>
      <c r="Q703" s="177" t="n"/>
      <c r="R703" s="177" t="n"/>
      <c r="S703" s="177" t="n"/>
      <c r="T703" s="177" t="n"/>
      <c r="U703" s="177" t="n"/>
      <c r="V703" s="177" t="n"/>
      <c r="W703" s="177" t="n"/>
      <c r="X703" s="177" t="n"/>
      <c r="Y703" s="177" t="n"/>
    </row>
    <row r="704">
      <c r="A704" s="177" t="n"/>
      <c r="B704" s="177" t="n"/>
      <c r="C704" s="177" t="n"/>
      <c r="D704" s="177" t="n"/>
      <c r="E704" s="177" t="n"/>
      <c r="F704" s="177" t="n"/>
      <c r="G704" s="177" t="n"/>
      <c r="H704" s="177" t="n"/>
      <c r="I704" s="177" t="n"/>
      <c r="J704" s="177" t="n"/>
      <c r="K704" s="177" t="n"/>
      <c r="L704" s="177" t="n"/>
      <c r="M704" s="177" t="n"/>
      <c r="N704" s="177" t="n"/>
      <c r="O704" s="177" t="n"/>
      <c r="P704" s="177" t="n"/>
      <c r="Q704" s="177" t="n"/>
      <c r="R704" s="177" t="n"/>
      <c r="S704" s="177" t="n"/>
      <c r="T704" s="177" t="n"/>
      <c r="U704" s="177" t="n"/>
      <c r="V704" s="177" t="n"/>
      <c r="W704" s="177" t="n"/>
      <c r="X704" s="177" t="n"/>
      <c r="Y704" s="177" t="n"/>
    </row>
    <row r="705">
      <c r="A705" s="177" t="n"/>
      <c r="B705" s="177" t="n"/>
      <c r="C705" s="177" t="n"/>
      <c r="D705" s="177" t="n"/>
      <c r="E705" s="177" t="n"/>
      <c r="F705" s="177" t="n"/>
      <c r="G705" s="177" t="n"/>
      <c r="H705" s="177" t="n"/>
      <c r="I705" s="177" t="n"/>
      <c r="J705" s="177" t="n"/>
      <c r="K705" s="177" t="n"/>
      <c r="L705" s="177" t="n"/>
      <c r="M705" s="177" t="n"/>
      <c r="N705" s="177" t="n"/>
      <c r="O705" s="177" t="n"/>
      <c r="P705" s="177" t="n"/>
      <c r="Q705" s="177" t="n"/>
      <c r="R705" s="177" t="n"/>
      <c r="S705" s="177" t="n"/>
      <c r="T705" s="177" t="n"/>
      <c r="U705" s="177" t="n"/>
      <c r="V705" s="177" t="n"/>
      <c r="W705" s="177" t="n"/>
      <c r="X705" s="177" t="n"/>
      <c r="Y705" s="177" t="n"/>
    </row>
    <row r="706">
      <c r="A706" s="177" t="n"/>
      <c r="B706" s="177" t="n"/>
      <c r="C706" s="177" t="n"/>
      <c r="D706" s="177" t="n"/>
      <c r="E706" s="177" t="n"/>
      <c r="F706" s="177" t="n"/>
      <c r="G706" s="177" t="n"/>
      <c r="H706" s="177" t="n"/>
      <c r="I706" s="177" t="n"/>
      <c r="J706" s="177" t="n"/>
      <c r="K706" s="177" t="n"/>
      <c r="L706" s="177" t="n"/>
      <c r="M706" s="177" t="n"/>
      <c r="N706" s="177" t="n"/>
      <c r="O706" s="177" t="n"/>
      <c r="P706" s="177" t="n"/>
      <c r="Q706" s="177" t="n"/>
      <c r="R706" s="177" t="n"/>
      <c r="S706" s="177" t="n"/>
      <c r="T706" s="177" t="n"/>
      <c r="U706" s="177" t="n"/>
      <c r="V706" s="177" t="n"/>
      <c r="W706" s="177" t="n"/>
      <c r="X706" s="177" t="n"/>
      <c r="Y706" s="177" t="n"/>
    </row>
    <row r="707">
      <c r="A707" s="177" t="n"/>
      <c r="B707" s="177" t="n"/>
      <c r="C707" s="177" t="n"/>
      <c r="D707" s="177" t="n"/>
      <c r="E707" s="177" t="n"/>
      <c r="F707" s="177" t="n"/>
      <c r="G707" s="177" t="n"/>
      <c r="H707" s="177" t="n"/>
      <c r="I707" s="177" t="n"/>
      <c r="J707" s="177" t="n"/>
      <c r="K707" s="177" t="n"/>
      <c r="L707" s="177" t="n"/>
      <c r="M707" s="177" t="n"/>
      <c r="N707" s="177" t="n"/>
      <c r="O707" s="177" t="n"/>
      <c r="P707" s="177" t="n"/>
      <c r="Q707" s="177" t="n"/>
      <c r="R707" s="177" t="n"/>
      <c r="S707" s="177" t="n"/>
      <c r="T707" s="177" t="n"/>
      <c r="U707" s="177" t="n"/>
      <c r="V707" s="177" t="n"/>
      <c r="W707" s="177" t="n"/>
      <c r="X707" s="177" t="n"/>
      <c r="Y707" s="177" t="n"/>
    </row>
    <row r="708">
      <c r="A708" s="177" t="n"/>
      <c r="B708" s="177" t="n"/>
      <c r="C708" s="177" t="n"/>
      <c r="D708" s="177" t="n"/>
      <c r="E708" s="177" t="n"/>
      <c r="F708" s="177" t="n"/>
      <c r="G708" s="177" t="n"/>
      <c r="H708" s="177" t="n"/>
      <c r="I708" s="177" t="n"/>
      <c r="J708" s="177" t="n"/>
      <c r="K708" s="177" t="n"/>
      <c r="L708" s="177" t="n"/>
      <c r="M708" s="177" t="n"/>
      <c r="N708" s="177" t="n"/>
      <c r="O708" s="177" t="n"/>
      <c r="P708" s="177" t="n"/>
      <c r="Q708" s="177" t="n"/>
      <c r="R708" s="177" t="n"/>
      <c r="S708" s="177" t="n"/>
      <c r="T708" s="177" t="n"/>
      <c r="U708" s="177" t="n"/>
      <c r="V708" s="177" t="n"/>
      <c r="W708" s="177" t="n"/>
      <c r="X708" s="177" t="n"/>
      <c r="Y708" s="177" t="n"/>
    </row>
    <row r="709">
      <c r="A709" s="177" t="n"/>
      <c r="B709" s="177" t="n"/>
      <c r="C709" s="177" t="n"/>
      <c r="D709" s="177" t="n"/>
      <c r="E709" s="177" t="n"/>
      <c r="F709" s="177" t="n"/>
      <c r="G709" s="177" t="n"/>
      <c r="H709" s="177" t="n"/>
      <c r="I709" s="177" t="n"/>
      <c r="J709" s="177" t="n"/>
      <c r="K709" s="177" t="n"/>
      <c r="L709" s="177" t="n"/>
      <c r="M709" s="177" t="n"/>
      <c r="N709" s="177" t="n"/>
      <c r="O709" s="177" t="n"/>
      <c r="P709" s="177" t="n"/>
      <c r="Q709" s="177" t="n"/>
      <c r="R709" s="177" t="n"/>
      <c r="S709" s="177" t="n"/>
      <c r="T709" s="177" t="n"/>
      <c r="U709" s="177" t="n"/>
      <c r="V709" s="177" t="n"/>
      <c r="W709" s="177" t="n"/>
      <c r="X709" s="177" t="n"/>
      <c r="Y709" s="177" t="n"/>
    </row>
    <row r="710">
      <c r="A710" s="177" t="n"/>
      <c r="B710" s="177" t="n"/>
      <c r="C710" s="177" t="n"/>
      <c r="D710" s="177" t="n"/>
      <c r="E710" s="177" t="n"/>
      <c r="F710" s="177" t="n"/>
      <c r="G710" s="177" t="n"/>
      <c r="H710" s="177" t="n"/>
      <c r="I710" s="177" t="n"/>
      <c r="J710" s="177" t="n"/>
      <c r="K710" s="177" t="n"/>
      <c r="L710" s="177" t="n"/>
      <c r="M710" s="177" t="n"/>
      <c r="N710" s="177" t="n"/>
      <c r="O710" s="177" t="n"/>
      <c r="P710" s="177" t="n"/>
      <c r="Q710" s="177" t="n"/>
      <c r="R710" s="177" t="n"/>
      <c r="S710" s="177" t="n"/>
      <c r="T710" s="177" t="n"/>
      <c r="U710" s="177" t="n"/>
      <c r="V710" s="177" t="n"/>
      <c r="W710" s="177" t="n"/>
      <c r="X710" s="177" t="n"/>
      <c r="Y710" s="177" t="n"/>
    </row>
    <row r="711">
      <c r="A711" s="177" t="n"/>
      <c r="B711" s="177" t="n"/>
      <c r="C711" s="177" t="n"/>
      <c r="D711" s="177" t="n"/>
      <c r="E711" s="177" t="n"/>
      <c r="F711" s="177" t="n"/>
      <c r="G711" s="177" t="n"/>
      <c r="H711" s="177" t="n"/>
      <c r="I711" s="177" t="n"/>
      <c r="J711" s="177" t="n"/>
      <c r="K711" s="177" t="n"/>
      <c r="L711" s="177" t="n"/>
      <c r="M711" s="177" t="n"/>
      <c r="N711" s="177" t="n"/>
      <c r="O711" s="177" t="n"/>
      <c r="P711" s="177" t="n"/>
      <c r="Q711" s="177" t="n"/>
      <c r="R711" s="177" t="n"/>
      <c r="S711" s="177" t="n"/>
      <c r="T711" s="177" t="n"/>
      <c r="U711" s="177" t="n"/>
      <c r="V711" s="177" t="n"/>
      <c r="W711" s="177" t="n"/>
      <c r="X711" s="177" t="n"/>
      <c r="Y711" s="177" t="n"/>
    </row>
    <row r="712">
      <c r="A712" s="177" t="n"/>
      <c r="B712" s="177" t="n"/>
      <c r="C712" s="177" t="n"/>
      <c r="D712" s="177" t="n"/>
      <c r="E712" s="177" t="n"/>
      <c r="F712" s="177" t="n"/>
      <c r="G712" s="177" t="n"/>
      <c r="H712" s="177" t="n"/>
      <c r="I712" s="177" t="n"/>
      <c r="J712" s="177" t="n"/>
      <c r="K712" s="177" t="n"/>
      <c r="L712" s="177" t="n"/>
      <c r="M712" s="177" t="n"/>
      <c r="N712" s="177" t="n"/>
      <c r="O712" s="177" t="n"/>
      <c r="P712" s="177" t="n"/>
      <c r="Q712" s="177" t="n"/>
      <c r="R712" s="177" t="n"/>
      <c r="S712" s="177" t="n"/>
      <c r="T712" s="177" t="n"/>
      <c r="U712" s="177" t="n"/>
      <c r="V712" s="177" t="n"/>
      <c r="W712" s="177" t="n"/>
      <c r="X712" s="177" t="n"/>
      <c r="Y712" s="177" t="n"/>
    </row>
    <row r="713">
      <c r="A713" s="177" t="n"/>
      <c r="B713" s="177" t="n"/>
      <c r="C713" s="177" t="n"/>
      <c r="D713" s="177" t="n"/>
      <c r="E713" s="177" t="n"/>
      <c r="F713" s="177" t="n"/>
      <c r="G713" s="177" t="n"/>
      <c r="H713" s="177" t="n"/>
      <c r="I713" s="177" t="n"/>
      <c r="J713" s="177" t="n"/>
      <c r="K713" s="177" t="n"/>
      <c r="L713" s="177" t="n"/>
      <c r="M713" s="177" t="n"/>
      <c r="N713" s="177" t="n"/>
      <c r="O713" s="177" t="n"/>
      <c r="P713" s="177" t="n"/>
      <c r="Q713" s="177" t="n"/>
      <c r="R713" s="177" t="n"/>
      <c r="S713" s="177" t="n"/>
      <c r="T713" s="177" t="n"/>
      <c r="U713" s="177" t="n"/>
      <c r="V713" s="177" t="n"/>
      <c r="W713" s="177" t="n"/>
      <c r="X713" s="177" t="n"/>
      <c r="Y713" s="177" t="n"/>
    </row>
    <row r="714">
      <c r="A714" s="177" t="n"/>
      <c r="B714" s="177" t="n"/>
      <c r="C714" s="177" t="n"/>
      <c r="D714" s="177" t="n"/>
      <c r="E714" s="177" t="n"/>
      <c r="F714" s="177" t="n"/>
      <c r="G714" s="177" t="n"/>
      <c r="H714" s="177" t="n"/>
      <c r="I714" s="177" t="n"/>
      <c r="J714" s="177" t="n"/>
      <c r="K714" s="177" t="n"/>
      <c r="L714" s="177" t="n"/>
      <c r="M714" s="177" t="n"/>
      <c r="N714" s="177" t="n"/>
      <c r="O714" s="177" t="n"/>
      <c r="P714" s="177" t="n"/>
      <c r="Q714" s="177" t="n"/>
      <c r="R714" s="177" t="n"/>
      <c r="S714" s="177" t="n"/>
      <c r="T714" s="177" t="n"/>
      <c r="U714" s="177" t="n"/>
      <c r="V714" s="177" t="n"/>
      <c r="W714" s="177" t="n"/>
      <c r="X714" s="177" t="n"/>
      <c r="Y714" s="177" t="n"/>
    </row>
    <row r="715">
      <c r="A715" s="177" t="n"/>
      <c r="B715" s="177" t="n"/>
      <c r="C715" s="177" t="n"/>
      <c r="D715" s="177" t="n"/>
      <c r="E715" s="177" t="n"/>
      <c r="F715" s="177" t="n"/>
      <c r="G715" s="177" t="n"/>
      <c r="H715" s="177" t="n"/>
      <c r="I715" s="177" t="n"/>
      <c r="J715" s="177" t="n"/>
      <c r="K715" s="177" t="n"/>
      <c r="L715" s="177" t="n"/>
      <c r="M715" s="177" t="n"/>
      <c r="N715" s="177" t="n"/>
      <c r="O715" s="177" t="n"/>
      <c r="P715" s="177" t="n"/>
      <c r="Q715" s="177" t="n"/>
      <c r="R715" s="177" t="n"/>
      <c r="S715" s="177" t="n"/>
      <c r="T715" s="177" t="n"/>
      <c r="U715" s="177" t="n"/>
      <c r="V715" s="177" t="n"/>
      <c r="W715" s="177" t="n"/>
      <c r="X715" s="177" t="n"/>
      <c r="Y715" s="177" t="n"/>
    </row>
    <row r="716">
      <c r="A716" s="177" t="n"/>
      <c r="B716" s="177" t="n"/>
      <c r="C716" s="177" t="n"/>
      <c r="D716" s="177" t="n"/>
      <c r="E716" s="177" t="n"/>
      <c r="F716" s="177" t="n"/>
      <c r="G716" s="177" t="n"/>
      <c r="H716" s="177" t="n"/>
      <c r="I716" s="177" t="n"/>
      <c r="J716" s="177" t="n"/>
      <c r="K716" s="177" t="n"/>
      <c r="L716" s="177" t="n"/>
      <c r="M716" s="177" t="n"/>
      <c r="N716" s="177" t="n"/>
      <c r="O716" s="177" t="n"/>
      <c r="P716" s="177" t="n"/>
      <c r="Q716" s="177" t="n"/>
      <c r="R716" s="177" t="n"/>
      <c r="S716" s="177" t="n"/>
      <c r="T716" s="177" t="n"/>
      <c r="U716" s="177" t="n"/>
      <c r="V716" s="177" t="n"/>
      <c r="W716" s="177" t="n"/>
      <c r="X716" s="177" t="n"/>
      <c r="Y716" s="177" t="n"/>
    </row>
    <row r="717">
      <c r="A717" s="177" t="n"/>
      <c r="B717" s="177" t="n"/>
      <c r="C717" s="177" t="n"/>
      <c r="D717" s="177" t="n"/>
      <c r="E717" s="177" t="n"/>
      <c r="F717" s="177" t="n"/>
      <c r="G717" s="177" t="n"/>
      <c r="H717" s="177" t="n"/>
      <c r="I717" s="177" t="n"/>
      <c r="J717" s="177" t="n"/>
      <c r="K717" s="177" t="n"/>
      <c r="L717" s="177" t="n"/>
      <c r="M717" s="177" t="n"/>
      <c r="N717" s="177" t="n"/>
      <c r="O717" s="177" t="n"/>
      <c r="P717" s="177" t="n"/>
      <c r="Q717" s="177" t="n"/>
      <c r="R717" s="177" t="n"/>
      <c r="S717" s="177" t="n"/>
      <c r="T717" s="177" t="n"/>
      <c r="U717" s="177" t="n"/>
      <c r="V717" s="177" t="n"/>
      <c r="W717" s="177" t="n"/>
      <c r="X717" s="177" t="n"/>
      <c r="Y717" s="177" t="n"/>
    </row>
    <row r="718">
      <c r="A718" s="177" t="n"/>
      <c r="B718" s="177" t="n"/>
      <c r="C718" s="177" t="n"/>
      <c r="D718" s="177" t="n"/>
      <c r="E718" s="177" t="n"/>
      <c r="F718" s="177" t="n"/>
      <c r="G718" s="177" t="n"/>
      <c r="H718" s="177" t="n"/>
      <c r="I718" s="177" t="n"/>
      <c r="J718" s="177" t="n"/>
      <c r="K718" s="177" t="n"/>
      <c r="L718" s="177" t="n"/>
      <c r="M718" s="177" t="n"/>
      <c r="N718" s="177" t="n"/>
      <c r="O718" s="177" t="n"/>
      <c r="P718" s="177" t="n"/>
      <c r="Q718" s="177" t="n"/>
      <c r="R718" s="177" t="n"/>
      <c r="S718" s="177" t="n"/>
      <c r="T718" s="177" t="n"/>
      <c r="U718" s="177" t="n"/>
      <c r="V718" s="177" t="n"/>
      <c r="W718" s="177" t="n"/>
      <c r="X718" s="177" t="n"/>
      <c r="Y718" s="177" t="n"/>
    </row>
    <row r="719">
      <c r="A719" s="177" t="n"/>
      <c r="B719" s="177" t="n"/>
      <c r="C719" s="177" t="n"/>
      <c r="D719" s="177" t="n"/>
      <c r="E719" s="177" t="n"/>
      <c r="F719" s="177" t="n"/>
      <c r="G719" s="177" t="n"/>
      <c r="H719" s="177" t="n"/>
      <c r="I719" s="177" t="n"/>
      <c r="J719" s="177" t="n"/>
      <c r="K719" s="177" t="n"/>
      <c r="L719" s="177" t="n"/>
      <c r="M719" s="177" t="n"/>
      <c r="N719" s="177" t="n"/>
      <c r="O719" s="177" t="n"/>
      <c r="P719" s="177" t="n"/>
      <c r="Q719" s="177" t="n"/>
      <c r="R719" s="177" t="n"/>
      <c r="S719" s="177" t="n"/>
      <c r="T719" s="177" t="n"/>
      <c r="U719" s="177" t="n"/>
      <c r="V719" s="177" t="n"/>
      <c r="W719" s="177" t="n"/>
      <c r="X719" s="177" t="n"/>
      <c r="Y719" s="177" t="n"/>
    </row>
    <row r="720">
      <c r="A720" s="177" t="n"/>
      <c r="B720" s="177" t="n"/>
      <c r="C720" s="177" t="n"/>
      <c r="D720" s="177" t="n"/>
      <c r="E720" s="177" t="n"/>
      <c r="F720" s="177" t="n"/>
      <c r="G720" s="177" t="n"/>
      <c r="H720" s="177" t="n"/>
      <c r="I720" s="177" t="n"/>
      <c r="J720" s="177" t="n"/>
      <c r="K720" s="177" t="n"/>
      <c r="L720" s="177" t="n"/>
      <c r="M720" s="177" t="n"/>
      <c r="N720" s="177" t="n"/>
      <c r="O720" s="177" t="n"/>
      <c r="P720" s="177" t="n"/>
      <c r="Q720" s="177" t="n"/>
      <c r="R720" s="177" t="n"/>
      <c r="S720" s="177" t="n"/>
      <c r="T720" s="177" t="n"/>
      <c r="U720" s="177" t="n"/>
      <c r="V720" s="177" t="n"/>
      <c r="W720" s="177" t="n"/>
      <c r="X720" s="177" t="n"/>
      <c r="Y720" s="177" t="n"/>
    </row>
    <row r="721">
      <c r="A721" s="177" t="n"/>
      <c r="B721" s="177" t="n"/>
      <c r="C721" s="177" t="n"/>
      <c r="D721" s="177" t="n"/>
      <c r="E721" s="177" t="n"/>
      <c r="F721" s="177" t="n"/>
      <c r="G721" s="177" t="n"/>
      <c r="H721" s="177" t="n"/>
      <c r="I721" s="177" t="n"/>
      <c r="J721" s="177" t="n"/>
      <c r="K721" s="177" t="n"/>
      <c r="L721" s="177" t="n"/>
      <c r="M721" s="177" t="n"/>
      <c r="N721" s="177" t="n"/>
      <c r="O721" s="177" t="n"/>
      <c r="P721" s="177" t="n"/>
      <c r="Q721" s="177" t="n"/>
      <c r="R721" s="177" t="n"/>
      <c r="S721" s="177" t="n"/>
      <c r="T721" s="177" t="n"/>
      <c r="U721" s="177" t="n"/>
      <c r="V721" s="177" t="n"/>
      <c r="W721" s="177" t="n"/>
      <c r="X721" s="177" t="n"/>
      <c r="Y721" s="177" t="n"/>
    </row>
    <row r="722">
      <c r="A722" s="177" t="n"/>
      <c r="B722" s="177" t="n"/>
      <c r="C722" s="177" t="n"/>
      <c r="D722" s="177" t="n"/>
      <c r="E722" s="177" t="n"/>
      <c r="F722" s="177" t="n"/>
      <c r="G722" s="177" t="n"/>
      <c r="H722" s="177" t="n"/>
      <c r="I722" s="177" t="n"/>
      <c r="J722" s="177" t="n"/>
      <c r="K722" s="177" t="n"/>
      <c r="L722" s="177" t="n"/>
      <c r="M722" s="177" t="n"/>
      <c r="N722" s="177" t="n"/>
      <c r="O722" s="177" t="n"/>
      <c r="P722" s="177" t="n"/>
      <c r="Q722" s="177" t="n"/>
      <c r="R722" s="177" t="n"/>
      <c r="S722" s="177" t="n"/>
      <c r="T722" s="177" t="n"/>
      <c r="U722" s="177" t="n"/>
      <c r="V722" s="177" t="n"/>
      <c r="W722" s="177" t="n"/>
      <c r="X722" s="177" t="n"/>
      <c r="Y722" s="177" t="n"/>
    </row>
    <row r="723">
      <c r="A723" s="177" t="n"/>
      <c r="B723" s="177" t="n"/>
      <c r="C723" s="177" t="n"/>
      <c r="D723" s="177" t="n"/>
      <c r="E723" s="177" t="n"/>
      <c r="F723" s="177" t="n"/>
      <c r="G723" s="177" t="n"/>
      <c r="H723" s="177" t="n"/>
      <c r="I723" s="177" t="n"/>
      <c r="J723" s="177" t="n"/>
      <c r="K723" s="177" t="n"/>
      <c r="L723" s="177" t="n"/>
      <c r="M723" s="177" t="n"/>
      <c r="N723" s="177" t="n"/>
      <c r="O723" s="177" t="n"/>
      <c r="P723" s="177" t="n"/>
      <c r="Q723" s="177" t="n"/>
      <c r="R723" s="177" t="n"/>
      <c r="S723" s="177" t="n"/>
      <c r="T723" s="177" t="n"/>
      <c r="U723" s="177" t="n"/>
      <c r="V723" s="177" t="n"/>
      <c r="W723" s="177" t="n"/>
      <c r="X723" s="177" t="n"/>
      <c r="Y723" s="177" t="n"/>
    </row>
    <row r="724">
      <c r="A724" s="177" t="n"/>
      <c r="B724" s="177" t="n"/>
      <c r="C724" s="177" t="n"/>
      <c r="D724" s="177" t="n"/>
      <c r="E724" s="177" t="n"/>
      <c r="F724" s="177" t="n"/>
      <c r="G724" s="177" t="n"/>
      <c r="H724" s="177" t="n"/>
      <c r="I724" s="177" t="n"/>
      <c r="J724" s="177" t="n"/>
      <c r="K724" s="177" t="n"/>
      <c r="L724" s="177" t="n"/>
      <c r="M724" s="177" t="n"/>
      <c r="N724" s="177" t="n"/>
      <c r="O724" s="177" t="n"/>
      <c r="P724" s="177" t="n"/>
      <c r="Q724" s="177" t="n"/>
      <c r="R724" s="177" t="n"/>
      <c r="S724" s="177" t="n"/>
      <c r="T724" s="177" t="n"/>
      <c r="U724" s="177" t="n"/>
      <c r="V724" s="177" t="n"/>
      <c r="W724" s="177" t="n"/>
      <c r="X724" s="177" t="n"/>
      <c r="Y724" s="177" t="n"/>
    </row>
    <row r="725">
      <c r="A725" s="177" t="n"/>
      <c r="B725" s="177" t="n"/>
      <c r="C725" s="177" t="n"/>
      <c r="D725" s="177" t="n"/>
      <c r="E725" s="177" t="n"/>
      <c r="F725" s="177" t="n"/>
      <c r="G725" s="177" t="n"/>
      <c r="H725" s="177" t="n"/>
      <c r="I725" s="177" t="n"/>
      <c r="J725" s="177" t="n"/>
      <c r="K725" s="177" t="n"/>
      <c r="L725" s="177" t="n"/>
      <c r="M725" s="177" t="n"/>
      <c r="N725" s="177" t="n"/>
      <c r="O725" s="177" t="n"/>
      <c r="P725" s="177" t="n"/>
      <c r="Q725" s="177" t="n"/>
      <c r="R725" s="177" t="n"/>
      <c r="S725" s="177" t="n"/>
      <c r="T725" s="177" t="n"/>
      <c r="U725" s="177" t="n"/>
      <c r="V725" s="177" t="n"/>
      <c r="W725" s="177" t="n"/>
      <c r="X725" s="177" t="n"/>
      <c r="Y725" s="177" t="n"/>
    </row>
    <row r="726">
      <c r="A726" s="177" t="n"/>
      <c r="B726" s="177" t="n"/>
      <c r="C726" s="177" t="n"/>
      <c r="D726" s="177" t="n"/>
      <c r="E726" s="177" t="n"/>
      <c r="F726" s="177" t="n"/>
      <c r="G726" s="177" t="n"/>
      <c r="H726" s="177" t="n"/>
      <c r="I726" s="177" t="n"/>
      <c r="J726" s="177" t="n"/>
      <c r="K726" s="177" t="n"/>
      <c r="L726" s="177" t="n"/>
      <c r="M726" s="177" t="n"/>
      <c r="N726" s="177" t="n"/>
      <c r="O726" s="177" t="n"/>
      <c r="P726" s="177" t="n"/>
      <c r="Q726" s="177" t="n"/>
      <c r="R726" s="177" t="n"/>
      <c r="S726" s="177" t="n"/>
      <c r="T726" s="177" t="n"/>
      <c r="U726" s="177" t="n"/>
      <c r="V726" s="177" t="n"/>
      <c r="W726" s="177" t="n"/>
      <c r="X726" s="177" t="n"/>
      <c r="Y726" s="177" t="n"/>
    </row>
    <row r="727">
      <c r="A727" s="177" t="n"/>
      <c r="B727" s="177" t="n"/>
      <c r="C727" s="177" t="n"/>
      <c r="D727" s="177" t="n"/>
      <c r="E727" s="177" t="n"/>
      <c r="F727" s="177" t="n"/>
      <c r="G727" s="177" t="n"/>
      <c r="H727" s="177" t="n"/>
      <c r="I727" s="177" t="n"/>
      <c r="J727" s="177" t="n"/>
      <c r="K727" s="177" t="n"/>
      <c r="L727" s="177" t="n"/>
      <c r="M727" s="177" t="n"/>
      <c r="N727" s="177" t="n"/>
      <c r="O727" s="177" t="n"/>
      <c r="P727" s="177" t="n"/>
      <c r="Q727" s="177" t="n"/>
      <c r="R727" s="177" t="n"/>
      <c r="S727" s="177" t="n"/>
      <c r="T727" s="177" t="n"/>
      <c r="U727" s="177" t="n"/>
      <c r="V727" s="177" t="n"/>
      <c r="W727" s="177" t="n"/>
      <c r="X727" s="177" t="n"/>
      <c r="Y727" s="177" t="n"/>
    </row>
    <row r="728">
      <c r="A728" s="177" t="n"/>
      <c r="B728" s="177" t="n"/>
      <c r="C728" s="177" t="n"/>
      <c r="D728" s="177" t="n"/>
      <c r="E728" s="177" t="n"/>
      <c r="F728" s="177" t="n"/>
      <c r="G728" s="177" t="n"/>
      <c r="H728" s="177" t="n"/>
      <c r="I728" s="177" t="n"/>
      <c r="J728" s="177" t="n"/>
      <c r="K728" s="177" t="n"/>
      <c r="L728" s="177" t="n"/>
      <c r="M728" s="177" t="n"/>
      <c r="N728" s="177" t="n"/>
      <c r="O728" s="177" t="n"/>
      <c r="P728" s="177" t="n"/>
      <c r="Q728" s="177" t="n"/>
      <c r="R728" s="177" t="n"/>
      <c r="S728" s="177" t="n"/>
      <c r="T728" s="177" t="n"/>
      <c r="U728" s="177" t="n"/>
      <c r="V728" s="177" t="n"/>
      <c r="W728" s="177" t="n"/>
      <c r="X728" s="177" t="n"/>
      <c r="Y728" s="177" t="n"/>
    </row>
    <row r="729">
      <c r="A729" s="177" t="n"/>
      <c r="B729" s="177" t="n"/>
      <c r="C729" s="177" t="n"/>
      <c r="D729" s="177" t="n"/>
      <c r="E729" s="177" t="n"/>
      <c r="F729" s="177" t="n"/>
      <c r="G729" s="177" t="n"/>
      <c r="H729" s="177" t="n"/>
      <c r="I729" s="177" t="n"/>
      <c r="J729" s="177" t="n"/>
      <c r="K729" s="177" t="n"/>
      <c r="L729" s="177" t="n"/>
      <c r="M729" s="177" t="n"/>
      <c r="N729" s="177" t="n"/>
      <c r="O729" s="177" t="n"/>
      <c r="P729" s="177" t="n"/>
      <c r="Q729" s="177" t="n"/>
      <c r="R729" s="177" t="n"/>
      <c r="S729" s="177" t="n"/>
      <c r="T729" s="177" t="n"/>
      <c r="U729" s="177" t="n"/>
      <c r="V729" s="177" t="n"/>
      <c r="W729" s="177" t="n"/>
      <c r="X729" s="177" t="n"/>
      <c r="Y729" s="177" t="n"/>
    </row>
    <row r="730">
      <c r="A730" s="177" t="n"/>
      <c r="B730" s="177" t="n"/>
      <c r="C730" s="177" t="n"/>
      <c r="D730" s="177" t="n"/>
      <c r="E730" s="177" t="n"/>
      <c r="F730" s="177" t="n"/>
      <c r="G730" s="177" t="n"/>
      <c r="H730" s="177" t="n"/>
      <c r="I730" s="177" t="n"/>
      <c r="J730" s="177" t="n"/>
      <c r="K730" s="177" t="n"/>
      <c r="L730" s="177" t="n"/>
      <c r="M730" s="177" t="n"/>
      <c r="N730" s="177" t="n"/>
      <c r="O730" s="177" t="n"/>
      <c r="P730" s="177" t="n"/>
      <c r="Q730" s="177" t="n"/>
      <c r="R730" s="177" t="n"/>
      <c r="S730" s="177" t="n"/>
      <c r="T730" s="177" t="n"/>
      <c r="U730" s="177" t="n"/>
      <c r="V730" s="177" t="n"/>
      <c r="W730" s="177" t="n"/>
      <c r="X730" s="177" t="n"/>
      <c r="Y730" s="177" t="n"/>
    </row>
    <row r="731">
      <c r="A731" s="177" t="n"/>
      <c r="B731" s="177" t="n"/>
      <c r="C731" s="177" t="n"/>
      <c r="D731" s="177" t="n"/>
      <c r="E731" s="177" t="n"/>
      <c r="F731" s="177" t="n"/>
      <c r="G731" s="177" t="n"/>
      <c r="H731" s="177" t="n"/>
      <c r="I731" s="177" t="n"/>
      <c r="J731" s="177" t="n"/>
      <c r="K731" s="177" t="n"/>
      <c r="L731" s="177" t="n"/>
      <c r="M731" s="177" t="n"/>
      <c r="N731" s="177" t="n"/>
      <c r="O731" s="177" t="n"/>
      <c r="P731" s="177" t="n"/>
      <c r="Q731" s="177" t="n"/>
      <c r="R731" s="177" t="n"/>
      <c r="S731" s="177" t="n"/>
      <c r="T731" s="177" t="n"/>
      <c r="U731" s="177" t="n"/>
      <c r="V731" s="177" t="n"/>
      <c r="W731" s="177" t="n"/>
      <c r="X731" s="177" t="n"/>
      <c r="Y731" s="177" t="n"/>
    </row>
    <row r="732">
      <c r="A732" s="177" t="n"/>
      <c r="B732" s="177" t="n"/>
      <c r="C732" s="177" t="n"/>
      <c r="D732" s="177" t="n"/>
      <c r="E732" s="177" t="n"/>
      <c r="F732" s="177" t="n"/>
      <c r="G732" s="177" t="n"/>
      <c r="H732" s="177" t="n"/>
      <c r="I732" s="177" t="n"/>
      <c r="J732" s="177" t="n"/>
      <c r="K732" s="177" t="n"/>
      <c r="L732" s="177" t="n"/>
      <c r="M732" s="177" t="n"/>
      <c r="N732" s="177" t="n"/>
      <c r="O732" s="177" t="n"/>
      <c r="P732" s="177" t="n"/>
      <c r="Q732" s="177" t="n"/>
      <c r="R732" s="177" t="n"/>
      <c r="S732" s="177" t="n"/>
      <c r="T732" s="177" t="n"/>
      <c r="U732" s="177" t="n"/>
      <c r="V732" s="177" t="n"/>
      <c r="W732" s="177" t="n"/>
      <c r="X732" s="177" t="n"/>
      <c r="Y732" s="177" t="n"/>
    </row>
    <row r="733">
      <c r="A733" s="177" t="n"/>
      <c r="B733" s="177" t="n"/>
      <c r="C733" s="177" t="n"/>
      <c r="D733" s="177" t="n"/>
      <c r="E733" s="177" t="n"/>
      <c r="F733" s="177" t="n"/>
      <c r="G733" s="177" t="n"/>
      <c r="H733" s="177" t="n"/>
      <c r="I733" s="177" t="n"/>
      <c r="J733" s="177" t="n"/>
      <c r="K733" s="177" t="n"/>
      <c r="L733" s="177" t="n"/>
      <c r="M733" s="177" t="n"/>
      <c r="N733" s="177" t="n"/>
      <c r="O733" s="177" t="n"/>
      <c r="P733" s="177" t="n"/>
      <c r="Q733" s="177" t="n"/>
      <c r="R733" s="177" t="n"/>
      <c r="S733" s="177" t="n"/>
      <c r="T733" s="177" t="n"/>
      <c r="U733" s="177" t="n"/>
      <c r="V733" s="177" t="n"/>
      <c r="W733" s="177" t="n"/>
      <c r="X733" s="177" t="n"/>
      <c r="Y733" s="177" t="n"/>
    </row>
    <row r="734">
      <c r="A734" s="177" t="n"/>
      <c r="B734" s="177" t="n"/>
      <c r="C734" s="177" t="n"/>
      <c r="D734" s="177" t="n"/>
      <c r="E734" s="177" t="n"/>
      <c r="F734" s="177" t="n"/>
      <c r="G734" s="177" t="n"/>
      <c r="H734" s="177" t="n"/>
      <c r="I734" s="177" t="n"/>
      <c r="J734" s="177" t="n"/>
      <c r="K734" s="177" t="n"/>
      <c r="L734" s="177" t="n"/>
      <c r="M734" s="177" t="n"/>
      <c r="N734" s="177" t="n"/>
      <c r="O734" s="177" t="n"/>
      <c r="P734" s="177" t="n"/>
      <c r="Q734" s="177" t="n"/>
      <c r="R734" s="177" t="n"/>
      <c r="S734" s="177" t="n"/>
      <c r="T734" s="177" t="n"/>
      <c r="U734" s="177" t="n"/>
      <c r="V734" s="177" t="n"/>
      <c r="W734" s="177" t="n"/>
      <c r="X734" s="177" t="n"/>
      <c r="Y734" s="177" t="n"/>
    </row>
    <row r="735">
      <c r="A735" s="177" t="n"/>
      <c r="B735" s="177" t="n"/>
      <c r="C735" s="177" t="n"/>
      <c r="D735" s="177" t="n"/>
      <c r="E735" s="177" t="n"/>
      <c r="F735" s="177" t="n"/>
      <c r="G735" s="177" t="n"/>
      <c r="H735" s="177" t="n"/>
      <c r="I735" s="177" t="n"/>
      <c r="J735" s="177" t="n"/>
      <c r="K735" s="177" t="n"/>
      <c r="L735" s="177" t="n"/>
      <c r="M735" s="177" t="n"/>
      <c r="N735" s="177" t="n"/>
      <c r="O735" s="177" t="n"/>
      <c r="P735" s="177" t="n"/>
      <c r="Q735" s="177" t="n"/>
      <c r="R735" s="177" t="n"/>
      <c r="S735" s="177" t="n"/>
      <c r="T735" s="177" t="n"/>
      <c r="U735" s="177" t="n"/>
      <c r="V735" s="177" t="n"/>
      <c r="W735" s="177" t="n"/>
      <c r="X735" s="177" t="n"/>
      <c r="Y735" s="177" t="n"/>
    </row>
    <row r="736">
      <c r="A736" s="177" t="n"/>
      <c r="B736" s="177" t="n"/>
      <c r="C736" s="177" t="n"/>
      <c r="D736" s="177" t="n"/>
      <c r="E736" s="177" t="n"/>
      <c r="F736" s="177" t="n"/>
      <c r="G736" s="177" t="n"/>
      <c r="H736" s="177" t="n"/>
      <c r="I736" s="177" t="n"/>
      <c r="J736" s="177" t="n"/>
      <c r="K736" s="177" t="n"/>
      <c r="L736" s="177" t="n"/>
      <c r="M736" s="177" t="n"/>
      <c r="N736" s="177" t="n"/>
      <c r="O736" s="177" t="n"/>
      <c r="P736" s="177" t="n"/>
      <c r="Q736" s="177" t="n"/>
      <c r="R736" s="177" t="n"/>
      <c r="S736" s="177" t="n"/>
      <c r="T736" s="177" t="n"/>
      <c r="U736" s="177" t="n"/>
      <c r="V736" s="177" t="n"/>
      <c r="W736" s="177" t="n"/>
      <c r="X736" s="177" t="n"/>
      <c r="Y736" s="177" t="n"/>
    </row>
    <row r="737">
      <c r="A737" s="177" t="n"/>
      <c r="B737" s="177" t="n"/>
      <c r="C737" s="177" t="n"/>
      <c r="D737" s="177" t="n"/>
      <c r="E737" s="177" t="n"/>
      <c r="F737" s="177" t="n"/>
      <c r="G737" s="177" t="n"/>
      <c r="H737" s="177" t="n"/>
      <c r="I737" s="177" t="n"/>
      <c r="J737" s="177" t="n"/>
      <c r="K737" s="177" t="n"/>
      <c r="L737" s="177" t="n"/>
      <c r="M737" s="177" t="n"/>
      <c r="N737" s="177" t="n"/>
      <c r="O737" s="177" t="n"/>
      <c r="P737" s="177" t="n"/>
      <c r="Q737" s="177" t="n"/>
      <c r="R737" s="177" t="n"/>
      <c r="S737" s="177" t="n"/>
      <c r="T737" s="177" t="n"/>
      <c r="U737" s="177" t="n"/>
      <c r="V737" s="177" t="n"/>
      <c r="W737" s="177" t="n"/>
      <c r="X737" s="177" t="n"/>
      <c r="Y737" s="177" t="n"/>
    </row>
    <row r="738">
      <c r="A738" s="177" t="n"/>
      <c r="B738" s="177" t="n"/>
      <c r="C738" s="177" t="n"/>
      <c r="D738" s="177" t="n"/>
      <c r="E738" s="177" t="n"/>
      <c r="F738" s="177" t="n"/>
      <c r="G738" s="177" t="n"/>
      <c r="H738" s="177" t="n"/>
      <c r="I738" s="177" t="n"/>
      <c r="J738" s="177" t="n"/>
      <c r="K738" s="177" t="n"/>
      <c r="L738" s="177" t="n"/>
      <c r="M738" s="177" t="n"/>
      <c r="N738" s="177" t="n"/>
      <c r="O738" s="177" t="n"/>
      <c r="P738" s="177" t="n"/>
      <c r="Q738" s="177" t="n"/>
      <c r="R738" s="177" t="n"/>
      <c r="S738" s="177" t="n"/>
      <c r="T738" s="177" t="n"/>
      <c r="U738" s="177" t="n"/>
      <c r="V738" s="177" t="n"/>
      <c r="W738" s="177" t="n"/>
      <c r="X738" s="177" t="n"/>
      <c r="Y738" s="177" t="n"/>
    </row>
    <row r="739">
      <c r="A739" s="177" t="n"/>
      <c r="B739" s="177" t="n"/>
      <c r="C739" s="177" t="n"/>
      <c r="D739" s="177" t="n"/>
      <c r="E739" s="177" t="n"/>
      <c r="F739" s="177" t="n"/>
      <c r="G739" s="177" t="n"/>
      <c r="H739" s="177" t="n"/>
      <c r="I739" s="177" t="n"/>
      <c r="J739" s="177" t="n"/>
      <c r="K739" s="177" t="n"/>
      <c r="L739" s="177" t="n"/>
      <c r="M739" s="177" t="n"/>
      <c r="N739" s="177" t="n"/>
      <c r="O739" s="177" t="n"/>
      <c r="P739" s="177" t="n"/>
      <c r="Q739" s="177" t="n"/>
      <c r="R739" s="177" t="n"/>
      <c r="S739" s="177" t="n"/>
      <c r="T739" s="177" t="n"/>
      <c r="U739" s="177" t="n"/>
      <c r="V739" s="177" t="n"/>
      <c r="W739" s="177" t="n"/>
      <c r="X739" s="177" t="n"/>
      <c r="Y739" s="177" t="n"/>
    </row>
    <row r="740">
      <c r="A740" s="177" t="n"/>
      <c r="B740" s="177" t="n"/>
      <c r="C740" s="177" t="n"/>
      <c r="D740" s="177" t="n"/>
      <c r="E740" s="177" t="n"/>
      <c r="F740" s="177" t="n"/>
      <c r="G740" s="177" t="n"/>
      <c r="H740" s="177" t="n"/>
      <c r="I740" s="177" t="n"/>
      <c r="J740" s="177" t="n"/>
      <c r="K740" s="177" t="n"/>
      <c r="L740" s="177" t="n"/>
      <c r="M740" s="177" t="n"/>
      <c r="N740" s="177" t="n"/>
      <c r="O740" s="177" t="n"/>
      <c r="P740" s="177" t="n"/>
      <c r="Q740" s="177" t="n"/>
      <c r="R740" s="177" t="n"/>
      <c r="S740" s="177" t="n"/>
      <c r="T740" s="177" t="n"/>
      <c r="U740" s="177" t="n"/>
      <c r="V740" s="177" t="n"/>
      <c r="W740" s="177" t="n"/>
      <c r="X740" s="177" t="n"/>
      <c r="Y740" s="177" t="n"/>
    </row>
    <row r="741">
      <c r="A741" s="177" t="n"/>
      <c r="B741" s="177" t="n"/>
      <c r="C741" s="177" t="n"/>
      <c r="D741" s="177" t="n"/>
      <c r="E741" s="177" t="n"/>
      <c r="F741" s="177" t="n"/>
      <c r="G741" s="177" t="n"/>
      <c r="H741" s="177" t="n"/>
      <c r="I741" s="177" t="n"/>
      <c r="J741" s="177" t="n"/>
      <c r="K741" s="177" t="n"/>
      <c r="L741" s="177" t="n"/>
      <c r="M741" s="177" t="n"/>
      <c r="N741" s="177" t="n"/>
      <c r="O741" s="177" t="n"/>
      <c r="P741" s="177" t="n"/>
      <c r="Q741" s="177" t="n"/>
      <c r="R741" s="177" t="n"/>
      <c r="S741" s="177" t="n"/>
      <c r="T741" s="177" t="n"/>
      <c r="U741" s="177" t="n"/>
      <c r="V741" s="177" t="n"/>
      <c r="W741" s="177" t="n"/>
      <c r="X741" s="177" t="n"/>
      <c r="Y741" s="177" t="n"/>
    </row>
    <row r="742">
      <c r="A742" s="177" t="n"/>
      <c r="B742" s="177" t="n"/>
      <c r="C742" s="177" t="n"/>
      <c r="D742" s="177" t="n"/>
      <c r="E742" s="177" t="n"/>
      <c r="F742" s="177" t="n"/>
      <c r="G742" s="177" t="n"/>
      <c r="H742" s="177" t="n"/>
      <c r="I742" s="177" t="n"/>
      <c r="J742" s="177" t="n"/>
      <c r="K742" s="177" t="n"/>
      <c r="L742" s="177" t="n"/>
      <c r="M742" s="177" t="n"/>
      <c r="N742" s="177" t="n"/>
      <c r="O742" s="177" t="n"/>
      <c r="P742" s="177" t="n"/>
      <c r="Q742" s="177" t="n"/>
      <c r="R742" s="177" t="n"/>
      <c r="S742" s="177" t="n"/>
      <c r="T742" s="177" t="n"/>
      <c r="U742" s="177" t="n"/>
      <c r="V742" s="177" t="n"/>
      <c r="W742" s="177" t="n"/>
      <c r="X742" s="177" t="n"/>
      <c r="Y742" s="177" t="n"/>
    </row>
    <row r="743">
      <c r="A743" s="177" t="n"/>
      <c r="B743" s="177" t="n"/>
      <c r="C743" s="177" t="n"/>
      <c r="D743" s="177" t="n"/>
      <c r="E743" s="177" t="n"/>
      <c r="F743" s="177" t="n"/>
      <c r="G743" s="177" t="n"/>
      <c r="H743" s="177" t="n"/>
      <c r="I743" s="177" t="n"/>
      <c r="J743" s="177" t="n"/>
      <c r="K743" s="177" t="n"/>
      <c r="L743" s="177" t="n"/>
      <c r="M743" s="177" t="n"/>
      <c r="N743" s="177" t="n"/>
      <c r="O743" s="177" t="n"/>
      <c r="P743" s="177" t="n"/>
      <c r="Q743" s="177" t="n"/>
      <c r="R743" s="177" t="n"/>
      <c r="S743" s="177" t="n"/>
      <c r="T743" s="177" t="n"/>
      <c r="U743" s="177" t="n"/>
      <c r="V743" s="177" t="n"/>
      <c r="W743" s="177" t="n"/>
      <c r="X743" s="177" t="n"/>
      <c r="Y743" s="177" t="n"/>
    </row>
    <row r="744">
      <c r="A744" s="177" t="n"/>
      <c r="B744" s="177" t="n"/>
      <c r="C744" s="177" t="n"/>
      <c r="D744" s="177" t="n"/>
      <c r="E744" s="177" t="n"/>
      <c r="F744" s="177" t="n"/>
      <c r="G744" s="177" t="n"/>
      <c r="H744" s="177" t="n"/>
      <c r="I744" s="177" t="n"/>
      <c r="J744" s="177" t="n"/>
      <c r="K744" s="177" t="n"/>
      <c r="L744" s="177" t="n"/>
      <c r="M744" s="177" t="n"/>
      <c r="N744" s="177" t="n"/>
      <c r="O744" s="177" t="n"/>
      <c r="P744" s="177" t="n"/>
      <c r="Q744" s="177" t="n"/>
      <c r="R744" s="177" t="n"/>
      <c r="S744" s="177" t="n"/>
      <c r="T744" s="177" t="n"/>
      <c r="U744" s="177" t="n"/>
      <c r="V744" s="177" t="n"/>
      <c r="W744" s="177" t="n"/>
      <c r="X744" s="177" t="n"/>
      <c r="Y744" s="177" t="n"/>
    </row>
    <row r="745">
      <c r="A745" s="177" t="n"/>
      <c r="B745" s="177" t="n"/>
      <c r="C745" s="177" t="n"/>
      <c r="D745" s="177" t="n"/>
      <c r="E745" s="177" t="n"/>
      <c r="F745" s="177" t="n"/>
      <c r="G745" s="177" t="n"/>
      <c r="H745" s="177" t="n"/>
      <c r="I745" s="177" t="n"/>
      <c r="J745" s="177" t="n"/>
      <c r="K745" s="177" t="n"/>
      <c r="L745" s="177" t="n"/>
      <c r="M745" s="177" t="n"/>
      <c r="N745" s="177" t="n"/>
      <c r="O745" s="177" t="n"/>
      <c r="P745" s="177" t="n"/>
      <c r="Q745" s="177" t="n"/>
      <c r="R745" s="177" t="n"/>
      <c r="S745" s="177" t="n"/>
      <c r="T745" s="177" t="n"/>
      <c r="U745" s="177" t="n"/>
      <c r="V745" s="177" t="n"/>
      <c r="W745" s="177" t="n"/>
      <c r="X745" s="177" t="n"/>
      <c r="Y745" s="177" t="n"/>
    </row>
    <row r="746">
      <c r="A746" s="177" t="n"/>
      <c r="B746" s="177" t="n"/>
      <c r="C746" s="177" t="n"/>
      <c r="D746" s="177" t="n"/>
      <c r="E746" s="177" t="n"/>
      <c r="F746" s="177" t="n"/>
      <c r="G746" s="177" t="n"/>
      <c r="H746" s="177" t="n"/>
      <c r="I746" s="177" t="n"/>
      <c r="J746" s="177" t="n"/>
      <c r="K746" s="177" t="n"/>
      <c r="L746" s="177" t="n"/>
      <c r="M746" s="177" t="n"/>
      <c r="N746" s="177" t="n"/>
      <c r="O746" s="177" t="n"/>
      <c r="P746" s="177" t="n"/>
      <c r="Q746" s="177" t="n"/>
      <c r="R746" s="177" t="n"/>
      <c r="S746" s="177" t="n"/>
      <c r="T746" s="177" t="n"/>
      <c r="U746" s="177" t="n"/>
      <c r="V746" s="177" t="n"/>
      <c r="W746" s="177" t="n"/>
      <c r="X746" s="177" t="n"/>
      <c r="Y746" s="177" t="n"/>
    </row>
    <row r="747">
      <c r="A747" s="177" t="n"/>
      <c r="B747" s="177" t="n"/>
      <c r="C747" s="177" t="n"/>
      <c r="D747" s="177" t="n"/>
      <c r="E747" s="177" t="n"/>
      <c r="F747" s="177" t="n"/>
      <c r="G747" s="177" t="n"/>
      <c r="H747" s="177" t="n"/>
      <c r="I747" s="177" t="n"/>
      <c r="J747" s="177" t="n"/>
      <c r="K747" s="177" t="n"/>
      <c r="L747" s="177" t="n"/>
      <c r="M747" s="177" t="n"/>
      <c r="N747" s="177" t="n"/>
      <c r="O747" s="177" t="n"/>
      <c r="P747" s="177" t="n"/>
      <c r="Q747" s="177" t="n"/>
      <c r="R747" s="177" t="n"/>
      <c r="S747" s="177" t="n"/>
      <c r="T747" s="177" t="n"/>
      <c r="U747" s="177" t="n"/>
      <c r="V747" s="177" t="n"/>
      <c r="W747" s="177" t="n"/>
      <c r="X747" s="177" t="n"/>
      <c r="Y747" s="177" t="n"/>
    </row>
    <row r="748">
      <c r="A748" s="177" t="n"/>
      <c r="B748" s="177" t="n"/>
      <c r="C748" s="177" t="n"/>
      <c r="D748" s="177" t="n"/>
      <c r="E748" s="177" t="n"/>
      <c r="F748" s="177" t="n"/>
      <c r="G748" s="177" t="n"/>
      <c r="H748" s="177" t="n"/>
      <c r="I748" s="177" t="n"/>
      <c r="J748" s="177" t="n"/>
      <c r="K748" s="177" t="n"/>
      <c r="L748" s="177" t="n"/>
      <c r="M748" s="177" t="n"/>
      <c r="N748" s="177" t="n"/>
      <c r="O748" s="177" t="n"/>
      <c r="P748" s="177" t="n"/>
      <c r="Q748" s="177" t="n"/>
      <c r="R748" s="177" t="n"/>
      <c r="S748" s="177" t="n"/>
      <c r="T748" s="177" t="n"/>
      <c r="U748" s="177" t="n"/>
      <c r="V748" s="177" t="n"/>
      <c r="W748" s="177" t="n"/>
      <c r="X748" s="177" t="n"/>
      <c r="Y748" s="177" t="n"/>
    </row>
    <row r="749">
      <c r="A749" s="177" t="n"/>
      <c r="B749" s="177" t="n"/>
      <c r="C749" s="177" t="n"/>
      <c r="D749" s="177" t="n"/>
      <c r="E749" s="177" t="n"/>
      <c r="F749" s="177" t="n"/>
      <c r="G749" s="177" t="n"/>
      <c r="H749" s="177" t="n"/>
      <c r="I749" s="177" t="n"/>
      <c r="J749" s="177" t="n"/>
      <c r="K749" s="177" t="n"/>
      <c r="L749" s="177" t="n"/>
      <c r="M749" s="177" t="n"/>
      <c r="N749" s="177" t="n"/>
      <c r="O749" s="177" t="n"/>
      <c r="P749" s="177" t="n"/>
      <c r="Q749" s="177" t="n"/>
      <c r="R749" s="177" t="n"/>
      <c r="S749" s="177" t="n"/>
      <c r="T749" s="177" t="n"/>
      <c r="U749" s="177" t="n"/>
      <c r="V749" s="177" t="n"/>
      <c r="W749" s="177" t="n"/>
      <c r="X749" s="177" t="n"/>
      <c r="Y749" s="177" t="n"/>
    </row>
    <row r="750">
      <c r="A750" s="177" t="n"/>
      <c r="B750" s="177" t="n"/>
      <c r="C750" s="177" t="n"/>
      <c r="D750" s="177" t="n"/>
      <c r="E750" s="177" t="n"/>
      <c r="F750" s="177" t="n"/>
      <c r="G750" s="177" t="n"/>
      <c r="H750" s="177" t="n"/>
      <c r="I750" s="177" t="n"/>
      <c r="J750" s="177" t="n"/>
      <c r="K750" s="177" t="n"/>
      <c r="L750" s="177" t="n"/>
      <c r="M750" s="177" t="n"/>
      <c r="N750" s="177" t="n"/>
      <c r="O750" s="177" t="n"/>
      <c r="P750" s="177" t="n"/>
      <c r="Q750" s="177" t="n"/>
      <c r="R750" s="177" t="n"/>
      <c r="S750" s="177" t="n"/>
      <c r="T750" s="177" t="n"/>
      <c r="U750" s="177" t="n"/>
      <c r="V750" s="177" t="n"/>
      <c r="W750" s="177" t="n"/>
      <c r="X750" s="177" t="n"/>
      <c r="Y750" s="177" t="n"/>
    </row>
    <row r="751">
      <c r="A751" s="177" t="n"/>
      <c r="B751" s="177" t="n"/>
      <c r="C751" s="177" t="n"/>
      <c r="D751" s="177" t="n"/>
      <c r="E751" s="177" t="n"/>
      <c r="F751" s="177" t="n"/>
      <c r="G751" s="177" t="n"/>
      <c r="H751" s="177" t="n"/>
      <c r="I751" s="177" t="n"/>
      <c r="J751" s="177" t="n"/>
      <c r="K751" s="177" t="n"/>
      <c r="L751" s="177" t="n"/>
      <c r="M751" s="177" t="n"/>
      <c r="N751" s="177" t="n"/>
      <c r="O751" s="177" t="n"/>
      <c r="P751" s="177" t="n"/>
      <c r="Q751" s="177" t="n"/>
      <c r="R751" s="177" t="n"/>
      <c r="S751" s="177" t="n"/>
      <c r="T751" s="177" t="n"/>
      <c r="U751" s="177" t="n"/>
      <c r="V751" s="177" t="n"/>
      <c r="W751" s="177" t="n"/>
      <c r="X751" s="177" t="n"/>
      <c r="Y751" s="177" t="n"/>
    </row>
    <row r="752">
      <c r="A752" s="177" t="n"/>
      <c r="B752" s="177" t="n"/>
      <c r="C752" s="177" t="n"/>
      <c r="D752" s="177" t="n"/>
      <c r="E752" s="177" t="n"/>
      <c r="F752" s="177" t="n"/>
      <c r="G752" s="177" t="n"/>
      <c r="H752" s="177" t="n"/>
      <c r="I752" s="177" t="n"/>
      <c r="J752" s="177" t="n"/>
      <c r="K752" s="177" t="n"/>
      <c r="L752" s="177" t="n"/>
      <c r="M752" s="177" t="n"/>
      <c r="N752" s="177" t="n"/>
      <c r="O752" s="177" t="n"/>
      <c r="P752" s="177" t="n"/>
      <c r="Q752" s="177" t="n"/>
      <c r="R752" s="177" t="n"/>
      <c r="S752" s="177" t="n"/>
      <c r="T752" s="177" t="n"/>
      <c r="U752" s="177" t="n"/>
      <c r="V752" s="177" t="n"/>
      <c r="W752" s="177" t="n"/>
      <c r="X752" s="177" t="n"/>
      <c r="Y752" s="177" t="n"/>
    </row>
    <row r="753">
      <c r="A753" s="177" t="n"/>
      <c r="B753" s="177" t="n"/>
      <c r="C753" s="177" t="n"/>
      <c r="D753" s="177" t="n"/>
      <c r="E753" s="177" t="n"/>
      <c r="F753" s="177" t="n"/>
      <c r="G753" s="177" t="n"/>
      <c r="H753" s="177" t="n"/>
      <c r="I753" s="177" t="n"/>
      <c r="J753" s="177" t="n"/>
      <c r="K753" s="177" t="n"/>
      <c r="L753" s="177" t="n"/>
      <c r="M753" s="177" t="n"/>
      <c r="N753" s="177" t="n"/>
      <c r="O753" s="177" t="n"/>
      <c r="P753" s="177" t="n"/>
      <c r="Q753" s="177" t="n"/>
      <c r="R753" s="177" t="n"/>
      <c r="S753" s="177" t="n"/>
      <c r="T753" s="177" t="n"/>
      <c r="U753" s="177" t="n"/>
      <c r="V753" s="177" t="n"/>
      <c r="W753" s="177" t="n"/>
      <c r="X753" s="177" t="n"/>
      <c r="Y753" s="177" t="n"/>
    </row>
    <row r="754">
      <c r="A754" s="177" t="n"/>
      <c r="B754" s="177" t="n"/>
      <c r="C754" s="177" t="n"/>
      <c r="D754" s="177" t="n"/>
      <c r="E754" s="177" t="n"/>
      <c r="F754" s="177" t="n"/>
      <c r="G754" s="177" t="n"/>
      <c r="H754" s="177" t="n"/>
      <c r="I754" s="177" t="n"/>
      <c r="J754" s="177" t="n"/>
      <c r="K754" s="177" t="n"/>
      <c r="L754" s="177" t="n"/>
      <c r="M754" s="177" t="n"/>
      <c r="N754" s="177" t="n"/>
      <c r="O754" s="177" t="n"/>
      <c r="P754" s="177" t="n"/>
      <c r="Q754" s="177" t="n"/>
      <c r="R754" s="177" t="n"/>
      <c r="S754" s="177" t="n"/>
      <c r="T754" s="177" t="n"/>
      <c r="U754" s="177" t="n"/>
      <c r="V754" s="177" t="n"/>
      <c r="W754" s="177" t="n"/>
      <c r="X754" s="177" t="n"/>
      <c r="Y754" s="177" t="n"/>
    </row>
    <row r="755">
      <c r="A755" s="177" t="n"/>
      <c r="B755" s="177" t="n"/>
      <c r="C755" s="177" t="n"/>
      <c r="D755" s="177" t="n"/>
      <c r="E755" s="177" t="n"/>
      <c r="F755" s="177" t="n"/>
      <c r="G755" s="177" t="n"/>
      <c r="H755" s="177" t="n"/>
      <c r="I755" s="177" t="n"/>
      <c r="J755" s="177" t="n"/>
      <c r="K755" s="177" t="n"/>
      <c r="L755" s="177" t="n"/>
      <c r="M755" s="177" t="n"/>
      <c r="N755" s="177" t="n"/>
      <c r="O755" s="177" t="n"/>
      <c r="P755" s="177" t="n"/>
      <c r="Q755" s="177" t="n"/>
      <c r="R755" s="177" t="n"/>
      <c r="S755" s="177" t="n"/>
      <c r="T755" s="177" t="n"/>
      <c r="U755" s="177" t="n"/>
      <c r="V755" s="177" t="n"/>
      <c r="W755" s="177" t="n"/>
      <c r="X755" s="177" t="n"/>
      <c r="Y755" s="177" t="n"/>
    </row>
    <row r="756">
      <c r="A756" s="177" t="n"/>
      <c r="B756" s="177" t="n"/>
      <c r="C756" s="177" t="n"/>
      <c r="D756" s="177" t="n"/>
      <c r="E756" s="177" t="n"/>
      <c r="F756" s="177" t="n"/>
      <c r="G756" s="177" t="n"/>
      <c r="H756" s="177" t="n"/>
      <c r="I756" s="177" t="n"/>
      <c r="J756" s="177" t="n"/>
      <c r="K756" s="177" t="n"/>
      <c r="L756" s="177" t="n"/>
      <c r="M756" s="177" t="n"/>
      <c r="N756" s="177" t="n"/>
      <c r="O756" s="177" t="n"/>
      <c r="P756" s="177" t="n"/>
      <c r="Q756" s="177" t="n"/>
      <c r="R756" s="177" t="n"/>
      <c r="S756" s="177" t="n"/>
      <c r="T756" s="177" t="n"/>
      <c r="U756" s="177" t="n"/>
      <c r="V756" s="177" t="n"/>
      <c r="W756" s="177" t="n"/>
      <c r="X756" s="177" t="n"/>
      <c r="Y756" s="177" t="n"/>
    </row>
    <row r="757">
      <c r="A757" s="177" t="n"/>
      <c r="B757" s="177" t="n"/>
      <c r="C757" s="177" t="n"/>
      <c r="D757" s="177" t="n"/>
      <c r="E757" s="177" t="n"/>
      <c r="F757" s="177" t="n"/>
      <c r="G757" s="177" t="n"/>
      <c r="H757" s="177" t="n"/>
      <c r="I757" s="177" t="n"/>
      <c r="J757" s="177" t="n"/>
      <c r="K757" s="177" t="n"/>
      <c r="L757" s="177" t="n"/>
      <c r="M757" s="177" t="n"/>
      <c r="N757" s="177" t="n"/>
      <c r="O757" s="177" t="n"/>
      <c r="P757" s="177" t="n"/>
      <c r="Q757" s="177" t="n"/>
      <c r="R757" s="177" t="n"/>
      <c r="S757" s="177" t="n"/>
      <c r="T757" s="177" t="n"/>
      <c r="U757" s="177" t="n"/>
      <c r="V757" s="177" t="n"/>
      <c r="W757" s="177" t="n"/>
      <c r="X757" s="177" t="n"/>
      <c r="Y757" s="177" t="n"/>
    </row>
    <row r="758">
      <c r="A758" s="177" t="n"/>
      <c r="B758" s="177" t="n"/>
      <c r="C758" s="177" t="n"/>
      <c r="D758" s="177" t="n"/>
      <c r="E758" s="177" t="n"/>
      <c r="F758" s="177" t="n"/>
      <c r="G758" s="177" t="n"/>
      <c r="H758" s="177" t="n"/>
      <c r="I758" s="177" t="n"/>
      <c r="J758" s="177" t="n"/>
      <c r="K758" s="177" t="n"/>
      <c r="L758" s="177" t="n"/>
      <c r="M758" s="177" t="n"/>
      <c r="N758" s="177" t="n"/>
      <c r="O758" s="177" t="n"/>
      <c r="P758" s="177" t="n"/>
      <c r="Q758" s="177" t="n"/>
      <c r="R758" s="177" t="n"/>
      <c r="S758" s="177" t="n"/>
      <c r="T758" s="177" t="n"/>
      <c r="U758" s="177" t="n"/>
      <c r="V758" s="177" t="n"/>
      <c r="W758" s="177" t="n"/>
      <c r="X758" s="177" t="n"/>
      <c r="Y758" s="177" t="n"/>
    </row>
    <row r="759">
      <c r="A759" s="177" t="n"/>
      <c r="B759" s="177" t="n"/>
      <c r="C759" s="177" t="n"/>
      <c r="D759" s="177" t="n"/>
      <c r="E759" s="177" t="n"/>
      <c r="F759" s="177" t="n"/>
      <c r="G759" s="177" t="n"/>
      <c r="H759" s="177" t="n"/>
      <c r="I759" s="177" t="n"/>
      <c r="J759" s="177" t="n"/>
      <c r="K759" s="177" t="n"/>
      <c r="L759" s="177" t="n"/>
      <c r="M759" s="177" t="n"/>
      <c r="N759" s="177" t="n"/>
      <c r="O759" s="177" t="n"/>
      <c r="P759" s="177" t="n"/>
      <c r="Q759" s="177" t="n"/>
      <c r="R759" s="177" t="n"/>
      <c r="S759" s="177" t="n"/>
      <c r="T759" s="177" t="n"/>
      <c r="U759" s="177" t="n"/>
      <c r="V759" s="177" t="n"/>
      <c r="W759" s="177" t="n"/>
      <c r="X759" s="177" t="n"/>
      <c r="Y759" s="177" t="n"/>
    </row>
    <row r="760">
      <c r="A760" s="177" t="n"/>
      <c r="B760" s="177" t="n"/>
      <c r="C760" s="177" t="n"/>
      <c r="D760" s="177" t="n"/>
      <c r="E760" s="177" t="n"/>
      <c r="F760" s="177" t="n"/>
      <c r="G760" s="177" t="n"/>
      <c r="H760" s="177" t="n"/>
      <c r="I760" s="177" t="n"/>
      <c r="J760" s="177" t="n"/>
      <c r="K760" s="177" t="n"/>
      <c r="L760" s="177" t="n"/>
      <c r="M760" s="177" t="n"/>
      <c r="N760" s="177" t="n"/>
      <c r="O760" s="177" t="n"/>
      <c r="P760" s="177" t="n"/>
      <c r="Q760" s="177" t="n"/>
      <c r="R760" s="177" t="n"/>
      <c r="S760" s="177" t="n"/>
      <c r="T760" s="177" t="n"/>
      <c r="U760" s="177" t="n"/>
      <c r="V760" s="177" t="n"/>
      <c r="W760" s="177" t="n"/>
      <c r="X760" s="177" t="n"/>
      <c r="Y760" s="177" t="n"/>
    </row>
    <row r="761">
      <c r="A761" s="177" t="n"/>
      <c r="B761" s="177" t="n"/>
      <c r="C761" s="177" t="n"/>
      <c r="D761" s="177" t="n"/>
      <c r="E761" s="177" t="n"/>
      <c r="F761" s="177" t="n"/>
      <c r="G761" s="177" t="n"/>
      <c r="H761" s="177" t="n"/>
      <c r="I761" s="177" t="n"/>
      <c r="J761" s="177" t="n"/>
      <c r="K761" s="177" t="n"/>
      <c r="L761" s="177" t="n"/>
      <c r="M761" s="177" t="n"/>
      <c r="N761" s="177" t="n"/>
      <c r="O761" s="177" t="n"/>
      <c r="P761" s="177" t="n"/>
      <c r="Q761" s="177" t="n"/>
      <c r="R761" s="177" t="n"/>
      <c r="S761" s="177" t="n"/>
      <c r="T761" s="177" t="n"/>
      <c r="U761" s="177" t="n"/>
      <c r="V761" s="177" t="n"/>
      <c r="W761" s="177" t="n"/>
      <c r="X761" s="177" t="n"/>
      <c r="Y761" s="177" t="n"/>
    </row>
    <row r="762">
      <c r="A762" s="177" t="n"/>
      <c r="B762" s="177" t="n"/>
      <c r="C762" s="177" t="n"/>
      <c r="D762" s="177" t="n"/>
      <c r="E762" s="177" t="n"/>
      <c r="F762" s="177" t="n"/>
      <c r="G762" s="177" t="n"/>
      <c r="H762" s="177" t="n"/>
      <c r="I762" s="177" t="n"/>
      <c r="J762" s="177" t="n"/>
      <c r="K762" s="177" t="n"/>
      <c r="L762" s="177" t="n"/>
      <c r="M762" s="177" t="n"/>
      <c r="N762" s="177" t="n"/>
      <c r="O762" s="177" t="n"/>
      <c r="P762" s="177" t="n"/>
      <c r="Q762" s="177" t="n"/>
      <c r="R762" s="177" t="n"/>
      <c r="S762" s="177" t="n"/>
      <c r="T762" s="177" t="n"/>
      <c r="U762" s="177" t="n"/>
      <c r="V762" s="177" t="n"/>
      <c r="W762" s="177" t="n"/>
      <c r="X762" s="177" t="n"/>
      <c r="Y762" s="177" t="n"/>
    </row>
    <row r="763">
      <c r="A763" s="177" t="n"/>
      <c r="B763" s="177" t="n"/>
      <c r="C763" s="177" t="n"/>
      <c r="D763" s="177" t="n"/>
      <c r="E763" s="177" t="n"/>
      <c r="F763" s="177" t="n"/>
      <c r="G763" s="177" t="n"/>
      <c r="H763" s="177" t="n"/>
      <c r="I763" s="177" t="n"/>
      <c r="J763" s="177" t="n"/>
      <c r="K763" s="177" t="n"/>
      <c r="L763" s="177" t="n"/>
      <c r="M763" s="177" t="n"/>
      <c r="N763" s="177" t="n"/>
      <c r="O763" s="177" t="n"/>
      <c r="P763" s="177" t="n"/>
      <c r="Q763" s="177" t="n"/>
      <c r="R763" s="177" t="n"/>
      <c r="S763" s="177" t="n"/>
      <c r="T763" s="177" t="n"/>
      <c r="U763" s="177" t="n"/>
      <c r="V763" s="177" t="n"/>
      <c r="W763" s="177" t="n"/>
      <c r="X763" s="177" t="n"/>
      <c r="Y763" s="177" t="n"/>
    </row>
    <row r="764">
      <c r="A764" s="177" t="n"/>
      <c r="B764" s="177" t="n"/>
      <c r="C764" s="177" t="n"/>
      <c r="D764" s="177" t="n"/>
      <c r="E764" s="177" t="n"/>
      <c r="F764" s="177" t="n"/>
      <c r="G764" s="177" t="n"/>
      <c r="H764" s="177" t="n"/>
      <c r="I764" s="177" t="n"/>
      <c r="J764" s="177" t="n"/>
      <c r="K764" s="177" t="n"/>
      <c r="L764" s="177" t="n"/>
      <c r="M764" s="177" t="n"/>
      <c r="N764" s="177" t="n"/>
      <c r="O764" s="177" t="n"/>
      <c r="P764" s="177" t="n"/>
      <c r="Q764" s="177" t="n"/>
      <c r="R764" s="177" t="n"/>
      <c r="S764" s="177" t="n"/>
      <c r="T764" s="177" t="n"/>
      <c r="U764" s="177" t="n"/>
      <c r="V764" s="177" t="n"/>
      <c r="W764" s="177" t="n"/>
      <c r="X764" s="177" t="n"/>
      <c r="Y764" s="177" t="n"/>
    </row>
    <row r="765">
      <c r="A765" s="177" t="n"/>
      <c r="B765" s="177" t="n"/>
      <c r="C765" s="177" t="n"/>
      <c r="D765" s="177" t="n"/>
      <c r="E765" s="177" t="n"/>
      <c r="F765" s="177" t="n"/>
      <c r="G765" s="177" t="n"/>
      <c r="H765" s="177" t="n"/>
      <c r="I765" s="177" t="n"/>
      <c r="J765" s="177" t="n"/>
      <c r="K765" s="177" t="n"/>
      <c r="L765" s="177" t="n"/>
      <c r="M765" s="177" t="n"/>
      <c r="N765" s="177" t="n"/>
      <c r="O765" s="177" t="n"/>
      <c r="P765" s="177" t="n"/>
      <c r="Q765" s="177" t="n"/>
      <c r="R765" s="177" t="n"/>
      <c r="S765" s="177" t="n"/>
      <c r="T765" s="177" t="n"/>
      <c r="U765" s="177" t="n"/>
      <c r="V765" s="177" t="n"/>
      <c r="W765" s="177" t="n"/>
      <c r="X765" s="177" t="n"/>
      <c r="Y765" s="177" t="n"/>
    </row>
    <row r="766">
      <c r="A766" s="177" t="n"/>
      <c r="B766" s="177" t="n"/>
      <c r="C766" s="177" t="n"/>
      <c r="D766" s="177" t="n"/>
      <c r="E766" s="177" t="n"/>
      <c r="F766" s="177" t="n"/>
      <c r="G766" s="177" t="n"/>
      <c r="H766" s="177" t="n"/>
      <c r="I766" s="177" t="n"/>
      <c r="J766" s="177" t="n"/>
      <c r="K766" s="177" t="n"/>
      <c r="L766" s="177" t="n"/>
      <c r="M766" s="177" t="n"/>
      <c r="N766" s="177" t="n"/>
      <c r="O766" s="177" t="n"/>
      <c r="P766" s="177" t="n"/>
      <c r="Q766" s="177" t="n"/>
      <c r="R766" s="177" t="n"/>
      <c r="S766" s="177" t="n"/>
      <c r="T766" s="177" t="n"/>
      <c r="U766" s="177" t="n"/>
      <c r="V766" s="177" t="n"/>
      <c r="W766" s="177" t="n"/>
      <c r="X766" s="177" t="n"/>
      <c r="Y766" s="177" t="n"/>
    </row>
    <row r="767">
      <c r="A767" s="177" t="n"/>
      <c r="B767" s="177" t="n"/>
      <c r="C767" s="177" t="n"/>
      <c r="D767" s="177" t="n"/>
      <c r="E767" s="177" t="n"/>
      <c r="F767" s="177" t="n"/>
      <c r="G767" s="177" t="n"/>
      <c r="H767" s="177" t="n"/>
      <c r="I767" s="177" t="n"/>
      <c r="J767" s="177" t="n"/>
      <c r="K767" s="177" t="n"/>
      <c r="L767" s="177" t="n"/>
      <c r="M767" s="177" t="n"/>
      <c r="N767" s="177" t="n"/>
      <c r="O767" s="177" t="n"/>
      <c r="P767" s="177" t="n"/>
      <c r="Q767" s="177" t="n"/>
      <c r="R767" s="177" t="n"/>
      <c r="S767" s="177" t="n"/>
      <c r="T767" s="177" t="n"/>
      <c r="U767" s="177" t="n"/>
      <c r="V767" s="177" t="n"/>
      <c r="W767" s="177" t="n"/>
      <c r="X767" s="177" t="n"/>
      <c r="Y767" s="177" t="n"/>
    </row>
    <row r="768">
      <c r="A768" s="177" t="n"/>
      <c r="B768" s="177" t="n"/>
      <c r="C768" s="177" t="n"/>
      <c r="D768" s="177" t="n"/>
      <c r="E768" s="177" t="n"/>
      <c r="F768" s="177" t="n"/>
      <c r="G768" s="177" t="n"/>
      <c r="H768" s="177" t="n"/>
      <c r="I768" s="177" t="n"/>
      <c r="J768" s="177" t="n"/>
      <c r="K768" s="177" t="n"/>
      <c r="L768" s="177" t="n"/>
      <c r="M768" s="177" t="n"/>
      <c r="N768" s="177" t="n"/>
      <c r="O768" s="177" t="n"/>
      <c r="P768" s="177" t="n"/>
      <c r="Q768" s="177" t="n"/>
      <c r="R768" s="177" t="n"/>
      <c r="S768" s="177" t="n"/>
      <c r="T768" s="177" t="n"/>
      <c r="U768" s="177" t="n"/>
      <c r="V768" s="177" t="n"/>
      <c r="W768" s="177" t="n"/>
      <c r="X768" s="177" t="n"/>
      <c r="Y768" s="177" t="n"/>
    </row>
    <row r="769">
      <c r="A769" s="177" t="n"/>
      <c r="B769" s="177" t="n"/>
      <c r="C769" s="177" t="n"/>
      <c r="D769" s="177" t="n"/>
      <c r="E769" s="177" t="n"/>
      <c r="F769" s="177" t="n"/>
      <c r="G769" s="177" t="n"/>
      <c r="H769" s="177" t="n"/>
      <c r="I769" s="177" t="n"/>
      <c r="J769" s="177" t="n"/>
      <c r="K769" s="177" t="n"/>
      <c r="L769" s="177" t="n"/>
      <c r="M769" s="177" t="n"/>
      <c r="N769" s="177" t="n"/>
      <c r="O769" s="177" t="n"/>
      <c r="P769" s="177" t="n"/>
      <c r="Q769" s="177" t="n"/>
      <c r="R769" s="177" t="n"/>
      <c r="S769" s="177" t="n"/>
      <c r="T769" s="177" t="n"/>
      <c r="U769" s="177" t="n"/>
      <c r="V769" s="177" t="n"/>
      <c r="W769" s="177" t="n"/>
      <c r="X769" s="177" t="n"/>
      <c r="Y769" s="177" t="n"/>
    </row>
    <row r="770">
      <c r="A770" s="177" t="n"/>
      <c r="B770" s="177" t="n"/>
      <c r="C770" s="177" t="n"/>
      <c r="D770" s="177" t="n"/>
      <c r="E770" s="177" t="n"/>
      <c r="F770" s="177" t="n"/>
      <c r="G770" s="177" t="n"/>
      <c r="H770" s="177" t="n"/>
      <c r="I770" s="177" t="n"/>
      <c r="J770" s="177" t="n"/>
      <c r="K770" s="177" t="n"/>
      <c r="L770" s="177" t="n"/>
      <c r="M770" s="177" t="n"/>
      <c r="N770" s="177" t="n"/>
      <c r="O770" s="177" t="n"/>
      <c r="P770" s="177" t="n"/>
      <c r="Q770" s="177" t="n"/>
      <c r="R770" s="177" t="n"/>
      <c r="S770" s="177" t="n"/>
      <c r="T770" s="177" t="n"/>
      <c r="U770" s="177" t="n"/>
      <c r="V770" s="177" t="n"/>
      <c r="W770" s="177" t="n"/>
      <c r="X770" s="177" t="n"/>
      <c r="Y770" s="177" t="n"/>
    </row>
    <row r="771">
      <c r="A771" s="177" t="n"/>
      <c r="B771" s="177" t="n"/>
      <c r="C771" s="177" t="n"/>
      <c r="D771" s="177" t="n"/>
      <c r="E771" s="177" t="n"/>
      <c r="F771" s="177" t="n"/>
      <c r="G771" s="177" t="n"/>
      <c r="H771" s="177" t="n"/>
      <c r="I771" s="177" t="n"/>
      <c r="J771" s="177" t="n"/>
      <c r="K771" s="177" t="n"/>
      <c r="L771" s="177" t="n"/>
      <c r="M771" s="177" t="n"/>
      <c r="N771" s="177" t="n"/>
      <c r="O771" s="177" t="n"/>
      <c r="P771" s="177" t="n"/>
      <c r="Q771" s="177" t="n"/>
      <c r="R771" s="177" t="n"/>
      <c r="S771" s="177" t="n"/>
      <c r="T771" s="177" t="n"/>
      <c r="U771" s="177" t="n"/>
      <c r="V771" s="177" t="n"/>
      <c r="W771" s="177" t="n"/>
      <c r="X771" s="177" t="n"/>
      <c r="Y771" s="177" t="n"/>
    </row>
    <row r="772">
      <c r="A772" s="177" t="n"/>
      <c r="B772" s="177" t="n"/>
      <c r="C772" s="177" t="n"/>
      <c r="D772" s="177" t="n"/>
      <c r="E772" s="177" t="n"/>
      <c r="F772" s="177" t="n"/>
      <c r="G772" s="177" t="n"/>
      <c r="H772" s="177" t="n"/>
      <c r="I772" s="177" t="n"/>
      <c r="J772" s="177" t="n"/>
      <c r="K772" s="177" t="n"/>
      <c r="L772" s="177" t="n"/>
      <c r="M772" s="177" t="n"/>
      <c r="N772" s="177" t="n"/>
      <c r="O772" s="177" t="n"/>
      <c r="P772" s="177" t="n"/>
      <c r="Q772" s="177" t="n"/>
      <c r="R772" s="177" t="n"/>
      <c r="S772" s="177" t="n"/>
      <c r="T772" s="177" t="n"/>
      <c r="U772" s="177" t="n"/>
      <c r="V772" s="177" t="n"/>
      <c r="W772" s="177" t="n"/>
      <c r="X772" s="177" t="n"/>
      <c r="Y772" s="177" t="n"/>
    </row>
    <row r="773">
      <c r="A773" s="177" t="n"/>
      <c r="B773" s="177" t="n"/>
      <c r="C773" s="177" t="n"/>
      <c r="D773" s="177" t="n"/>
      <c r="E773" s="177" t="n"/>
      <c r="F773" s="177" t="n"/>
      <c r="G773" s="177" t="n"/>
      <c r="H773" s="177" t="n"/>
      <c r="I773" s="177" t="n"/>
      <c r="J773" s="177" t="n"/>
      <c r="K773" s="177" t="n"/>
      <c r="L773" s="177" t="n"/>
      <c r="M773" s="177" t="n"/>
      <c r="N773" s="177" t="n"/>
      <c r="O773" s="177" t="n"/>
      <c r="P773" s="177" t="n"/>
      <c r="Q773" s="177" t="n"/>
      <c r="R773" s="177" t="n"/>
      <c r="S773" s="177" t="n"/>
      <c r="T773" s="177" t="n"/>
      <c r="U773" s="177" t="n"/>
      <c r="V773" s="177" t="n"/>
      <c r="W773" s="177" t="n"/>
      <c r="X773" s="177" t="n"/>
      <c r="Y773" s="177" t="n"/>
    </row>
    <row r="774">
      <c r="A774" s="177" t="n"/>
      <c r="B774" s="177" t="n"/>
      <c r="C774" s="177" t="n"/>
      <c r="D774" s="177" t="n"/>
      <c r="E774" s="177" t="n"/>
      <c r="F774" s="177" t="n"/>
      <c r="G774" s="177" t="n"/>
      <c r="H774" s="177" t="n"/>
      <c r="I774" s="177" t="n"/>
      <c r="J774" s="177" t="n"/>
      <c r="K774" s="177" t="n"/>
      <c r="L774" s="177" t="n"/>
      <c r="M774" s="177" t="n"/>
      <c r="N774" s="177" t="n"/>
      <c r="O774" s="177" t="n"/>
      <c r="P774" s="177" t="n"/>
      <c r="Q774" s="177" t="n"/>
      <c r="R774" s="177" t="n"/>
      <c r="S774" s="177" t="n"/>
      <c r="T774" s="177" t="n"/>
      <c r="U774" s="177" t="n"/>
      <c r="V774" s="177" t="n"/>
      <c r="W774" s="177" t="n"/>
      <c r="X774" s="177" t="n"/>
      <c r="Y774" s="177" t="n"/>
    </row>
    <row r="775">
      <c r="A775" s="177" t="n"/>
      <c r="B775" s="177" t="n"/>
      <c r="C775" s="177" t="n"/>
      <c r="D775" s="177" t="n"/>
      <c r="E775" s="177" t="n"/>
      <c r="F775" s="177" t="n"/>
      <c r="G775" s="177" t="n"/>
      <c r="H775" s="177" t="n"/>
      <c r="I775" s="177" t="n"/>
      <c r="J775" s="177" t="n"/>
      <c r="K775" s="177" t="n"/>
      <c r="L775" s="177" t="n"/>
      <c r="M775" s="177" t="n"/>
      <c r="N775" s="177" t="n"/>
      <c r="O775" s="177" t="n"/>
      <c r="P775" s="177" t="n"/>
      <c r="Q775" s="177" t="n"/>
      <c r="R775" s="177" t="n"/>
      <c r="S775" s="177" t="n"/>
      <c r="T775" s="177" t="n"/>
      <c r="U775" s="177" t="n"/>
      <c r="V775" s="177" t="n"/>
      <c r="W775" s="177" t="n"/>
      <c r="X775" s="177" t="n"/>
      <c r="Y775" s="177" t="n"/>
    </row>
    <row r="776">
      <c r="A776" s="177" t="n"/>
      <c r="B776" s="177" t="n"/>
      <c r="C776" s="177" t="n"/>
      <c r="D776" s="177" t="n"/>
      <c r="E776" s="177" t="n"/>
      <c r="F776" s="177" t="n"/>
      <c r="G776" s="177" t="n"/>
      <c r="H776" s="177" t="n"/>
      <c r="I776" s="177" t="n"/>
      <c r="J776" s="177" t="n"/>
      <c r="K776" s="177" t="n"/>
      <c r="L776" s="177" t="n"/>
      <c r="M776" s="177" t="n"/>
      <c r="N776" s="177" t="n"/>
      <c r="O776" s="177" t="n"/>
      <c r="P776" s="177" t="n"/>
      <c r="Q776" s="177" t="n"/>
      <c r="R776" s="177" t="n"/>
      <c r="S776" s="177" t="n"/>
      <c r="T776" s="177" t="n"/>
      <c r="U776" s="177" t="n"/>
      <c r="V776" s="177" t="n"/>
      <c r="W776" s="177" t="n"/>
      <c r="X776" s="177" t="n"/>
      <c r="Y776" s="177" t="n"/>
    </row>
    <row r="777">
      <c r="A777" s="177" t="n"/>
      <c r="B777" s="177" t="n"/>
      <c r="C777" s="177" t="n"/>
      <c r="D777" s="177" t="n"/>
      <c r="E777" s="177" t="n"/>
      <c r="F777" s="177" t="n"/>
      <c r="G777" s="177" t="n"/>
      <c r="H777" s="177" t="n"/>
      <c r="I777" s="177" t="n"/>
      <c r="J777" s="177" t="n"/>
      <c r="K777" s="177" t="n"/>
      <c r="L777" s="177" t="n"/>
      <c r="M777" s="177" t="n"/>
      <c r="N777" s="177" t="n"/>
      <c r="O777" s="177" t="n"/>
      <c r="P777" s="177" t="n"/>
      <c r="Q777" s="177" t="n"/>
      <c r="R777" s="177" t="n"/>
      <c r="S777" s="177" t="n"/>
      <c r="T777" s="177" t="n"/>
      <c r="U777" s="177" t="n"/>
      <c r="V777" s="177" t="n"/>
      <c r="W777" s="177" t="n"/>
      <c r="X777" s="177" t="n"/>
      <c r="Y777" s="177" t="n"/>
    </row>
    <row r="778">
      <c r="A778" s="177" t="n"/>
      <c r="B778" s="177" t="n"/>
      <c r="C778" s="177" t="n"/>
      <c r="D778" s="177" t="n"/>
      <c r="E778" s="177" t="n"/>
      <c r="F778" s="177" t="n"/>
      <c r="G778" s="177" t="n"/>
      <c r="H778" s="177" t="n"/>
      <c r="I778" s="177" t="n"/>
      <c r="J778" s="177" t="n"/>
      <c r="K778" s="177" t="n"/>
      <c r="L778" s="177" t="n"/>
      <c r="M778" s="177" t="n"/>
      <c r="N778" s="177" t="n"/>
      <c r="O778" s="177" t="n"/>
      <c r="P778" s="177" t="n"/>
      <c r="Q778" s="177" t="n"/>
      <c r="R778" s="177" t="n"/>
      <c r="S778" s="177" t="n"/>
      <c r="T778" s="177" t="n"/>
      <c r="U778" s="177" t="n"/>
      <c r="V778" s="177" t="n"/>
      <c r="W778" s="177" t="n"/>
      <c r="X778" s="177" t="n"/>
      <c r="Y778" s="177" t="n"/>
    </row>
    <row r="779">
      <c r="A779" s="177" t="n"/>
      <c r="B779" s="177" t="n"/>
      <c r="C779" s="177" t="n"/>
      <c r="D779" s="177" t="n"/>
      <c r="E779" s="177" t="n"/>
      <c r="F779" s="177" t="n"/>
      <c r="G779" s="177" t="n"/>
      <c r="H779" s="177" t="n"/>
      <c r="I779" s="177" t="n"/>
      <c r="J779" s="177" t="n"/>
      <c r="K779" s="177" t="n"/>
      <c r="L779" s="177" t="n"/>
      <c r="M779" s="177" t="n"/>
      <c r="N779" s="177" t="n"/>
      <c r="O779" s="177" t="n"/>
      <c r="P779" s="177" t="n"/>
      <c r="Q779" s="177" t="n"/>
      <c r="R779" s="177" t="n"/>
      <c r="S779" s="177" t="n"/>
      <c r="T779" s="177" t="n"/>
      <c r="U779" s="177" t="n"/>
      <c r="V779" s="177" t="n"/>
      <c r="W779" s="177" t="n"/>
      <c r="X779" s="177" t="n"/>
      <c r="Y779" s="177" t="n"/>
    </row>
    <row r="780">
      <c r="A780" s="177" t="n"/>
      <c r="B780" s="177" t="n"/>
      <c r="C780" s="177" t="n"/>
      <c r="D780" s="177" t="n"/>
      <c r="E780" s="177" t="n"/>
      <c r="F780" s="177" t="n"/>
      <c r="G780" s="177" t="n"/>
      <c r="H780" s="177" t="n"/>
      <c r="I780" s="177" t="n"/>
      <c r="J780" s="177" t="n"/>
      <c r="K780" s="177" t="n"/>
      <c r="L780" s="177" t="n"/>
      <c r="M780" s="177" t="n"/>
      <c r="N780" s="177" t="n"/>
      <c r="O780" s="177" t="n"/>
      <c r="P780" s="177" t="n"/>
      <c r="Q780" s="177" t="n"/>
      <c r="R780" s="177" t="n"/>
      <c r="S780" s="177" t="n"/>
      <c r="T780" s="177" t="n"/>
      <c r="U780" s="177" t="n"/>
      <c r="V780" s="177" t="n"/>
      <c r="W780" s="177" t="n"/>
      <c r="X780" s="177" t="n"/>
      <c r="Y780" s="177" t="n"/>
    </row>
    <row r="781">
      <c r="A781" s="177" t="n"/>
      <c r="B781" s="177" t="n"/>
      <c r="C781" s="177" t="n"/>
      <c r="D781" s="177" t="n"/>
      <c r="E781" s="177" t="n"/>
      <c r="F781" s="177" t="n"/>
      <c r="G781" s="177" t="n"/>
      <c r="H781" s="177" t="n"/>
      <c r="I781" s="177" t="n"/>
      <c r="J781" s="177" t="n"/>
      <c r="K781" s="177" t="n"/>
      <c r="L781" s="177" t="n"/>
      <c r="M781" s="177" t="n"/>
      <c r="N781" s="177" t="n"/>
      <c r="O781" s="177" t="n"/>
      <c r="P781" s="177" t="n"/>
      <c r="Q781" s="177" t="n"/>
      <c r="R781" s="177" t="n"/>
      <c r="S781" s="177" t="n"/>
      <c r="T781" s="177" t="n"/>
      <c r="U781" s="177" t="n"/>
      <c r="V781" s="177" t="n"/>
      <c r="W781" s="177" t="n"/>
      <c r="X781" s="177" t="n"/>
      <c r="Y781" s="177" t="n"/>
    </row>
    <row r="782">
      <c r="A782" s="177" t="n"/>
      <c r="B782" s="177" t="n"/>
      <c r="C782" s="177" t="n"/>
      <c r="D782" s="177" t="n"/>
      <c r="E782" s="177" t="n"/>
      <c r="F782" s="177" t="n"/>
      <c r="G782" s="177" t="n"/>
      <c r="H782" s="177" t="n"/>
      <c r="I782" s="177" t="n"/>
      <c r="J782" s="177" t="n"/>
      <c r="K782" s="177" t="n"/>
      <c r="L782" s="177" t="n"/>
      <c r="M782" s="177" t="n"/>
      <c r="N782" s="177" t="n"/>
      <c r="O782" s="177" t="n"/>
      <c r="P782" s="177" t="n"/>
      <c r="Q782" s="177" t="n"/>
      <c r="R782" s="177" t="n"/>
      <c r="S782" s="177" t="n"/>
      <c r="T782" s="177" t="n"/>
      <c r="U782" s="177" t="n"/>
      <c r="V782" s="177" t="n"/>
      <c r="W782" s="177" t="n"/>
      <c r="X782" s="177" t="n"/>
      <c r="Y782" s="177" t="n"/>
    </row>
    <row r="783">
      <c r="A783" s="177" t="n"/>
      <c r="B783" s="177" t="n"/>
      <c r="C783" s="177" t="n"/>
      <c r="D783" s="177" t="n"/>
      <c r="E783" s="177" t="n"/>
      <c r="F783" s="177" t="n"/>
      <c r="G783" s="177" t="n"/>
      <c r="H783" s="177" t="n"/>
      <c r="I783" s="177" t="n"/>
      <c r="J783" s="177" t="n"/>
      <c r="K783" s="177" t="n"/>
      <c r="L783" s="177" t="n"/>
      <c r="M783" s="177" t="n"/>
      <c r="N783" s="177" t="n"/>
      <c r="O783" s="177" t="n"/>
      <c r="P783" s="177" t="n"/>
      <c r="Q783" s="177" t="n"/>
      <c r="R783" s="177" t="n"/>
      <c r="S783" s="177" t="n"/>
      <c r="T783" s="177" t="n"/>
      <c r="U783" s="177" t="n"/>
      <c r="V783" s="177" t="n"/>
      <c r="W783" s="177" t="n"/>
      <c r="X783" s="177" t="n"/>
      <c r="Y783" s="177" t="n"/>
    </row>
    <row r="784">
      <c r="A784" s="177" t="n"/>
      <c r="B784" s="177" t="n"/>
      <c r="C784" s="177" t="n"/>
      <c r="D784" s="177" t="n"/>
      <c r="E784" s="177" t="n"/>
      <c r="F784" s="177" t="n"/>
      <c r="G784" s="177" t="n"/>
      <c r="H784" s="177" t="n"/>
      <c r="I784" s="177" t="n"/>
      <c r="J784" s="177" t="n"/>
      <c r="K784" s="177" t="n"/>
      <c r="L784" s="177" t="n"/>
      <c r="M784" s="177" t="n"/>
      <c r="N784" s="177" t="n"/>
      <c r="O784" s="177" t="n"/>
      <c r="P784" s="177" t="n"/>
      <c r="Q784" s="177" t="n"/>
      <c r="R784" s="177" t="n"/>
      <c r="S784" s="177" t="n"/>
      <c r="T784" s="177" t="n"/>
      <c r="U784" s="177" t="n"/>
      <c r="V784" s="177" t="n"/>
      <c r="W784" s="177" t="n"/>
      <c r="X784" s="177" t="n"/>
      <c r="Y784" s="177" t="n"/>
    </row>
    <row r="785">
      <c r="A785" s="177" t="n"/>
      <c r="B785" s="177" t="n"/>
      <c r="C785" s="177" t="n"/>
      <c r="D785" s="177" t="n"/>
      <c r="E785" s="177" t="n"/>
      <c r="F785" s="177" t="n"/>
      <c r="G785" s="177" t="n"/>
      <c r="H785" s="177" t="n"/>
      <c r="I785" s="177" t="n"/>
      <c r="J785" s="177" t="n"/>
      <c r="K785" s="177" t="n"/>
      <c r="L785" s="177" t="n"/>
      <c r="M785" s="177" t="n"/>
      <c r="N785" s="177" t="n"/>
      <c r="O785" s="177" t="n"/>
      <c r="P785" s="177" t="n"/>
      <c r="Q785" s="177" t="n"/>
      <c r="R785" s="177" t="n"/>
      <c r="S785" s="177" t="n"/>
      <c r="T785" s="177" t="n"/>
      <c r="U785" s="177" t="n"/>
      <c r="V785" s="177" t="n"/>
      <c r="W785" s="177" t="n"/>
      <c r="X785" s="177" t="n"/>
      <c r="Y785" s="177" t="n"/>
    </row>
    <row r="786">
      <c r="A786" s="177" t="n"/>
      <c r="B786" s="177" t="n"/>
      <c r="C786" s="177" t="n"/>
      <c r="D786" s="177" t="n"/>
      <c r="E786" s="177" t="n"/>
      <c r="F786" s="177" t="n"/>
      <c r="G786" s="177" t="n"/>
      <c r="H786" s="177" t="n"/>
      <c r="I786" s="177" t="n"/>
      <c r="J786" s="177" t="n"/>
      <c r="K786" s="177" t="n"/>
      <c r="L786" s="177" t="n"/>
      <c r="M786" s="177" t="n"/>
      <c r="N786" s="177" t="n"/>
      <c r="O786" s="177" t="n"/>
      <c r="P786" s="177" t="n"/>
      <c r="Q786" s="177" t="n"/>
      <c r="R786" s="177" t="n"/>
      <c r="S786" s="177" t="n"/>
      <c r="T786" s="177" t="n"/>
      <c r="U786" s="177" t="n"/>
      <c r="V786" s="177" t="n"/>
      <c r="W786" s="177" t="n"/>
      <c r="X786" s="177" t="n"/>
      <c r="Y786" s="177" t="n"/>
    </row>
    <row r="787">
      <c r="A787" s="177" t="n"/>
      <c r="B787" s="177" t="n"/>
      <c r="C787" s="177" t="n"/>
      <c r="D787" s="177" t="n"/>
      <c r="E787" s="177" t="n"/>
      <c r="F787" s="177" t="n"/>
      <c r="G787" s="177" t="n"/>
      <c r="H787" s="177" t="n"/>
      <c r="I787" s="177" t="n"/>
      <c r="J787" s="177" t="n"/>
      <c r="K787" s="177" t="n"/>
      <c r="L787" s="177" t="n"/>
      <c r="M787" s="177" t="n"/>
      <c r="N787" s="177" t="n"/>
      <c r="O787" s="177" t="n"/>
      <c r="P787" s="177" t="n"/>
      <c r="Q787" s="177" t="n"/>
      <c r="R787" s="177" t="n"/>
      <c r="S787" s="177" t="n"/>
      <c r="T787" s="177" t="n"/>
      <c r="U787" s="177" t="n"/>
      <c r="V787" s="177" t="n"/>
      <c r="W787" s="177" t="n"/>
      <c r="X787" s="177" t="n"/>
      <c r="Y787" s="177" t="n"/>
    </row>
    <row r="788">
      <c r="A788" s="177" t="n"/>
      <c r="B788" s="177" t="n"/>
      <c r="C788" s="177" t="n"/>
      <c r="D788" s="177" t="n"/>
      <c r="E788" s="177" t="n"/>
      <c r="F788" s="177" t="n"/>
      <c r="G788" s="177" t="n"/>
      <c r="H788" s="177" t="n"/>
      <c r="I788" s="177" t="n"/>
      <c r="J788" s="177" t="n"/>
      <c r="K788" s="177" t="n"/>
      <c r="L788" s="177" t="n"/>
      <c r="M788" s="177" t="n"/>
      <c r="N788" s="177" t="n"/>
      <c r="O788" s="177" t="n"/>
      <c r="P788" s="177" t="n"/>
      <c r="Q788" s="177" t="n"/>
      <c r="R788" s="177" t="n"/>
      <c r="S788" s="177" t="n"/>
      <c r="T788" s="177" t="n"/>
      <c r="U788" s="177" t="n"/>
      <c r="V788" s="177" t="n"/>
      <c r="W788" s="177" t="n"/>
      <c r="X788" s="177" t="n"/>
      <c r="Y788" s="177" t="n"/>
    </row>
    <row r="789">
      <c r="A789" s="177" t="n"/>
      <c r="B789" s="177" t="n"/>
      <c r="C789" s="177" t="n"/>
      <c r="D789" s="177" t="n"/>
      <c r="E789" s="177" t="n"/>
      <c r="F789" s="177" t="n"/>
      <c r="G789" s="177" t="n"/>
      <c r="H789" s="177" t="n"/>
      <c r="I789" s="177" t="n"/>
      <c r="J789" s="177" t="n"/>
      <c r="K789" s="177" t="n"/>
      <c r="L789" s="177" t="n"/>
      <c r="M789" s="177" t="n"/>
      <c r="N789" s="177" t="n"/>
      <c r="O789" s="177" t="n"/>
      <c r="P789" s="177" t="n"/>
      <c r="Q789" s="177" t="n"/>
      <c r="R789" s="177" t="n"/>
      <c r="S789" s="177" t="n"/>
      <c r="T789" s="177" t="n"/>
      <c r="U789" s="177" t="n"/>
      <c r="V789" s="177" t="n"/>
      <c r="W789" s="177" t="n"/>
      <c r="X789" s="177" t="n"/>
      <c r="Y789" s="177" t="n"/>
    </row>
    <row r="790">
      <c r="A790" s="177" t="n"/>
      <c r="B790" s="177" t="n"/>
      <c r="C790" s="177" t="n"/>
      <c r="D790" s="177" t="n"/>
      <c r="E790" s="177" t="n"/>
      <c r="F790" s="177" t="n"/>
      <c r="G790" s="177" t="n"/>
      <c r="H790" s="177" t="n"/>
      <c r="I790" s="177" t="n"/>
      <c r="J790" s="177" t="n"/>
      <c r="K790" s="177" t="n"/>
      <c r="L790" s="177" t="n"/>
      <c r="M790" s="177" t="n"/>
      <c r="N790" s="177" t="n"/>
      <c r="O790" s="177" t="n"/>
      <c r="P790" s="177" t="n"/>
      <c r="Q790" s="177" t="n"/>
      <c r="R790" s="177" t="n"/>
      <c r="S790" s="177" t="n"/>
      <c r="T790" s="177" t="n"/>
      <c r="U790" s="177" t="n"/>
      <c r="V790" s="177" t="n"/>
      <c r="W790" s="177" t="n"/>
      <c r="X790" s="177" t="n"/>
      <c r="Y790" s="177" t="n"/>
    </row>
    <row r="791">
      <c r="A791" s="177" t="n"/>
      <c r="B791" s="177" t="n"/>
      <c r="C791" s="177" t="n"/>
      <c r="D791" s="177" t="n"/>
      <c r="E791" s="177" t="n"/>
      <c r="F791" s="177" t="n"/>
      <c r="G791" s="177" t="n"/>
      <c r="H791" s="177" t="n"/>
      <c r="I791" s="177" t="n"/>
      <c r="J791" s="177" t="n"/>
      <c r="K791" s="177" t="n"/>
      <c r="L791" s="177" t="n"/>
      <c r="M791" s="177" t="n"/>
      <c r="N791" s="177" t="n"/>
      <c r="O791" s="177" t="n"/>
      <c r="P791" s="177" t="n"/>
      <c r="Q791" s="177" t="n"/>
      <c r="R791" s="177" t="n"/>
      <c r="S791" s="177" t="n"/>
      <c r="T791" s="177" t="n"/>
      <c r="U791" s="177" t="n"/>
      <c r="V791" s="177" t="n"/>
      <c r="W791" s="177" t="n"/>
      <c r="X791" s="177" t="n"/>
      <c r="Y791" s="177" t="n"/>
    </row>
    <row r="792">
      <c r="A792" s="177" t="n"/>
      <c r="B792" s="177" t="n"/>
      <c r="C792" s="177" t="n"/>
      <c r="D792" s="177" t="n"/>
      <c r="E792" s="177" t="n"/>
      <c r="F792" s="177" t="n"/>
      <c r="G792" s="177" t="n"/>
      <c r="H792" s="177" t="n"/>
      <c r="I792" s="177" t="n"/>
      <c r="J792" s="177" t="n"/>
      <c r="K792" s="177" t="n"/>
      <c r="L792" s="177" t="n"/>
      <c r="M792" s="177" t="n"/>
      <c r="N792" s="177" t="n"/>
      <c r="O792" s="177" t="n"/>
      <c r="P792" s="177" t="n"/>
      <c r="Q792" s="177" t="n"/>
      <c r="R792" s="177" t="n"/>
      <c r="S792" s="177" t="n"/>
      <c r="T792" s="177" t="n"/>
      <c r="U792" s="177" t="n"/>
      <c r="V792" s="177" t="n"/>
      <c r="W792" s="177" t="n"/>
      <c r="X792" s="177" t="n"/>
      <c r="Y792" s="177" t="n"/>
    </row>
    <row r="793">
      <c r="A793" s="177" t="n"/>
      <c r="B793" s="177" t="n"/>
      <c r="C793" s="177" t="n"/>
      <c r="D793" s="177" t="n"/>
      <c r="E793" s="177" t="n"/>
      <c r="F793" s="177" t="n"/>
      <c r="G793" s="177" t="n"/>
      <c r="H793" s="177" t="n"/>
      <c r="I793" s="177" t="n"/>
      <c r="J793" s="177" t="n"/>
      <c r="K793" s="177" t="n"/>
      <c r="L793" s="177" t="n"/>
      <c r="M793" s="177" t="n"/>
      <c r="N793" s="177" t="n"/>
      <c r="O793" s="177" t="n"/>
      <c r="P793" s="177" t="n"/>
      <c r="Q793" s="177" t="n"/>
      <c r="R793" s="177" t="n"/>
      <c r="S793" s="177" t="n"/>
      <c r="T793" s="177" t="n"/>
      <c r="U793" s="177" t="n"/>
      <c r="V793" s="177" t="n"/>
      <c r="W793" s="177" t="n"/>
      <c r="X793" s="177" t="n"/>
      <c r="Y793" s="177" t="n"/>
    </row>
    <row r="794">
      <c r="A794" s="177" t="n"/>
      <c r="B794" s="177" t="n"/>
      <c r="C794" s="177" t="n"/>
      <c r="D794" s="177" t="n"/>
      <c r="E794" s="177" t="n"/>
      <c r="F794" s="177" t="n"/>
      <c r="G794" s="177" t="n"/>
      <c r="H794" s="177" t="n"/>
      <c r="I794" s="177" t="n"/>
      <c r="J794" s="177" t="n"/>
      <c r="K794" s="177" t="n"/>
      <c r="L794" s="177" t="n"/>
      <c r="M794" s="177" t="n"/>
      <c r="N794" s="177" t="n"/>
      <c r="O794" s="177" t="n"/>
      <c r="P794" s="177" t="n"/>
      <c r="Q794" s="177" t="n"/>
      <c r="R794" s="177" t="n"/>
      <c r="S794" s="177" t="n"/>
      <c r="T794" s="177" t="n"/>
      <c r="U794" s="177" t="n"/>
      <c r="V794" s="177" t="n"/>
      <c r="W794" s="177" t="n"/>
      <c r="X794" s="177" t="n"/>
      <c r="Y794" s="177" t="n"/>
    </row>
    <row r="795">
      <c r="A795" s="177" t="n"/>
      <c r="B795" s="177" t="n"/>
      <c r="C795" s="177" t="n"/>
      <c r="D795" s="177" t="n"/>
      <c r="E795" s="177" t="n"/>
      <c r="F795" s="177" t="n"/>
      <c r="G795" s="177" t="n"/>
      <c r="H795" s="177" t="n"/>
      <c r="I795" s="177" t="n"/>
      <c r="J795" s="177" t="n"/>
      <c r="K795" s="177" t="n"/>
      <c r="L795" s="177" t="n"/>
      <c r="M795" s="177" t="n"/>
      <c r="N795" s="177" t="n"/>
      <c r="O795" s="177" t="n"/>
      <c r="P795" s="177" t="n"/>
      <c r="Q795" s="177" t="n"/>
      <c r="R795" s="177" t="n"/>
      <c r="S795" s="177" t="n"/>
      <c r="T795" s="177" t="n"/>
      <c r="U795" s="177" t="n"/>
      <c r="V795" s="177" t="n"/>
      <c r="W795" s="177" t="n"/>
      <c r="X795" s="177" t="n"/>
      <c r="Y795" s="177" t="n"/>
    </row>
    <row r="796">
      <c r="A796" s="177" t="n"/>
      <c r="B796" s="177" t="n"/>
      <c r="C796" s="177" t="n"/>
      <c r="D796" s="177" t="n"/>
      <c r="E796" s="177" t="n"/>
      <c r="F796" s="177" t="n"/>
      <c r="G796" s="177" t="n"/>
      <c r="H796" s="177" t="n"/>
      <c r="I796" s="177" t="n"/>
      <c r="J796" s="177" t="n"/>
      <c r="K796" s="177" t="n"/>
      <c r="L796" s="177" t="n"/>
      <c r="M796" s="177" t="n"/>
      <c r="N796" s="177" t="n"/>
      <c r="O796" s="177" t="n"/>
      <c r="P796" s="177" t="n"/>
      <c r="Q796" s="177" t="n"/>
      <c r="R796" s="177" t="n"/>
      <c r="S796" s="177" t="n"/>
      <c r="T796" s="177" t="n"/>
      <c r="U796" s="177" t="n"/>
      <c r="V796" s="177" t="n"/>
      <c r="W796" s="177" t="n"/>
      <c r="X796" s="177" t="n"/>
      <c r="Y796" s="177" t="n"/>
    </row>
    <row r="797">
      <c r="A797" s="177" t="n"/>
      <c r="B797" s="177" t="n"/>
      <c r="C797" s="177" t="n"/>
      <c r="D797" s="177" t="n"/>
      <c r="E797" s="177" t="n"/>
      <c r="F797" s="177" t="n"/>
      <c r="G797" s="177" t="n"/>
      <c r="H797" s="177" t="n"/>
      <c r="I797" s="177" t="n"/>
      <c r="J797" s="177" t="n"/>
      <c r="K797" s="177" t="n"/>
      <c r="L797" s="177" t="n"/>
      <c r="M797" s="177" t="n"/>
      <c r="N797" s="177" t="n"/>
      <c r="O797" s="177" t="n"/>
      <c r="P797" s="177" t="n"/>
      <c r="Q797" s="177" t="n"/>
      <c r="R797" s="177" t="n"/>
      <c r="S797" s="177" t="n"/>
      <c r="T797" s="177" t="n"/>
      <c r="U797" s="177" t="n"/>
      <c r="V797" s="177" t="n"/>
      <c r="W797" s="177" t="n"/>
      <c r="X797" s="177" t="n"/>
      <c r="Y797" s="177" t="n"/>
    </row>
    <row r="798">
      <c r="A798" s="177" t="n"/>
      <c r="B798" s="177" t="n"/>
      <c r="C798" s="177" t="n"/>
      <c r="D798" s="177" t="n"/>
      <c r="E798" s="177" t="n"/>
      <c r="F798" s="177" t="n"/>
      <c r="G798" s="177" t="n"/>
      <c r="H798" s="177" t="n"/>
      <c r="I798" s="177" t="n"/>
      <c r="J798" s="177" t="n"/>
      <c r="K798" s="177" t="n"/>
      <c r="L798" s="177" t="n"/>
      <c r="M798" s="177" t="n"/>
      <c r="N798" s="177" t="n"/>
      <c r="O798" s="177" t="n"/>
      <c r="P798" s="177" t="n"/>
      <c r="Q798" s="177" t="n"/>
      <c r="R798" s="177" t="n"/>
      <c r="S798" s="177" t="n"/>
      <c r="T798" s="177" t="n"/>
      <c r="U798" s="177" t="n"/>
      <c r="V798" s="177" t="n"/>
      <c r="W798" s="177" t="n"/>
      <c r="X798" s="177" t="n"/>
      <c r="Y798" s="177" t="n"/>
    </row>
    <row r="799">
      <c r="A799" s="177" t="n"/>
      <c r="B799" s="177" t="n"/>
      <c r="C799" s="177" t="n"/>
      <c r="D799" s="177" t="n"/>
      <c r="E799" s="177" t="n"/>
      <c r="F799" s="177" t="n"/>
      <c r="G799" s="177" t="n"/>
      <c r="H799" s="177" t="n"/>
      <c r="I799" s="177" t="n"/>
      <c r="J799" s="177" t="n"/>
      <c r="K799" s="177" t="n"/>
      <c r="L799" s="177" t="n"/>
      <c r="M799" s="177" t="n"/>
      <c r="N799" s="177" t="n"/>
      <c r="O799" s="177" t="n"/>
      <c r="P799" s="177" t="n"/>
      <c r="Q799" s="177" t="n"/>
      <c r="R799" s="177" t="n"/>
      <c r="S799" s="177" t="n"/>
      <c r="T799" s="177" t="n"/>
      <c r="U799" s="177" t="n"/>
      <c r="V799" s="177" t="n"/>
      <c r="W799" s="177" t="n"/>
      <c r="X799" s="177" t="n"/>
      <c r="Y799" s="177" t="n"/>
    </row>
    <row r="800">
      <c r="A800" s="177" t="n"/>
      <c r="B800" s="177" t="n"/>
      <c r="C800" s="177" t="n"/>
      <c r="D800" s="177" t="n"/>
      <c r="E800" s="177" t="n"/>
      <c r="F800" s="177" t="n"/>
      <c r="G800" s="177" t="n"/>
      <c r="H800" s="177" t="n"/>
      <c r="I800" s="177" t="n"/>
      <c r="J800" s="177" t="n"/>
      <c r="K800" s="177" t="n"/>
      <c r="L800" s="177" t="n"/>
      <c r="M800" s="177" t="n"/>
      <c r="N800" s="177" t="n"/>
      <c r="O800" s="177" t="n"/>
      <c r="P800" s="177" t="n"/>
      <c r="Q800" s="177" t="n"/>
      <c r="R800" s="177" t="n"/>
      <c r="S800" s="177" t="n"/>
      <c r="T800" s="177" t="n"/>
      <c r="U800" s="177" t="n"/>
      <c r="V800" s="177" t="n"/>
      <c r="W800" s="177" t="n"/>
      <c r="X800" s="177" t="n"/>
      <c r="Y800" s="177" t="n"/>
    </row>
    <row r="801">
      <c r="A801" s="177" t="n"/>
      <c r="B801" s="177" t="n"/>
      <c r="C801" s="177" t="n"/>
      <c r="D801" s="177" t="n"/>
      <c r="E801" s="177" t="n"/>
      <c r="F801" s="177" t="n"/>
      <c r="G801" s="177" t="n"/>
      <c r="H801" s="177" t="n"/>
      <c r="I801" s="177" t="n"/>
      <c r="J801" s="177" t="n"/>
      <c r="K801" s="177" t="n"/>
      <c r="L801" s="177" t="n"/>
      <c r="M801" s="177" t="n"/>
      <c r="N801" s="177" t="n"/>
      <c r="O801" s="177" t="n"/>
      <c r="P801" s="177" t="n"/>
      <c r="Q801" s="177" t="n"/>
      <c r="R801" s="177" t="n"/>
      <c r="S801" s="177" t="n"/>
      <c r="T801" s="177" t="n"/>
      <c r="U801" s="177" t="n"/>
      <c r="V801" s="177" t="n"/>
      <c r="W801" s="177" t="n"/>
      <c r="X801" s="177" t="n"/>
      <c r="Y801" s="177" t="n"/>
    </row>
    <row r="802">
      <c r="A802" s="177" t="n"/>
      <c r="B802" s="177" t="n"/>
      <c r="C802" s="177" t="n"/>
      <c r="D802" s="177" t="n"/>
      <c r="E802" s="177" t="n"/>
      <c r="F802" s="177" t="n"/>
      <c r="G802" s="177" t="n"/>
      <c r="H802" s="177" t="n"/>
      <c r="I802" s="177" t="n"/>
      <c r="J802" s="177" t="n"/>
      <c r="K802" s="177" t="n"/>
      <c r="L802" s="177" t="n"/>
      <c r="M802" s="177" t="n"/>
      <c r="N802" s="177" t="n"/>
      <c r="O802" s="177" t="n"/>
      <c r="P802" s="177" t="n"/>
      <c r="Q802" s="177" t="n"/>
      <c r="R802" s="177" t="n"/>
      <c r="S802" s="177" t="n"/>
      <c r="T802" s="177" t="n"/>
      <c r="U802" s="177" t="n"/>
      <c r="V802" s="177" t="n"/>
      <c r="W802" s="177" t="n"/>
      <c r="X802" s="177" t="n"/>
      <c r="Y802" s="177" t="n"/>
    </row>
    <row r="803">
      <c r="A803" s="177" t="n"/>
      <c r="B803" s="177" t="n"/>
      <c r="C803" s="177" t="n"/>
      <c r="D803" s="177" t="n"/>
      <c r="E803" s="177" t="n"/>
      <c r="F803" s="177" t="n"/>
      <c r="G803" s="177" t="n"/>
      <c r="H803" s="177" t="n"/>
      <c r="I803" s="177" t="n"/>
      <c r="J803" s="177" t="n"/>
      <c r="K803" s="177" t="n"/>
      <c r="L803" s="177" t="n"/>
      <c r="M803" s="177" t="n"/>
      <c r="N803" s="177" t="n"/>
      <c r="O803" s="177" t="n"/>
      <c r="P803" s="177" t="n"/>
      <c r="Q803" s="177" t="n"/>
      <c r="R803" s="177" t="n"/>
      <c r="S803" s="177" t="n"/>
      <c r="T803" s="177" t="n"/>
      <c r="U803" s="177" t="n"/>
      <c r="V803" s="177" t="n"/>
      <c r="W803" s="177" t="n"/>
      <c r="X803" s="177" t="n"/>
      <c r="Y803" s="177" t="n"/>
    </row>
    <row r="804">
      <c r="A804" s="177" t="n"/>
      <c r="B804" s="177" t="n"/>
      <c r="C804" s="177" t="n"/>
      <c r="D804" s="177" t="n"/>
      <c r="E804" s="177" t="n"/>
      <c r="F804" s="177" t="n"/>
      <c r="G804" s="177" t="n"/>
      <c r="H804" s="177" t="n"/>
      <c r="I804" s="177" t="n"/>
      <c r="J804" s="177" t="n"/>
      <c r="K804" s="177" t="n"/>
      <c r="L804" s="177" t="n"/>
      <c r="M804" s="177" t="n"/>
      <c r="N804" s="177" t="n"/>
      <c r="O804" s="177" t="n"/>
      <c r="P804" s="177" t="n"/>
      <c r="Q804" s="177" t="n"/>
      <c r="R804" s="177" t="n"/>
      <c r="S804" s="177" t="n"/>
      <c r="T804" s="177" t="n"/>
      <c r="U804" s="177" t="n"/>
      <c r="V804" s="177" t="n"/>
      <c r="W804" s="177" t="n"/>
      <c r="X804" s="177" t="n"/>
      <c r="Y804" s="177" t="n"/>
    </row>
    <row r="805">
      <c r="A805" s="177" t="n"/>
      <c r="B805" s="177" t="n"/>
      <c r="C805" s="177" t="n"/>
      <c r="D805" s="177" t="n"/>
      <c r="E805" s="177" t="n"/>
      <c r="F805" s="177" t="n"/>
      <c r="G805" s="177" t="n"/>
      <c r="H805" s="177" t="n"/>
      <c r="I805" s="177" t="n"/>
      <c r="J805" s="177" t="n"/>
      <c r="K805" s="177" t="n"/>
      <c r="L805" s="177" t="n"/>
      <c r="M805" s="177" t="n"/>
      <c r="N805" s="177" t="n"/>
      <c r="O805" s="177" t="n"/>
      <c r="P805" s="177" t="n"/>
      <c r="Q805" s="177" t="n"/>
      <c r="R805" s="177" t="n"/>
      <c r="S805" s="177" t="n"/>
      <c r="T805" s="177" t="n"/>
      <c r="U805" s="177" t="n"/>
      <c r="V805" s="177" t="n"/>
      <c r="W805" s="177" t="n"/>
      <c r="X805" s="177" t="n"/>
      <c r="Y805" s="177" t="n"/>
    </row>
    <row r="806">
      <c r="A806" s="177" t="n"/>
      <c r="B806" s="177" t="n"/>
      <c r="C806" s="177" t="n"/>
      <c r="D806" s="177" t="n"/>
      <c r="E806" s="177" t="n"/>
      <c r="F806" s="177" t="n"/>
      <c r="G806" s="177" t="n"/>
      <c r="H806" s="177" t="n"/>
      <c r="I806" s="177" t="n"/>
      <c r="J806" s="177" t="n"/>
      <c r="K806" s="177" t="n"/>
      <c r="L806" s="177" t="n"/>
      <c r="M806" s="177" t="n"/>
      <c r="N806" s="177" t="n"/>
      <c r="O806" s="177" t="n"/>
      <c r="P806" s="177" t="n"/>
      <c r="Q806" s="177" t="n"/>
      <c r="R806" s="177" t="n"/>
      <c r="S806" s="177" t="n"/>
      <c r="T806" s="177" t="n"/>
      <c r="U806" s="177" t="n"/>
      <c r="V806" s="177" t="n"/>
      <c r="W806" s="177" t="n"/>
      <c r="X806" s="177" t="n"/>
      <c r="Y806" s="177" t="n"/>
    </row>
    <row r="807">
      <c r="A807" s="177" t="n"/>
      <c r="B807" s="177" t="n"/>
      <c r="C807" s="177" t="n"/>
      <c r="D807" s="177" t="n"/>
      <c r="E807" s="177" t="n"/>
      <c r="F807" s="177" t="n"/>
      <c r="G807" s="177" t="n"/>
      <c r="H807" s="177" t="n"/>
      <c r="I807" s="177" t="n"/>
      <c r="J807" s="177" t="n"/>
      <c r="K807" s="177" t="n"/>
      <c r="L807" s="177" t="n"/>
      <c r="M807" s="177" t="n"/>
      <c r="N807" s="177" t="n"/>
      <c r="O807" s="177" t="n"/>
      <c r="P807" s="177" t="n"/>
      <c r="Q807" s="177" t="n"/>
      <c r="R807" s="177" t="n"/>
      <c r="S807" s="177" t="n"/>
      <c r="T807" s="177" t="n"/>
      <c r="U807" s="177" t="n"/>
      <c r="V807" s="177" t="n"/>
      <c r="W807" s="177" t="n"/>
      <c r="X807" s="177" t="n"/>
      <c r="Y807" s="177" t="n"/>
    </row>
    <row r="808">
      <c r="A808" s="177" t="n"/>
      <c r="B808" s="177" t="n"/>
      <c r="C808" s="177" t="n"/>
      <c r="D808" s="177" t="n"/>
      <c r="E808" s="177" t="n"/>
      <c r="F808" s="177" t="n"/>
      <c r="G808" s="177" t="n"/>
      <c r="H808" s="177" t="n"/>
      <c r="I808" s="177" t="n"/>
      <c r="J808" s="177" t="n"/>
      <c r="K808" s="177" t="n"/>
      <c r="L808" s="177" t="n"/>
      <c r="M808" s="177" t="n"/>
      <c r="N808" s="177" t="n"/>
      <c r="O808" s="177" t="n"/>
      <c r="P808" s="177" t="n"/>
      <c r="Q808" s="177" t="n"/>
      <c r="R808" s="177" t="n"/>
      <c r="S808" s="177" t="n"/>
      <c r="T808" s="177" t="n"/>
      <c r="U808" s="177" t="n"/>
      <c r="V808" s="177" t="n"/>
      <c r="W808" s="177" t="n"/>
      <c r="X808" s="177" t="n"/>
      <c r="Y808" s="177" t="n"/>
    </row>
    <row r="809">
      <c r="A809" s="177" t="n"/>
      <c r="B809" s="177" t="n"/>
      <c r="C809" s="177" t="n"/>
      <c r="D809" s="177" t="n"/>
      <c r="E809" s="177" t="n"/>
      <c r="F809" s="177" t="n"/>
      <c r="G809" s="177" t="n"/>
      <c r="H809" s="177" t="n"/>
      <c r="I809" s="177" t="n"/>
      <c r="J809" s="177" t="n"/>
      <c r="K809" s="177" t="n"/>
      <c r="L809" s="177" t="n"/>
      <c r="M809" s="177" t="n"/>
      <c r="N809" s="177" t="n"/>
      <c r="O809" s="177" t="n"/>
      <c r="P809" s="177" t="n"/>
      <c r="Q809" s="177" t="n"/>
      <c r="R809" s="177" t="n"/>
      <c r="S809" s="177" t="n"/>
      <c r="T809" s="177" t="n"/>
      <c r="U809" s="177" t="n"/>
      <c r="V809" s="177" t="n"/>
      <c r="W809" s="177" t="n"/>
      <c r="X809" s="177" t="n"/>
      <c r="Y809" s="177" t="n"/>
    </row>
    <row r="810">
      <c r="A810" s="177" t="n"/>
      <c r="B810" s="177" t="n"/>
      <c r="C810" s="177" t="n"/>
      <c r="D810" s="177" t="n"/>
      <c r="E810" s="177" t="n"/>
      <c r="F810" s="177" t="n"/>
      <c r="G810" s="177" t="n"/>
      <c r="H810" s="177" t="n"/>
      <c r="I810" s="177" t="n"/>
      <c r="J810" s="177" t="n"/>
      <c r="K810" s="177" t="n"/>
      <c r="L810" s="177" t="n"/>
      <c r="M810" s="177" t="n"/>
      <c r="N810" s="177" t="n"/>
      <c r="O810" s="177" t="n"/>
      <c r="P810" s="177" t="n"/>
      <c r="Q810" s="177" t="n"/>
      <c r="R810" s="177" t="n"/>
      <c r="S810" s="177" t="n"/>
      <c r="T810" s="177" t="n"/>
      <c r="U810" s="177" t="n"/>
      <c r="V810" s="177" t="n"/>
      <c r="W810" s="177" t="n"/>
      <c r="X810" s="177" t="n"/>
      <c r="Y810" s="177" t="n"/>
    </row>
    <row r="811">
      <c r="A811" s="177" t="n"/>
      <c r="B811" s="177" t="n"/>
      <c r="C811" s="177" t="n"/>
      <c r="D811" s="177" t="n"/>
      <c r="E811" s="177" t="n"/>
      <c r="F811" s="177" t="n"/>
      <c r="G811" s="177" t="n"/>
      <c r="H811" s="177" t="n"/>
      <c r="I811" s="177" t="n"/>
      <c r="J811" s="177" t="n"/>
      <c r="K811" s="177" t="n"/>
      <c r="L811" s="177" t="n"/>
      <c r="M811" s="177" t="n"/>
      <c r="N811" s="177" t="n"/>
      <c r="O811" s="177" t="n"/>
      <c r="P811" s="177" t="n"/>
      <c r="Q811" s="177" t="n"/>
      <c r="R811" s="177" t="n"/>
      <c r="S811" s="177" t="n"/>
      <c r="T811" s="177" t="n"/>
      <c r="U811" s="177" t="n"/>
      <c r="V811" s="177" t="n"/>
      <c r="W811" s="177" t="n"/>
      <c r="X811" s="177" t="n"/>
      <c r="Y811" s="177" t="n"/>
    </row>
    <row r="812">
      <c r="A812" s="177" t="n"/>
      <c r="B812" s="177" t="n"/>
      <c r="C812" s="177" t="n"/>
      <c r="D812" s="177" t="n"/>
      <c r="E812" s="177" t="n"/>
      <c r="F812" s="177" t="n"/>
      <c r="G812" s="177" t="n"/>
      <c r="H812" s="177" t="n"/>
      <c r="I812" s="177" t="n"/>
      <c r="J812" s="177" t="n"/>
      <c r="K812" s="177" t="n"/>
      <c r="L812" s="177" t="n"/>
      <c r="M812" s="177" t="n"/>
      <c r="N812" s="177" t="n"/>
      <c r="O812" s="177" t="n"/>
      <c r="P812" s="177" t="n"/>
      <c r="Q812" s="177" t="n"/>
      <c r="R812" s="177" t="n"/>
      <c r="S812" s="177" t="n"/>
      <c r="T812" s="177" t="n"/>
      <c r="U812" s="177" t="n"/>
      <c r="V812" s="177" t="n"/>
      <c r="W812" s="177" t="n"/>
      <c r="X812" s="177" t="n"/>
      <c r="Y812" s="177" t="n"/>
    </row>
    <row r="813">
      <c r="A813" s="177" t="n"/>
      <c r="B813" s="177" t="n"/>
      <c r="C813" s="177" t="n"/>
      <c r="D813" s="177" t="n"/>
      <c r="E813" s="177" t="n"/>
      <c r="F813" s="177" t="n"/>
      <c r="G813" s="177" t="n"/>
      <c r="H813" s="177" t="n"/>
      <c r="I813" s="177" t="n"/>
      <c r="J813" s="177" t="n"/>
      <c r="K813" s="177" t="n"/>
      <c r="L813" s="177" t="n"/>
      <c r="M813" s="177" t="n"/>
      <c r="N813" s="177" t="n"/>
      <c r="O813" s="177" t="n"/>
      <c r="P813" s="177" t="n"/>
      <c r="Q813" s="177" t="n"/>
      <c r="R813" s="177" t="n"/>
      <c r="S813" s="177" t="n"/>
      <c r="T813" s="177" t="n"/>
      <c r="U813" s="177" t="n"/>
      <c r="V813" s="177" t="n"/>
      <c r="W813" s="177" t="n"/>
      <c r="X813" s="177" t="n"/>
      <c r="Y813" s="177" t="n"/>
    </row>
    <row r="814">
      <c r="A814" s="177" t="n"/>
      <c r="B814" s="177" t="n"/>
      <c r="C814" s="177" t="n"/>
      <c r="D814" s="177" t="n"/>
      <c r="E814" s="177" t="n"/>
      <c r="F814" s="177" t="n"/>
      <c r="G814" s="177" t="n"/>
      <c r="H814" s="177" t="n"/>
      <c r="I814" s="177" t="n"/>
      <c r="J814" s="177" t="n"/>
      <c r="K814" s="177" t="n"/>
      <c r="L814" s="177" t="n"/>
      <c r="M814" s="177" t="n"/>
      <c r="N814" s="177" t="n"/>
      <c r="O814" s="177" t="n"/>
      <c r="P814" s="177" t="n"/>
      <c r="Q814" s="177" t="n"/>
      <c r="R814" s="177" t="n"/>
      <c r="S814" s="177" t="n"/>
      <c r="T814" s="177" t="n"/>
      <c r="U814" s="177" t="n"/>
      <c r="V814" s="177" t="n"/>
      <c r="W814" s="177" t="n"/>
      <c r="X814" s="177" t="n"/>
      <c r="Y814" s="177" t="n"/>
    </row>
    <row r="815">
      <c r="A815" s="177" t="n"/>
      <c r="B815" s="177" t="n"/>
      <c r="C815" s="177" t="n"/>
      <c r="D815" s="177" t="n"/>
      <c r="E815" s="177" t="n"/>
      <c r="F815" s="177" t="n"/>
      <c r="G815" s="177" t="n"/>
      <c r="H815" s="177" t="n"/>
      <c r="I815" s="177" t="n"/>
      <c r="J815" s="177" t="n"/>
      <c r="K815" s="177" t="n"/>
      <c r="L815" s="177" t="n"/>
      <c r="M815" s="177" t="n"/>
      <c r="N815" s="177" t="n"/>
      <c r="O815" s="177" t="n"/>
      <c r="P815" s="177" t="n"/>
      <c r="Q815" s="177" t="n"/>
      <c r="R815" s="177" t="n"/>
      <c r="S815" s="177" t="n"/>
      <c r="T815" s="177" t="n"/>
      <c r="U815" s="177" t="n"/>
      <c r="V815" s="177" t="n"/>
      <c r="W815" s="177" t="n"/>
      <c r="X815" s="177" t="n"/>
      <c r="Y815" s="177" t="n"/>
    </row>
    <row r="816">
      <c r="A816" s="177" t="n"/>
      <c r="B816" s="177" t="n"/>
      <c r="C816" s="177" t="n"/>
      <c r="D816" s="177" t="n"/>
      <c r="E816" s="177" t="n"/>
      <c r="F816" s="177" t="n"/>
      <c r="G816" s="177" t="n"/>
      <c r="H816" s="177" t="n"/>
      <c r="I816" s="177" t="n"/>
      <c r="J816" s="177" t="n"/>
      <c r="K816" s="177" t="n"/>
      <c r="L816" s="177" t="n"/>
      <c r="M816" s="177" t="n"/>
      <c r="N816" s="177" t="n"/>
      <c r="O816" s="177" t="n"/>
      <c r="P816" s="177" t="n"/>
      <c r="Q816" s="177" t="n"/>
      <c r="R816" s="177" t="n"/>
      <c r="S816" s="177" t="n"/>
      <c r="T816" s="177" t="n"/>
      <c r="U816" s="177" t="n"/>
      <c r="V816" s="177" t="n"/>
      <c r="W816" s="177" t="n"/>
      <c r="X816" s="177" t="n"/>
      <c r="Y816" s="177" t="n"/>
    </row>
    <row r="817">
      <c r="A817" s="177" t="n"/>
      <c r="B817" s="177" t="n"/>
      <c r="C817" s="177" t="n"/>
      <c r="D817" s="177" t="n"/>
      <c r="E817" s="177" t="n"/>
      <c r="F817" s="177" t="n"/>
      <c r="G817" s="177" t="n"/>
      <c r="H817" s="177" t="n"/>
      <c r="I817" s="177" t="n"/>
      <c r="J817" s="177" t="n"/>
      <c r="K817" s="177" t="n"/>
      <c r="L817" s="177" t="n"/>
      <c r="M817" s="177" t="n"/>
      <c r="N817" s="177" t="n"/>
      <c r="O817" s="177" t="n"/>
      <c r="P817" s="177" t="n"/>
      <c r="Q817" s="177" t="n"/>
      <c r="R817" s="177" t="n"/>
      <c r="S817" s="177" t="n"/>
      <c r="T817" s="177" t="n"/>
      <c r="U817" s="177" t="n"/>
      <c r="V817" s="177" t="n"/>
      <c r="W817" s="177" t="n"/>
      <c r="X817" s="177" t="n"/>
      <c r="Y817" s="177" t="n"/>
    </row>
    <row r="818">
      <c r="A818" s="177" t="n"/>
      <c r="B818" s="177" t="n"/>
      <c r="C818" s="177" t="n"/>
      <c r="D818" s="177" t="n"/>
      <c r="E818" s="177" t="n"/>
      <c r="F818" s="177" t="n"/>
      <c r="G818" s="177" t="n"/>
      <c r="H818" s="177" t="n"/>
      <c r="I818" s="177" t="n"/>
      <c r="J818" s="177" t="n"/>
      <c r="K818" s="177" t="n"/>
      <c r="L818" s="177" t="n"/>
      <c r="M818" s="177" t="n"/>
      <c r="N818" s="177" t="n"/>
      <c r="O818" s="177" t="n"/>
      <c r="P818" s="177" t="n"/>
      <c r="Q818" s="177" t="n"/>
      <c r="R818" s="177" t="n"/>
      <c r="S818" s="177" t="n"/>
      <c r="T818" s="177" t="n"/>
      <c r="U818" s="177" t="n"/>
      <c r="V818" s="177" t="n"/>
      <c r="W818" s="177" t="n"/>
      <c r="X818" s="177" t="n"/>
      <c r="Y818" s="177" t="n"/>
    </row>
    <row r="819">
      <c r="A819" s="177" t="n"/>
      <c r="B819" s="177" t="n"/>
      <c r="C819" s="177" t="n"/>
      <c r="D819" s="177" t="n"/>
      <c r="E819" s="177" t="n"/>
      <c r="F819" s="177" t="n"/>
      <c r="G819" s="177" t="n"/>
      <c r="H819" s="177" t="n"/>
      <c r="I819" s="177" t="n"/>
      <c r="J819" s="177" t="n"/>
      <c r="K819" s="177" t="n"/>
      <c r="L819" s="177" t="n"/>
      <c r="M819" s="177" t="n"/>
      <c r="N819" s="177" t="n"/>
      <c r="O819" s="177" t="n"/>
      <c r="P819" s="177" t="n"/>
      <c r="Q819" s="177" t="n"/>
      <c r="R819" s="177" t="n"/>
      <c r="S819" s="177" t="n"/>
      <c r="T819" s="177" t="n"/>
      <c r="U819" s="177" t="n"/>
      <c r="V819" s="177" t="n"/>
      <c r="W819" s="177" t="n"/>
      <c r="X819" s="177" t="n"/>
      <c r="Y819" s="177" t="n"/>
    </row>
    <row r="820">
      <c r="A820" s="177" t="n"/>
      <c r="B820" s="177" t="n"/>
      <c r="C820" s="177" t="n"/>
      <c r="D820" s="177" t="n"/>
      <c r="E820" s="177" t="n"/>
      <c r="F820" s="177" t="n"/>
      <c r="G820" s="177" t="n"/>
      <c r="H820" s="177" t="n"/>
      <c r="I820" s="177" t="n"/>
      <c r="J820" s="177" t="n"/>
      <c r="K820" s="177" t="n"/>
      <c r="L820" s="177" t="n"/>
      <c r="M820" s="177" t="n"/>
      <c r="N820" s="177" t="n"/>
      <c r="O820" s="177" t="n"/>
      <c r="P820" s="177" t="n"/>
      <c r="Q820" s="177" t="n"/>
      <c r="R820" s="177" t="n"/>
      <c r="S820" s="177" t="n"/>
      <c r="T820" s="177" t="n"/>
      <c r="U820" s="177" t="n"/>
      <c r="V820" s="177" t="n"/>
      <c r="W820" s="177" t="n"/>
      <c r="X820" s="177" t="n"/>
      <c r="Y820" s="177" t="n"/>
    </row>
    <row r="821">
      <c r="A821" s="177" t="n"/>
      <c r="B821" s="177" t="n"/>
      <c r="C821" s="177" t="n"/>
      <c r="D821" s="177" t="n"/>
      <c r="E821" s="177" t="n"/>
      <c r="F821" s="177" t="n"/>
      <c r="G821" s="177" t="n"/>
      <c r="H821" s="177" t="n"/>
      <c r="I821" s="177" t="n"/>
      <c r="J821" s="177" t="n"/>
      <c r="K821" s="177" t="n"/>
      <c r="L821" s="177" t="n"/>
      <c r="M821" s="177" t="n"/>
      <c r="N821" s="177" t="n"/>
      <c r="O821" s="177" t="n"/>
      <c r="P821" s="177" t="n"/>
      <c r="Q821" s="177" t="n"/>
      <c r="R821" s="177" t="n"/>
      <c r="S821" s="177" t="n"/>
      <c r="T821" s="177" t="n"/>
      <c r="U821" s="177" t="n"/>
      <c r="V821" s="177" t="n"/>
      <c r="W821" s="177" t="n"/>
      <c r="X821" s="177" t="n"/>
      <c r="Y821" s="177" t="n"/>
    </row>
    <row r="822">
      <c r="A822" s="177" t="n"/>
      <c r="B822" s="177" t="n"/>
      <c r="C822" s="177" t="n"/>
      <c r="D822" s="177" t="n"/>
      <c r="E822" s="177" t="n"/>
      <c r="F822" s="177" t="n"/>
      <c r="G822" s="177" t="n"/>
      <c r="H822" s="177" t="n"/>
      <c r="I822" s="177" t="n"/>
      <c r="J822" s="177" t="n"/>
      <c r="K822" s="177" t="n"/>
      <c r="L822" s="177" t="n"/>
      <c r="M822" s="177" t="n"/>
      <c r="N822" s="177" t="n"/>
      <c r="O822" s="177" t="n"/>
      <c r="P822" s="177" t="n"/>
      <c r="Q822" s="177" t="n"/>
      <c r="R822" s="177" t="n"/>
      <c r="S822" s="177" t="n"/>
      <c r="T822" s="177" t="n"/>
      <c r="U822" s="177" t="n"/>
      <c r="V822" s="177" t="n"/>
      <c r="W822" s="177" t="n"/>
      <c r="X822" s="177" t="n"/>
      <c r="Y822" s="177" t="n"/>
    </row>
    <row r="823">
      <c r="A823" s="177" t="n"/>
      <c r="B823" s="177" t="n"/>
      <c r="C823" s="177" t="n"/>
      <c r="D823" s="177" t="n"/>
      <c r="E823" s="177" t="n"/>
      <c r="F823" s="177" t="n"/>
      <c r="G823" s="177" t="n"/>
      <c r="H823" s="177" t="n"/>
      <c r="I823" s="177" t="n"/>
      <c r="J823" s="177" t="n"/>
      <c r="K823" s="177" t="n"/>
      <c r="L823" s="177" t="n"/>
      <c r="M823" s="177" t="n"/>
      <c r="N823" s="177" t="n"/>
      <c r="O823" s="177" t="n"/>
      <c r="P823" s="177" t="n"/>
      <c r="Q823" s="177" t="n"/>
      <c r="R823" s="177" t="n"/>
      <c r="S823" s="177" t="n"/>
      <c r="T823" s="177" t="n"/>
      <c r="U823" s="177" t="n"/>
      <c r="V823" s="177" t="n"/>
      <c r="W823" s="177" t="n"/>
      <c r="X823" s="177" t="n"/>
      <c r="Y823" s="177" t="n"/>
    </row>
    <row r="824">
      <c r="A824" s="177" t="n"/>
      <c r="B824" s="177" t="n"/>
      <c r="C824" s="177" t="n"/>
      <c r="D824" s="177" t="n"/>
      <c r="E824" s="177" t="n"/>
      <c r="F824" s="177" t="n"/>
      <c r="G824" s="177" t="n"/>
      <c r="H824" s="177" t="n"/>
      <c r="I824" s="177" t="n"/>
      <c r="J824" s="177" t="n"/>
      <c r="K824" s="177" t="n"/>
      <c r="L824" s="177" t="n"/>
      <c r="M824" s="177" t="n"/>
      <c r="N824" s="177" t="n"/>
      <c r="O824" s="177" t="n"/>
      <c r="P824" s="177" t="n"/>
      <c r="Q824" s="177" t="n"/>
      <c r="R824" s="177" t="n"/>
      <c r="S824" s="177" t="n"/>
      <c r="T824" s="177" t="n"/>
      <c r="U824" s="177" t="n"/>
      <c r="V824" s="177" t="n"/>
      <c r="W824" s="177" t="n"/>
      <c r="X824" s="177" t="n"/>
      <c r="Y824" s="177" t="n"/>
    </row>
    <row r="825">
      <c r="A825" s="177" t="n"/>
      <c r="B825" s="177" t="n"/>
      <c r="C825" s="177" t="n"/>
      <c r="D825" s="177" t="n"/>
      <c r="E825" s="177" t="n"/>
      <c r="F825" s="177" t="n"/>
      <c r="G825" s="177" t="n"/>
      <c r="H825" s="177" t="n"/>
      <c r="I825" s="177" t="n"/>
      <c r="J825" s="177" t="n"/>
      <c r="K825" s="177" t="n"/>
      <c r="L825" s="177" t="n"/>
      <c r="M825" s="177" t="n"/>
      <c r="N825" s="177" t="n"/>
      <c r="O825" s="177" t="n"/>
      <c r="P825" s="177" t="n"/>
      <c r="Q825" s="177" t="n"/>
      <c r="R825" s="177" t="n"/>
      <c r="S825" s="177" t="n"/>
      <c r="T825" s="177" t="n"/>
      <c r="U825" s="177" t="n"/>
      <c r="V825" s="177" t="n"/>
      <c r="W825" s="177" t="n"/>
      <c r="X825" s="177" t="n"/>
      <c r="Y825" s="177" t="n"/>
    </row>
    <row r="826">
      <c r="A826" s="177" t="n"/>
      <c r="B826" s="177" t="n"/>
      <c r="C826" s="177" t="n"/>
      <c r="D826" s="177" t="n"/>
      <c r="E826" s="177" t="n"/>
      <c r="F826" s="177" t="n"/>
      <c r="G826" s="177" t="n"/>
      <c r="H826" s="177" t="n"/>
      <c r="I826" s="177" t="n"/>
      <c r="J826" s="177" t="n"/>
      <c r="K826" s="177" t="n"/>
      <c r="L826" s="177" t="n"/>
      <c r="M826" s="177" t="n"/>
      <c r="N826" s="177" t="n"/>
      <c r="O826" s="177" t="n"/>
      <c r="P826" s="177" t="n"/>
      <c r="Q826" s="177" t="n"/>
      <c r="R826" s="177" t="n"/>
      <c r="S826" s="177" t="n"/>
      <c r="T826" s="177" t="n"/>
      <c r="U826" s="177" t="n"/>
      <c r="V826" s="177" t="n"/>
      <c r="W826" s="177" t="n"/>
      <c r="X826" s="177" t="n"/>
      <c r="Y826" s="177" t="n"/>
    </row>
    <row r="827">
      <c r="A827" s="177" t="n"/>
      <c r="B827" s="177" t="n"/>
      <c r="C827" s="177" t="n"/>
      <c r="D827" s="177" t="n"/>
      <c r="E827" s="177" t="n"/>
      <c r="F827" s="177" t="n"/>
      <c r="G827" s="177" t="n"/>
      <c r="H827" s="177" t="n"/>
      <c r="I827" s="177" t="n"/>
      <c r="J827" s="177" t="n"/>
      <c r="K827" s="177" t="n"/>
      <c r="L827" s="177" t="n"/>
      <c r="M827" s="177" t="n"/>
      <c r="N827" s="177" t="n"/>
      <c r="O827" s="177" t="n"/>
      <c r="P827" s="177" t="n"/>
      <c r="Q827" s="177" t="n"/>
      <c r="R827" s="177" t="n"/>
      <c r="S827" s="177" t="n"/>
      <c r="T827" s="177" t="n"/>
      <c r="U827" s="177" t="n"/>
      <c r="V827" s="177" t="n"/>
      <c r="W827" s="177" t="n"/>
      <c r="X827" s="177" t="n"/>
      <c r="Y827" s="177" t="n"/>
    </row>
    <row r="828">
      <c r="A828" s="177" t="n"/>
      <c r="B828" s="177" t="n"/>
      <c r="C828" s="177" t="n"/>
      <c r="D828" s="177" t="n"/>
      <c r="E828" s="177" t="n"/>
      <c r="F828" s="177" t="n"/>
      <c r="G828" s="177" t="n"/>
      <c r="H828" s="177" t="n"/>
      <c r="I828" s="177" t="n"/>
      <c r="J828" s="177" t="n"/>
      <c r="K828" s="177" t="n"/>
      <c r="L828" s="177" t="n"/>
      <c r="M828" s="177" t="n"/>
      <c r="N828" s="177" t="n"/>
      <c r="O828" s="177" t="n"/>
      <c r="P828" s="177" t="n"/>
      <c r="Q828" s="177" t="n"/>
      <c r="R828" s="177" t="n"/>
      <c r="S828" s="177" t="n"/>
      <c r="T828" s="177" t="n"/>
      <c r="U828" s="177" t="n"/>
      <c r="V828" s="177" t="n"/>
      <c r="W828" s="177" t="n"/>
      <c r="X828" s="177" t="n"/>
      <c r="Y828" s="177" t="n"/>
    </row>
    <row r="829">
      <c r="A829" s="177" t="n"/>
      <c r="B829" s="177" t="n"/>
      <c r="C829" s="177" t="n"/>
      <c r="D829" s="177" t="n"/>
      <c r="E829" s="177" t="n"/>
      <c r="F829" s="177" t="n"/>
      <c r="G829" s="177" t="n"/>
      <c r="H829" s="177" t="n"/>
      <c r="I829" s="177" t="n"/>
      <c r="J829" s="177" t="n"/>
      <c r="K829" s="177" t="n"/>
      <c r="L829" s="177" t="n"/>
      <c r="M829" s="177" t="n"/>
      <c r="N829" s="177" t="n"/>
      <c r="O829" s="177" t="n"/>
      <c r="P829" s="177" t="n"/>
      <c r="Q829" s="177" t="n"/>
      <c r="R829" s="177" t="n"/>
      <c r="S829" s="177" t="n"/>
      <c r="T829" s="177" t="n"/>
      <c r="U829" s="177" t="n"/>
      <c r="V829" s="177" t="n"/>
      <c r="W829" s="177" t="n"/>
      <c r="X829" s="177" t="n"/>
      <c r="Y829" s="177" t="n"/>
    </row>
    <row r="830">
      <c r="A830" s="177" t="n"/>
      <c r="B830" s="177" t="n"/>
      <c r="C830" s="177" t="n"/>
      <c r="D830" s="177" t="n"/>
      <c r="E830" s="177" t="n"/>
      <c r="F830" s="177" t="n"/>
      <c r="G830" s="177" t="n"/>
      <c r="H830" s="177" t="n"/>
      <c r="I830" s="177" t="n"/>
      <c r="J830" s="177" t="n"/>
      <c r="K830" s="177" t="n"/>
      <c r="L830" s="177" t="n"/>
      <c r="M830" s="177" t="n"/>
      <c r="N830" s="177" t="n"/>
      <c r="O830" s="177" t="n"/>
      <c r="P830" s="177" t="n"/>
      <c r="Q830" s="177" t="n"/>
      <c r="R830" s="177" t="n"/>
      <c r="S830" s="177" t="n"/>
      <c r="T830" s="177" t="n"/>
      <c r="U830" s="177" t="n"/>
      <c r="V830" s="177" t="n"/>
      <c r="W830" s="177" t="n"/>
      <c r="X830" s="177" t="n"/>
      <c r="Y830" s="177" t="n"/>
    </row>
    <row r="831">
      <c r="A831" s="177" t="n"/>
      <c r="B831" s="177" t="n"/>
      <c r="C831" s="177" t="n"/>
      <c r="D831" s="177" t="n"/>
      <c r="E831" s="177" t="n"/>
      <c r="F831" s="177" t="n"/>
      <c r="G831" s="177" t="n"/>
      <c r="H831" s="177" t="n"/>
      <c r="I831" s="177" t="n"/>
      <c r="J831" s="177" t="n"/>
      <c r="K831" s="177" t="n"/>
      <c r="L831" s="177" t="n"/>
      <c r="M831" s="177" t="n"/>
      <c r="N831" s="177" t="n"/>
      <c r="O831" s="177" t="n"/>
      <c r="P831" s="177" t="n"/>
      <c r="Q831" s="177" t="n"/>
      <c r="R831" s="177" t="n"/>
      <c r="S831" s="177" t="n"/>
      <c r="T831" s="177" t="n"/>
      <c r="U831" s="177" t="n"/>
      <c r="V831" s="177" t="n"/>
      <c r="W831" s="177" t="n"/>
      <c r="X831" s="177" t="n"/>
      <c r="Y831" s="177" t="n"/>
    </row>
    <row r="832">
      <c r="A832" s="177" t="n"/>
      <c r="B832" s="177" t="n"/>
      <c r="C832" s="177" t="n"/>
      <c r="D832" s="177" t="n"/>
      <c r="E832" s="177" t="n"/>
      <c r="F832" s="177" t="n"/>
      <c r="G832" s="177" t="n"/>
      <c r="H832" s="177" t="n"/>
      <c r="I832" s="177" t="n"/>
      <c r="J832" s="177" t="n"/>
      <c r="K832" s="177" t="n"/>
      <c r="L832" s="177" t="n"/>
      <c r="M832" s="177" t="n"/>
      <c r="N832" s="177" t="n"/>
      <c r="O832" s="177" t="n"/>
      <c r="P832" s="177" t="n"/>
      <c r="Q832" s="177" t="n"/>
      <c r="R832" s="177" t="n"/>
      <c r="S832" s="177" t="n"/>
      <c r="T832" s="177" t="n"/>
      <c r="U832" s="177" t="n"/>
      <c r="V832" s="177" t="n"/>
      <c r="W832" s="177" t="n"/>
      <c r="X832" s="177" t="n"/>
      <c r="Y832" s="177" t="n"/>
    </row>
    <row r="833">
      <c r="A833" s="177" t="n"/>
      <c r="B833" s="177" t="n"/>
      <c r="C833" s="177" t="n"/>
      <c r="D833" s="177" t="n"/>
      <c r="E833" s="177" t="n"/>
      <c r="F833" s="177" t="n"/>
      <c r="G833" s="177" t="n"/>
      <c r="H833" s="177" t="n"/>
      <c r="I833" s="177" t="n"/>
      <c r="J833" s="177" t="n"/>
      <c r="K833" s="177" t="n"/>
      <c r="L833" s="177" t="n"/>
      <c r="M833" s="177" t="n"/>
      <c r="N833" s="177" t="n"/>
      <c r="O833" s="177" t="n"/>
      <c r="P833" s="177" t="n"/>
      <c r="Q833" s="177" t="n"/>
      <c r="R833" s="177" t="n"/>
      <c r="S833" s="177" t="n"/>
      <c r="T833" s="177" t="n"/>
      <c r="U833" s="177" t="n"/>
      <c r="V833" s="177" t="n"/>
      <c r="W833" s="177" t="n"/>
      <c r="X833" s="177" t="n"/>
      <c r="Y833" s="177" t="n"/>
    </row>
    <row r="834">
      <c r="A834" s="177" t="n"/>
      <c r="B834" s="177" t="n"/>
      <c r="C834" s="177" t="n"/>
      <c r="D834" s="177" t="n"/>
      <c r="E834" s="177" t="n"/>
      <c r="F834" s="177" t="n"/>
      <c r="G834" s="177" t="n"/>
      <c r="H834" s="177" t="n"/>
      <c r="I834" s="177" t="n"/>
      <c r="J834" s="177" t="n"/>
      <c r="K834" s="177" t="n"/>
      <c r="L834" s="177" t="n"/>
      <c r="M834" s="177" t="n"/>
      <c r="N834" s="177" t="n"/>
      <c r="O834" s="177" t="n"/>
      <c r="P834" s="177" t="n"/>
      <c r="Q834" s="177" t="n"/>
      <c r="R834" s="177" t="n"/>
      <c r="S834" s="177" t="n"/>
      <c r="T834" s="177" t="n"/>
      <c r="U834" s="177" t="n"/>
      <c r="V834" s="177" t="n"/>
      <c r="W834" s="177" t="n"/>
      <c r="X834" s="177" t="n"/>
      <c r="Y834" s="177" t="n"/>
    </row>
    <row r="835">
      <c r="A835" s="177" t="n"/>
      <c r="B835" s="177" t="n"/>
      <c r="C835" s="177" t="n"/>
      <c r="D835" s="177" t="n"/>
      <c r="E835" s="177" t="n"/>
      <c r="F835" s="177" t="n"/>
      <c r="G835" s="177" t="n"/>
      <c r="H835" s="177" t="n"/>
      <c r="I835" s="177" t="n"/>
      <c r="J835" s="177" t="n"/>
      <c r="K835" s="177" t="n"/>
      <c r="L835" s="177" t="n"/>
      <c r="M835" s="177" t="n"/>
      <c r="N835" s="177" t="n"/>
      <c r="O835" s="177" t="n"/>
      <c r="P835" s="177" t="n"/>
      <c r="Q835" s="177" t="n"/>
      <c r="R835" s="177" t="n"/>
      <c r="S835" s="177" t="n"/>
      <c r="T835" s="177" t="n"/>
      <c r="U835" s="177" t="n"/>
      <c r="V835" s="177" t="n"/>
      <c r="W835" s="177" t="n"/>
      <c r="X835" s="177" t="n"/>
      <c r="Y835" s="177" t="n"/>
    </row>
    <row r="836">
      <c r="A836" s="177" t="n"/>
      <c r="B836" s="177" t="n"/>
      <c r="C836" s="177" t="n"/>
      <c r="D836" s="177" t="n"/>
      <c r="E836" s="177" t="n"/>
      <c r="F836" s="177" t="n"/>
      <c r="G836" s="177" t="n"/>
      <c r="H836" s="177" t="n"/>
      <c r="I836" s="177" t="n"/>
      <c r="J836" s="177" t="n"/>
      <c r="K836" s="177" t="n"/>
      <c r="L836" s="177" t="n"/>
      <c r="M836" s="177" t="n"/>
      <c r="N836" s="177" t="n"/>
      <c r="O836" s="177" t="n"/>
      <c r="P836" s="177" t="n"/>
      <c r="Q836" s="177" t="n"/>
      <c r="R836" s="177" t="n"/>
      <c r="S836" s="177" t="n"/>
      <c r="T836" s="177" t="n"/>
      <c r="U836" s="177" t="n"/>
      <c r="V836" s="177" t="n"/>
      <c r="W836" s="177" t="n"/>
      <c r="X836" s="177" t="n"/>
      <c r="Y836" s="177" t="n"/>
    </row>
    <row r="837">
      <c r="A837" s="177" t="n"/>
      <c r="B837" s="177" t="n"/>
      <c r="C837" s="177" t="n"/>
      <c r="D837" s="177" t="n"/>
      <c r="E837" s="177" t="n"/>
      <c r="F837" s="177" t="n"/>
      <c r="G837" s="177" t="n"/>
      <c r="H837" s="177" t="n"/>
      <c r="I837" s="177" t="n"/>
      <c r="J837" s="177" t="n"/>
      <c r="K837" s="177" t="n"/>
      <c r="L837" s="177" t="n"/>
      <c r="M837" s="177" t="n"/>
      <c r="N837" s="177" t="n"/>
      <c r="O837" s="177" t="n"/>
      <c r="P837" s="177" t="n"/>
      <c r="Q837" s="177" t="n"/>
      <c r="R837" s="177" t="n"/>
      <c r="S837" s="177" t="n"/>
      <c r="T837" s="177" t="n"/>
      <c r="U837" s="177" t="n"/>
      <c r="V837" s="177" t="n"/>
      <c r="W837" s="177" t="n"/>
      <c r="X837" s="177" t="n"/>
      <c r="Y837" s="177" t="n"/>
    </row>
    <row r="838">
      <c r="A838" s="177" t="n"/>
      <c r="B838" s="177" t="n"/>
      <c r="C838" s="177" t="n"/>
      <c r="D838" s="177" t="n"/>
      <c r="E838" s="177" t="n"/>
      <c r="F838" s="177" t="n"/>
      <c r="G838" s="177" t="n"/>
      <c r="H838" s="177" t="n"/>
      <c r="I838" s="177" t="n"/>
      <c r="J838" s="177" t="n"/>
      <c r="K838" s="177" t="n"/>
      <c r="L838" s="177" t="n"/>
      <c r="M838" s="177" t="n"/>
      <c r="N838" s="177" t="n"/>
      <c r="O838" s="177" t="n"/>
      <c r="P838" s="177" t="n"/>
      <c r="Q838" s="177" t="n"/>
      <c r="R838" s="177" t="n"/>
      <c r="S838" s="177" t="n"/>
      <c r="T838" s="177" t="n"/>
      <c r="U838" s="177" t="n"/>
      <c r="V838" s="177" t="n"/>
      <c r="W838" s="177" t="n"/>
      <c r="X838" s="177" t="n"/>
      <c r="Y838" s="177" t="n"/>
    </row>
    <row r="839">
      <c r="A839" s="177" t="n"/>
      <c r="B839" s="177" t="n"/>
      <c r="C839" s="177" t="n"/>
      <c r="D839" s="177" t="n"/>
      <c r="E839" s="177" t="n"/>
      <c r="F839" s="177" t="n"/>
      <c r="G839" s="177" t="n"/>
      <c r="H839" s="177" t="n"/>
      <c r="I839" s="177" t="n"/>
      <c r="J839" s="177" t="n"/>
      <c r="K839" s="177" t="n"/>
      <c r="L839" s="177" t="n"/>
      <c r="M839" s="177" t="n"/>
      <c r="N839" s="177" t="n"/>
      <c r="O839" s="177" t="n"/>
      <c r="P839" s="177" t="n"/>
      <c r="Q839" s="177" t="n"/>
      <c r="R839" s="177" t="n"/>
      <c r="S839" s="177" t="n"/>
      <c r="T839" s="177" t="n"/>
      <c r="U839" s="177" t="n"/>
      <c r="V839" s="177" t="n"/>
      <c r="W839" s="177" t="n"/>
      <c r="X839" s="177" t="n"/>
      <c r="Y839" s="177" t="n"/>
    </row>
    <row r="840">
      <c r="A840" s="177" t="n"/>
      <c r="B840" s="177" t="n"/>
      <c r="C840" s="177" t="n"/>
      <c r="D840" s="177" t="n"/>
      <c r="E840" s="177" t="n"/>
      <c r="F840" s="177" t="n"/>
      <c r="G840" s="177" t="n"/>
      <c r="H840" s="177" t="n"/>
      <c r="I840" s="177" t="n"/>
      <c r="J840" s="177" t="n"/>
      <c r="K840" s="177" t="n"/>
      <c r="L840" s="177" t="n"/>
      <c r="M840" s="177" t="n"/>
      <c r="N840" s="177" t="n"/>
      <c r="O840" s="177" t="n"/>
      <c r="P840" s="177" t="n"/>
      <c r="Q840" s="177" t="n"/>
      <c r="R840" s="177" t="n"/>
      <c r="S840" s="177" t="n"/>
      <c r="T840" s="177" t="n"/>
      <c r="U840" s="177" t="n"/>
      <c r="V840" s="177" t="n"/>
      <c r="W840" s="177" t="n"/>
      <c r="X840" s="177" t="n"/>
      <c r="Y840" s="177" t="n"/>
    </row>
    <row r="841">
      <c r="A841" s="177" t="n"/>
      <c r="B841" s="177" t="n"/>
      <c r="C841" s="177" t="n"/>
      <c r="D841" s="177" t="n"/>
      <c r="E841" s="177" t="n"/>
      <c r="F841" s="177" t="n"/>
      <c r="G841" s="177" t="n"/>
      <c r="H841" s="177" t="n"/>
      <c r="I841" s="177" t="n"/>
      <c r="J841" s="177" t="n"/>
      <c r="K841" s="177" t="n"/>
      <c r="L841" s="177" t="n"/>
      <c r="M841" s="177" t="n"/>
      <c r="N841" s="177" t="n"/>
      <c r="O841" s="177" t="n"/>
      <c r="P841" s="177" t="n"/>
      <c r="Q841" s="177" t="n"/>
      <c r="R841" s="177" t="n"/>
      <c r="S841" s="177" t="n"/>
      <c r="T841" s="177" t="n"/>
      <c r="U841" s="177" t="n"/>
      <c r="V841" s="177" t="n"/>
      <c r="W841" s="177" t="n"/>
      <c r="X841" s="177" t="n"/>
      <c r="Y841" s="177" t="n"/>
    </row>
    <row r="842">
      <c r="A842" s="177" t="n"/>
      <c r="B842" s="177" t="n"/>
      <c r="C842" s="177" t="n"/>
      <c r="D842" s="177" t="n"/>
      <c r="E842" s="177" t="n"/>
      <c r="F842" s="177" t="n"/>
      <c r="G842" s="177" t="n"/>
      <c r="H842" s="177" t="n"/>
      <c r="I842" s="177" t="n"/>
      <c r="J842" s="177" t="n"/>
      <c r="K842" s="177" t="n"/>
      <c r="L842" s="177" t="n"/>
      <c r="M842" s="177" t="n"/>
      <c r="N842" s="177" t="n"/>
      <c r="O842" s="177" t="n"/>
      <c r="P842" s="177" t="n"/>
      <c r="Q842" s="177" t="n"/>
      <c r="R842" s="177" t="n"/>
      <c r="S842" s="177" t="n"/>
      <c r="T842" s="177" t="n"/>
      <c r="U842" s="177" t="n"/>
      <c r="V842" s="177" t="n"/>
      <c r="W842" s="177" t="n"/>
      <c r="X842" s="177" t="n"/>
      <c r="Y842" s="177" t="n"/>
    </row>
    <row r="843">
      <c r="A843" s="177" t="n"/>
      <c r="B843" s="177" t="n"/>
      <c r="C843" s="177" t="n"/>
      <c r="D843" s="177" t="n"/>
      <c r="E843" s="177" t="n"/>
      <c r="F843" s="177" t="n"/>
      <c r="G843" s="177" t="n"/>
      <c r="H843" s="177" t="n"/>
      <c r="I843" s="177" t="n"/>
      <c r="J843" s="177" t="n"/>
      <c r="K843" s="177" t="n"/>
      <c r="L843" s="177" t="n"/>
      <c r="M843" s="177" t="n"/>
      <c r="N843" s="177" t="n"/>
      <c r="O843" s="177" t="n"/>
      <c r="P843" s="177" t="n"/>
      <c r="Q843" s="177" t="n"/>
      <c r="R843" s="177" t="n"/>
      <c r="S843" s="177" t="n"/>
      <c r="T843" s="177" t="n"/>
      <c r="U843" s="177" t="n"/>
      <c r="V843" s="177" t="n"/>
      <c r="W843" s="177" t="n"/>
      <c r="X843" s="177" t="n"/>
      <c r="Y843" s="177" t="n"/>
    </row>
    <row r="844">
      <c r="A844" s="177" t="n"/>
      <c r="B844" s="177" t="n"/>
      <c r="C844" s="177" t="n"/>
      <c r="D844" s="177" t="n"/>
      <c r="E844" s="177" t="n"/>
      <c r="F844" s="177" t="n"/>
      <c r="G844" s="177" t="n"/>
      <c r="H844" s="177" t="n"/>
      <c r="I844" s="177" t="n"/>
      <c r="J844" s="177" t="n"/>
      <c r="K844" s="177" t="n"/>
      <c r="L844" s="177" t="n"/>
      <c r="M844" s="177" t="n"/>
      <c r="N844" s="177" t="n"/>
      <c r="O844" s="177" t="n"/>
      <c r="P844" s="177" t="n"/>
      <c r="Q844" s="177" t="n"/>
      <c r="R844" s="177" t="n"/>
      <c r="S844" s="177" t="n"/>
      <c r="T844" s="177" t="n"/>
      <c r="U844" s="177" t="n"/>
      <c r="V844" s="177" t="n"/>
      <c r="W844" s="177" t="n"/>
      <c r="X844" s="177" t="n"/>
      <c r="Y844" s="177" t="n"/>
    </row>
    <row r="845">
      <c r="A845" s="177" t="n"/>
      <c r="B845" s="177" t="n"/>
      <c r="C845" s="177" t="n"/>
      <c r="D845" s="177" t="n"/>
      <c r="E845" s="177" t="n"/>
      <c r="F845" s="177" t="n"/>
      <c r="G845" s="177" t="n"/>
      <c r="H845" s="177" t="n"/>
      <c r="I845" s="177" t="n"/>
      <c r="J845" s="177" t="n"/>
      <c r="K845" s="177" t="n"/>
      <c r="L845" s="177" t="n"/>
      <c r="M845" s="177" t="n"/>
      <c r="N845" s="177" t="n"/>
      <c r="O845" s="177" t="n"/>
      <c r="P845" s="177" t="n"/>
      <c r="Q845" s="177" t="n"/>
      <c r="R845" s="177" t="n"/>
      <c r="S845" s="177" t="n"/>
      <c r="T845" s="177" t="n"/>
      <c r="U845" s="177" t="n"/>
      <c r="V845" s="177" t="n"/>
      <c r="W845" s="177" t="n"/>
      <c r="X845" s="177" t="n"/>
      <c r="Y845" s="177" t="n"/>
    </row>
    <row r="846">
      <c r="A846" s="177" t="n"/>
      <c r="B846" s="177" t="n"/>
      <c r="C846" s="177" t="n"/>
      <c r="D846" s="177" t="n"/>
      <c r="E846" s="177" t="n"/>
      <c r="F846" s="177" t="n"/>
      <c r="G846" s="177" t="n"/>
      <c r="H846" s="177" t="n"/>
      <c r="I846" s="177" t="n"/>
      <c r="J846" s="177" t="n"/>
      <c r="K846" s="177" t="n"/>
      <c r="L846" s="177" t="n"/>
      <c r="M846" s="177" t="n"/>
      <c r="N846" s="177" t="n"/>
      <c r="O846" s="177" t="n"/>
      <c r="P846" s="177" t="n"/>
      <c r="Q846" s="177" t="n"/>
      <c r="R846" s="177" t="n"/>
      <c r="S846" s="177" t="n"/>
      <c r="T846" s="177" t="n"/>
      <c r="U846" s="177" t="n"/>
      <c r="V846" s="177" t="n"/>
      <c r="W846" s="177" t="n"/>
      <c r="X846" s="177" t="n"/>
      <c r="Y846" s="177" t="n"/>
    </row>
    <row r="847">
      <c r="A847" s="177" t="n"/>
      <c r="B847" s="177" t="n"/>
      <c r="C847" s="177" t="n"/>
      <c r="D847" s="177" t="n"/>
      <c r="E847" s="177" t="n"/>
      <c r="F847" s="177" t="n"/>
      <c r="G847" s="177" t="n"/>
      <c r="H847" s="177" t="n"/>
      <c r="I847" s="177" t="n"/>
      <c r="J847" s="177" t="n"/>
      <c r="K847" s="177" t="n"/>
      <c r="L847" s="177" t="n"/>
      <c r="M847" s="177" t="n"/>
      <c r="N847" s="177" t="n"/>
      <c r="O847" s="177" t="n"/>
      <c r="P847" s="177" t="n"/>
      <c r="Q847" s="177" t="n"/>
      <c r="R847" s="177" t="n"/>
      <c r="S847" s="177" t="n"/>
      <c r="T847" s="177" t="n"/>
      <c r="U847" s="177" t="n"/>
      <c r="V847" s="177" t="n"/>
      <c r="W847" s="177" t="n"/>
      <c r="X847" s="177" t="n"/>
      <c r="Y847" s="177" t="n"/>
    </row>
    <row r="848">
      <c r="A848" s="177" t="n"/>
      <c r="B848" s="177" t="n"/>
      <c r="C848" s="177" t="n"/>
      <c r="D848" s="177" t="n"/>
      <c r="E848" s="177" t="n"/>
      <c r="F848" s="177" t="n"/>
      <c r="G848" s="177" t="n"/>
      <c r="H848" s="177" t="n"/>
      <c r="I848" s="177" t="n"/>
      <c r="J848" s="177" t="n"/>
      <c r="K848" s="177" t="n"/>
      <c r="L848" s="177" t="n"/>
      <c r="M848" s="177" t="n"/>
      <c r="N848" s="177" t="n"/>
      <c r="O848" s="177" t="n"/>
      <c r="P848" s="177" t="n"/>
      <c r="Q848" s="177" t="n"/>
      <c r="R848" s="177" t="n"/>
      <c r="S848" s="177" t="n"/>
      <c r="T848" s="177" t="n"/>
      <c r="U848" s="177" t="n"/>
      <c r="V848" s="177" t="n"/>
      <c r="W848" s="177" t="n"/>
      <c r="X848" s="177" t="n"/>
      <c r="Y848" s="177" t="n"/>
    </row>
    <row r="849">
      <c r="A849" s="177" t="n"/>
      <c r="B849" s="177" t="n"/>
      <c r="C849" s="177" t="n"/>
      <c r="D849" s="177" t="n"/>
      <c r="E849" s="177" t="n"/>
      <c r="F849" s="177" t="n"/>
      <c r="G849" s="177" t="n"/>
      <c r="H849" s="177" t="n"/>
      <c r="I849" s="177" t="n"/>
      <c r="J849" s="177" t="n"/>
      <c r="K849" s="177" t="n"/>
      <c r="L849" s="177" t="n"/>
      <c r="M849" s="177" t="n"/>
      <c r="N849" s="177" t="n"/>
      <c r="O849" s="177" t="n"/>
      <c r="P849" s="177" t="n"/>
      <c r="Q849" s="177" t="n"/>
      <c r="R849" s="177" t="n"/>
      <c r="S849" s="177" t="n"/>
      <c r="T849" s="177" t="n"/>
      <c r="U849" s="177" t="n"/>
      <c r="V849" s="177" t="n"/>
      <c r="W849" s="177" t="n"/>
      <c r="X849" s="177" t="n"/>
      <c r="Y849" s="177" t="n"/>
    </row>
    <row r="850">
      <c r="A850" s="177" t="n"/>
      <c r="B850" s="177" t="n"/>
      <c r="C850" s="177" t="n"/>
      <c r="D850" s="177" t="n"/>
      <c r="E850" s="177" t="n"/>
      <c r="F850" s="177" t="n"/>
      <c r="G850" s="177" t="n"/>
      <c r="H850" s="177" t="n"/>
      <c r="I850" s="177" t="n"/>
      <c r="J850" s="177" t="n"/>
      <c r="K850" s="177" t="n"/>
      <c r="L850" s="177" t="n"/>
      <c r="M850" s="177" t="n"/>
      <c r="N850" s="177" t="n"/>
      <c r="O850" s="177" t="n"/>
      <c r="P850" s="177" t="n"/>
      <c r="Q850" s="177" t="n"/>
      <c r="R850" s="177" t="n"/>
      <c r="S850" s="177" t="n"/>
      <c r="T850" s="177" t="n"/>
      <c r="U850" s="177" t="n"/>
      <c r="V850" s="177" t="n"/>
      <c r="W850" s="177" t="n"/>
      <c r="X850" s="177" t="n"/>
      <c r="Y850" s="177" t="n"/>
    </row>
    <row r="851">
      <c r="A851" s="177" t="n"/>
      <c r="B851" s="177" t="n"/>
      <c r="C851" s="177" t="n"/>
      <c r="D851" s="177" t="n"/>
      <c r="E851" s="177" t="n"/>
      <c r="F851" s="177" t="n"/>
      <c r="G851" s="177" t="n"/>
      <c r="H851" s="177" t="n"/>
      <c r="I851" s="177" t="n"/>
      <c r="J851" s="177" t="n"/>
      <c r="K851" s="177" t="n"/>
      <c r="L851" s="177" t="n"/>
      <c r="M851" s="177" t="n"/>
      <c r="N851" s="177" t="n"/>
      <c r="O851" s="177" t="n"/>
      <c r="P851" s="177" t="n"/>
      <c r="Q851" s="177" t="n"/>
      <c r="R851" s="177" t="n"/>
      <c r="S851" s="177" t="n"/>
      <c r="T851" s="177" t="n"/>
      <c r="U851" s="177" t="n"/>
      <c r="V851" s="177" t="n"/>
      <c r="W851" s="177" t="n"/>
      <c r="X851" s="177" t="n"/>
      <c r="Y851" s="177" t="n"/>
    </row>
    <row r="852">
      <c r="A852" s="177" t="n"/>
      <c r="B852" s="177" t="n"/>
      <c r="C852" s="177" t="n"/>
      <c r="D852" s="177" t="n"/>
      <c r="E852" s="177" t="n"/>
      <c r="F852" s="177" t="n"/>
      <c r="G852" s="177" t="n"/>
      <c r="H852" s="177" t="n"/>
      <c r="I852" s="177" t="n"/>
      <c r="J852" s="177" t="n"/>
      <c r="K852" s="177" t="n"/>
      <c r="L852" s="177" t="n"/>
      <c r="M852" s="177" t="n"/>
      <c r="N852" s="177" t="n"/>
      <c r="O852" s="177" t="n"/>
      <c r="P852" s="177" t="n"/>
      <c r="Q852" s="177" t="n"/>
      <c r="R852" s="177" t="n"/>
      <c r="S852" s="177" t="n"/>
      <c r="T852" s="177" t="n"/>
      <c r="U852" s="177" t="n"/>
      <c r="V852" s="177" t="n"/>
      <c r="W852" s="177" t="n"/>
      <c r="X852" s="177" t="n"/>
      <c r="Y852" s="177" t="n"/>
    </row>
    <row r="853">
      <c r="A853" s="177" t="n"/>
      <c r="B853" s="177" t="n"/>
      <c r="C853" s="177" t="n"/>
      <c r="D853" s="177" t="n"/>
      <c r="E853" s="177" t="n"/>
      <c r="F853" s="177" t="n"/>
      <c r="G853" s="177" t="n"/>
      <c r="H853" s="177" t="n"/>
      <c r="I853" s="177" t="n"/>
      <c r="J853" s="177" t="n"/>
      <c r="K853" s="177" t="n"/>
      <c r="L853" s="177" t="n"/>
      <c r="M853" s="177" t="n"/>
      <c r="N853" s="177" t="n"/>
      <c r="O853" s="177" t="n"/>
      <c r="P853" s="177" t="n"/>
      <c r="Q853" s="177" t="n"/>
      <c r="R853" s="177" t="n"/>
      <c r="S853" s="177" t="n"/>
      <c r="T853" s="177" t="n"/>
      <c r="U853" s="177" t="n"/>
      <c r="V853" s="177" t="n"/>
      <c r="W853" s="177" t="n"/>
      <c r="X853" s="177" t="n"/>
      <c r="Y853" s="177" t="n"/>
    </row>
    <row r="854">
      <c r="A854" s="177" t="n"/>
      <c r="B854" s="177" t="n"/>
      <c r="C854" s="177" t="n"/>
      <c r="D854" s="177" t="n"/>
      <c r="E854" s="177" t="n"/>
      <c r="F854" s="177" t="n"/>
      <c r="G854" s="177" t="n"/>
      <c r="H854" s="177" t="n"/>
      <c r="I854" s="177" t="n"/>
      <c r="J854" s="177" t="n"/>
      <c r="K854" s="177" t="n"/>
      <c r="L854" s="177" t="n"/>
      <c r="M854" s="177" t="n"/>
      <c r="N854" s="177" t="n"/>
      <c r="O854" s="177" t="n"/>
      <c r="P854" s="177" t="n"/>
      <c r="Q854" s="177" t="n"/>
      <c r="R854" s="177" t="n"/>
      <c r="S854" s="177" t="n"/>
      <c r="T854" s="177" t="n"/>
      <c r="U854" s="177" t="n"/>
      <c r="V854" s="177" t="n"/>
      <c r="W854" s="177" t="n"/>
      <c r="X854" s="177" t="n"/>
      <c r="Y854" s="177" t="n"/>
    </row>
    <row r="855">
      <c r="A855" s="177" t="n"/>
      <c r="B855" s="177" t="n"/>
      <c r="C855" s="177" t="n"/>
      <c r="D855" s="177" t="n"/>
      <c r="E855" s="177" t="n"/>
      <c r="F855" s="177" t="n"/>
      <c r="G855" s="177" t="n"/>
      <c r="H855" s="177" t="n"/>
      <c r="I855" s="177" t="n"/>
      <c r="J855" s="177" t="n"/>
      <c r="K855" s="177" t="n"/>
      <c r="L855" s="177" t="n"/>
      <c r="M855" s="177" t="n"/>
      <c r="N855" s="177" t="n"/>
      <c r="O855" s="177" t="n"/>
      <c r="P855" s="177" t="n"/>
      <c r="Q855" s="177" t="n"/>
      <c r="R855" s="177" t="n"/>
      <c r="S855" s="177" t="n"/>
      <c r="T855" s="177" t="n"/>
      <c r="U855" s="177" t="n"/>
      <c r="V855" s="177" t="n"/>
      <c r="W855" s="177" t="n"/>
      <c r="X855" s="177" t="n"/>
      <c r="Y855" s="177" t="n"/>
    </row>
    <row r="856">
      <c r="A856" s="177" t="n"/>
      <c r="B856" s="177" t="n"/>
      <c r="C856" s="177" t="n"/>
      <c r="D856" s="177" t="n"/>
      <c r="E856" s="177" t="n"/>
      <c r="F856" s="177" t="n"/>
      <c r="G856" s="177" t="n"/>
      <c r="H856" s="177" t="n"/>
      <c r="I856" s="177" t="n"/>
      <c r="J856" s="177" t="n"/>
      <c r="K856" s="177" t="n"/>
      <c r="L856" s="177" t="n"/>
      <c r="M856" s="177" t="n"/>
      <c r="N856" s="177" t="n"/>
      <c r="O856" s="177" t="n"/>
      <c r="P856" s="177" t="n"/>
      <c r="Q856" s="177" t="n"/>
      <c r="R856" s="177" t="n"/>
      <c r="S856" s="177" t="n"/>
      <c r="T856" s="177" t="n"/>
      <c r="U856" s="177" t="n"/>
      <c r="V856" s="177" t="n"/>
      <c r="W856" s="177" t="n"/>
      <c r="X856" s="177" t="n"/>
      <c r="Y856" s="177" t="n"/>
    </row>
    <row r="857">
      <c r="A857" s="177" t="n"/>
      <c r="B857" s="177" t="n"/>
      <c r="C857" s="177" t="n"/>
      <c r="D857" s="177" t="n"/>
      <c r="E857" s="177" t="n"/>
      <c r="F857" s="177" t="n"/>
      <c r="G857" s="177" t="n"/>
      <c r="H857" s="177" t="n"/>
      <c r="I857" s="177" t="n"/>
      <c r="J857" s="177" t="n"/>
      <c r="K857" s="177" t="n"/>
      <c r="L857" s="177" t="n"/>
      <c r="M857" s="177" t="n"/>
      <c r="N857" s="177" t="n"/>
      <c r="O857" s="177" t="n"/>
      <c r="P857" s="177" t="n"/>
      <c r="Q857" s="177" t="n"/>
      <c r="R857" s="177" t="n"/>
      <c r="S857" s="177" t="n"/>
      <c r="T857" s="177" t="n"/>
      <c r="U857" s="177" t="n"/>
      <c r="V857" s="177" t="n"/>
      <c r="W857" s="177" t="n"/>
      <c r="X857" s="177" t="n"/>
      <c r="Y857" s="177" t="n"/>
    </row>
    <row r="858">
      <c r="A858" s="177" t="n"/>
      <c r="B858" s="177" t="n"/>
      <c r="C858" s="177" t="n"/>
      <c r="D858" s="177" t="n"/>
      <c r="E858" s="177" t="n"/>
      <c r="F858" s="177" t="n"/>
      <c r="G858" s="177" t="n"/>
      <c r="H858" s="177" t="n"/>
      <c r="I858" s="177" t="n"/>
      <c r="J858" s="177" t="n"/>
      <c r="K858" s="177" t="n"/>
      <c r="L858" s="177" t="n"/>
      <c r="M858" s="177" t="n"/>
      <c r="N858" s="177" t="n"/>
      <c r="O858" s="177" t="n"/>
      <c r="P858" s="177" t="n"/>
      <c r="Q858" s="177" t="n"/>
      <c r="R858" s="177" t="n"/>
      <c r="S858" s="177" t="n"/>
      <c r="T858" s="177" t="n"/>
      <c r="U858" s="177" t="n"/>
      <c r="V858" s="177" t="n"/>
      <c r="W858" s="177" t="n"/>
      <c r="X858" s="177" t="n"/>
      <c r="Y858" s="177" t="n"/>
    </row>
    <row r="859">
      <c r="A859" s="177" t="n"/>
      <c r="B859" s="177" t="n"/>
      <c r="C859" s="177" t="n"/>
      <c r="D859" s="177" t="n"/>
      <c r="E859" s="177" t="n"/>
      <c r="F859" s="177" t="n"/>
      <c r="G859" s="177" t="n"/>
      <c r="H859" s="177" t="n"/>
      <c r="I859" s="177" t="n"/>
      <c r="J859" s="177" t="n"/>
      <c r="K859" s="177" t="n"/>
      <c r="L859" s="177" t="n"/>
      <c r="M859" s="177" t="n"/>
      <c r="N859" s="177" t="n"/>
      <c r="O859" s="177" t="n"/>
      <c r="P859" s="177" t="n"/>
      <c r="Q859" s="177" t="n"/>
      <c r="R859" s="177" t="n"/>
      <c r="S859" s="177" t="n"/>
      <c r="T859" s="177" t="n"/>
      <c r="U859" s="177" t="n"/>
      <c r="V859" s="177" t="n"/>
      <c r="W859" s="177" t="n"/>
      <c r="X859" s="177" t="n"/>
      <c r="Y859" s="177" t="n"/>
    </row>
    <row r="860">
      <c r="A860" s="177" t="n"/>
      <c r="B860" s="177" t="n"/>
      <c r="C860" s="177" t="n"/>
      <c r="D860" s="177" t="n"/>
      <c r="E860" s="177" t="n"/>
      <c r="F860" s="177" t="n"/>
      <c r="G860" s="177" t="n"/>
      <c r="H860" s="177" t="n"/>
      <c r="I860" s="177" t="n"/>
      <c r="J860" s="177" t="n"/>
      <c r="K860" s="177" t="n"/>
      <c r="L860" s="177" t="n"/>
      <c r="M860" s="177" t="n"/>
      <c r="N860" s="177" t="n"/>
      <c r="O860" s="177" t="n"/>
      <c r="P860" s="177" t="n"/>
      <c r="Q860" s="177" t="n"/>
      <c r="R860" s="177" t="n"/>
      <c r="S860" s="177" t="n"/>
      <c r="T860" s="177" t="n"/>
      <c r="U860" s="177" t="n"/>
      <c r="V860" s="177" t="n"/>
      <c r="W860" s="177" t="n"/>
      <c r="X860" s="177" t="n"/>
      <c r="Y860" s="177" t="n"/>
    </row>
    <row r="861">
      <c r="A861" s="177" t="n"/>
      <c r="B861" s="177" t="n"/>
      <c r="C861" s="177" t="n"/>
      <c r="D861" s="177" t="n"/>
      <c r="E861" s="177" t="n"/>
      <c r="F861" s="177" t="n"/>
      <c r="G861" s="177" t="n"/>
      <c r="H861" s="177" t="n"/>
      <c r="I861" s="177" t="n"/>
      <c r="J861" s="177" t="n"/>
      <c r="K861" s="177" t="n"/>
      <c r="L861" s="177" t="n"/>
      <c r="M861" s="177" t="n"/>
      <c r="N861" s="177" t="n"/>
      <c r="O861" s="177" t="n"/>
      <c r="P861" s="177" t="n"/>
      <c r="Q861" s="177" t="n"/>
      <c r="R861" s="177" t="n"/>
      <c r="S861" s="177" t="n"/>
      <c r="T861" s="177" t="n"/>
      <c r="U861" s="177" t="n"/>
      <c r="V861" s="177" t="n"/>
      <c r="W861" s="177" t="n"/>
      <c r="X861" s="177" t="n"/>
      <c r="Y861" s="177" t="n"/>
    </row>
    <row r="862">
      <c r="A862" s="177" t="n"/>
      <c r="B862" s="177" t="n"/>
      <c r="C862" s="177" t="n"/>
      <c r="D862" s="177" t="n"/>
      <c r="E862" s="177" t="n"/>
      <c r="F862" s="177" t="n"/>
      <c r="G862" s="177" t="n"/>
      <c r="H862" s="177" t="n"/>
      <c r="I862" s="177" t="n"/>
      <c r="J862" s="177" t="n"/>
      <c r="K862" s="177" t="n"/>
      <c r="L862" s="177" t="n"/>
      <c r="M862" s="177" t="n"/>
      <c r="N862" s="177" t="n"/>
      <c r="O862" s="177" t="n"/>
      <c r="P862" s="177" t="n"/>
      <c r="Q862" s="177" t="n"/>
      <c r="R862" s="177" t="n"/>
      <c r="S862" s="177" t="n"/>
      <c r="T862" s="177" t="n"/>
      <c r="U862" s="177" t="n"/>
      <c r="V862" s="177" t="n"/>
      <c r="W862" s="177" t="n"/>
      <c r="X862" s="177" t="n"/>
      <c r="Y862" s="177" t="n"/>
    </row>
    <row r="863">
      <c r="A863" s="177" t="n"/>
      <c r="B863" s="177" t="n"/>
      <c r="C863" s="177" t="n"/>
      <c r="D863" s="177" t="n"/>
      <c r="E863" s="177" t="n"/>
      <c r="F863" s="177" t="n"/>
      <c r="G863" s="177" t="n"/>
      <c r="H863" s="177" t="n"/>
      <c r="I863" s="177" t="n"/>
      <c r="J863" s="177" t="n"/>
      <c r="K863" s="177" t="n"/>
      <c r="L863" s="177" t="n"/>
      <c r="M863" s="177" t="n"/>
      <c r="N863" s="177" t="n"/>
      <c r="O863" s="177" t="n"/>
      <c r="P863" s="177" t="n"/>
      <c r="Q863" s="177" t="n"/>
      <c r="R863" s="177" t="n"/>
      <c r="S863" s="177" t="n"/>
      <c r="T863" s="177" t="n"/>
      <c r="U863" s="177" t="n"/>
      <c r="V863" s="177" t="n"/>
      <c r="W863" s="177" t="n"/>
      <c r="X863" s="177" t="n"/>
      <c r="Y863" s="177" t="n"/>
    </row>
    <row r="864">
      <c r="A864" s="177" t="n"/>
      <c r="B864" s="177" t="n"/>
      <c r="C864" s="177" t="n"/>
      <c r="D864" s="177" t="n"/>
      <c r="E864" s="177" t="n"/>
      <c r="F864" s="177" t="n"/>
      <c r="G864" s="177" t="n"/>
      <c r="H864" s="177" t="n"/>
      <c r="I864" s="177" t="n"/>
      <c r="J864" s="177" t="n"/>
      <c r="K864" s="177" t="n"/>
      <c r="L864" s="177" t="n"/>
      <c r="M864" s="177" t="n"/>
      <c r="N864" s="177" t="n"/>
      <c r="O864" s="177" t="n"/>
      <c r="P864" s="177" t="n"/>
      <c r="Q864" s="177" t="n"/>
      <c r="R864" s="177" t="n"/>
      <c r="S864" s="177" t="n"/>
      <c r="T864" s="177" t="n"/>
      <c r="U864" s="177" t="n"/>
      <c r="V864" s="177" t="n"/>
      <c r="W864" s="177" t="n"/>
      <c r="X864" s="177" t="n"/>
      <c r="Y864" s="177" t="n"/>
    </row>
    <row r="865">
      <c r="A865" s="177" t="n"/>
      <c r="B865" s="177" t="n"/>
      <c r="C865" s="177" t="n"/>
      <c r="D865" s="177" t="n"/>
      <c r="E865" s="177" t="n"/>
      <c r="F865" s="177" t="n"/>
      <c r="G865" s="177" t="n"/>
      <c r="H865" s="177" t="n"/>
      <c r="I865" s="177" t="n"/>
      <c r="J865" s="177" t="n"/>
      <c r="K865" s="177" t="n"/>
      <c r="L865" s="177" t="n"/>
      <c r="M865" s="177" t="n"/>
      <c r="N865" s="177" t="n"/>
      <c r="O865" s="177" t="n"/>
      <c r="P865" s="177" t="n"/>
      <c r="Q865" s="177" t="n"/>
      <c r="R865" s="177" t="n"/>
      <c r="S865" s="177" t="n"/>
      <c r="T865" s="177" t="n"/>
      <c r="U865" s="177" t="n"/>
      <c r="V865" s="177" t="n"/>
      <c r="W865" s="177" t="n"/>
      <c r="X865" s="177" t="n"/>
      <c r="Y865" s="177" t="n"/>
    </row>
    <row r="866">
      <c r="A866" s="177" t="n"/>
      <c r="B866" s="177" t="n"/>
      <c r="C866" s="177" t="n"/>
      <c r="D866" s="177" t="n"/>
      <c r="E866" s="177" t="n"/>
      <c r="F866" s="177" t="n"/>
      <c r="G866" s="177" t="n"/>
      <c r="H866" s="177" t="n"/>
      <c r="I866" s="177" t="n"/>
      <c r="J866" s="177" t="n"/>
      <c r="K866" s="177" t="n"/>
      <c r="L866" s="177" t="n"/>
      <c r="M866" s="177" t="n"/>
      <c r="N866" s="177" t="n"/>
      <c r="O866" s="177" t="n"/>
      <c r="P866" s="177" t="n"/>
      <c r="Q866" s="177" t="n"/>
      <c r="R866" s="177" t="n"/>
      <c r="S866" s="177" t="n"/>
      <c r="T866" s="177" t="n"/>
      <c r="U866" s="177" t="n"/>
      <c r="V866" s="177" t="n"/>
      <c r="W866" s="177" t="n"/>
      <c r="X866" s="177" t="n"/>
      <c r="Y866" s="177" t="n"/>
    </row>
    <row r="867">
      <c r="A867" s="177" t="n"/>
      <c r="B867" s="177" t="n"/>
      <c r="C867" s="177" t="n"/>
      <c r="D867" s="177" t="n"/>
      <c r="E867" s="177" t="n"/>
      <c r="F867" s="177" t="n"/>
      <c r="G867" s="177" t="n"/>
      <c r="H867" s="177" t="n"/>
      <c r="I867" s="177" t="n"/>
      <c r="J867" s="177" t="n"/>
      <c r="K867" s="177" t="n"/>
      <c r="L867" s="177" t="n"/>
      <c r="M867" s="177" t="n"/>
      <c r="N867" s="177" t="n"/>
      <c r="O867" s="177" t="n"/>
      <c r="P867" s="177" t="n"/>
      <c r="Q867" s="177" t="n"/>
      <c r="R867" s="177" t="n"/>
      <c r="S867" s="177" t="n"/>
      <c r="T867" s="177" t="n"/>
      <c r="U867" s="177" t="n"/>
      <c r="V867" s="177" t="n"/>
      <c r="W867" s="177" t="n"/>
      <c r="X867" s="177" t="n"/>
      <c r="Y867" s="177" t="n"/>
    </row>
    <row r="868">
      <c r="A868" s="177" t="n"/>
      <c r="B868" s="177" t="n"/>
      <c r="C868" s="177" t="n"/>
      <c r="D868" s="177" t="n"/>
      <c r="E868" s="177" t="n"/>
      <c r="F868" s="177" t="n"/>
      <c r="G868" s="177" t="n"/>
      <c r="H868" s="177" t="n"/>
      <c r="I868" s="177" t="n"/>
      <c r="J868" s="177" t="n"/>
      <c r="K868" s="177" t="n"/>
      <c r="L868" s="177" t="n"/>
      <c r="M868" s="177" t="n"/>
      <c r="N868" s="177" t="n"/>
      <c r="O868" s="177" t="n"/>
      <c r="P868" s="177" t="n"/>
      <c r="Q868" s="177" t="n"/>
      <c r="R868" s="177" t="n"/>
      <c r="S868" s="177" t="n"/>
      <c r="T868" s="177" t="n"/>
      <c r="U868" s="177" t="n"/>
      <c r="V868" s="177" t="n"/>
      <c r="W868" s="177" t="n"/>
      <c r="X868" s="177" t="n"/>
      <c r="Y868" s="177" t="n"/>
    </row>
    <row r="869">
      <c r="A869" s="177" t="n"/>
      <c r="B869" s="177" t="n"/>
      <c r="C869" s="177" t="n"/>
      <c r="D869" s="177" t="n"/>
      <c r="E869" s="177" t="n"/>
      <c r="F869" s="177" t="n"/>
      <c r="G869" s="177" t="n"/>
      <c r="H869" s="177" t="n"/>
      <c r="I869" s="177" t="n"/>
      <c r="J869" s="177" t="n"/>
      <c r="K869" s="177" t="n"/>
      <c r="L869" s="177" t="n"/>
      <c r="M869" s="177" t="n"/>
      <c r="N869" s="177" t="n"/>
      <c r="O869" s="177" t="n"/>
      <c r="P869" s="177" t="n"/>
      <c r="Q869" s="177" t="n"/>
      <c r="R869" s="177" t="n"/>
      <c r="S869" s="177" t="n"/>
      <c r="T869" s="177" t="n"/>
      <c r="U869" s="177" t="n"/>
      <c r="V869" s="177" t="n"/>
      <c r="W869" s="177" t="n"/>
      <c r="X869" s="177" t="n"/>
      <c r="Y869" s="177" t="n"/>
    </row>
    <row r="870">
      <c r="A870" s="177" t="n"/>
      <c r="B870" s="177" t="n"/>
      <c r="C870" s="177" t="n"/>
      <c r="D870" s="177" t="n"/>
      <c r="E870" s="177" t="n"/>
      <c r="F870" s="177" t="n"/>
      <c r="G870" s="177" t="n"/>
      <c r="H870" s="177" t="n"/>
      <c r="I870" s="177" t="n"/>
      <c r="J870" s="177" t="n"/>
      <c r="K870" s="177" t="n"/>
      <c r="L870" s="177" t="n"/>
      <c r="M870" s="177" t="n"/>
      <c r="N870" s="177" t="n"/>
      <c r="O870" s="177" t="n"/>
      <c r="P870" s="177" t="n"/>
      <c r="Q870" s="177" t="n"/>
      <c r="R870" s="177" t="n"/>
      <c r="S870" s="177" t="n"/>
      <c r="T870" s="177" t="n"/>
      <c r="U870" s="177" t="n"/>
      <c r="V870" s="177" t="n"/>
      <c r="W870" s="177" t="n"/>
      <c r="X870" s="177" t="n"/>
      <c r="Y870" s="177" t="n"/>
    </row>
    <row r="871">
      <c r="A871" s="177" t="n"/>
      <c r="B871" s="177" t="n"/>
      <c r="C871" s="177" t="n"/>
      <c r="D871" s="177" t="n"/>
      <c r="E871" s="177" t="n"/>
      <c r="F871" s="177" t="n"/>
      <c r="G871" s="177" t="n"/>
      <c r="H871" s="177" t="n"/>
      <c r="I871" s="177" t="n"/>
      <c r="J871" s="177" t="n"/>
      <c r="K871" s="177" t="n"/>
      <c r="L871" s="177" t="n"/>
      <c r="M871" s="177" t="n"/>
      <c r="N871" s="177" t="n"/>
      <c r="O871" s="177" t="n"/>
      <c r="P871" s="177" t="n"/>
      <c r="Q871" s="177" t="n"/>
      <c r="R871" s="177" t="n"/>
      <c r="S871" s="177" t="n"/>
      <c r="T871" s="177" t="n"/>
      <c r="U871" s="177" t="n"/>
      <c r="V871" s="177" t="n"/>
      <c r="W871" s="177" t="n"/>
      <c r="X871" s="177" t="n"/>
      <c r="Y871" s="177" t="n"/>
    </row>
    <row r="872">
      <c r="A872" s="177" t="n"/>
      <c r="B872" s="177" t="n"/>
      <c r="C872" s="177" t="n"/>
      <c r="D872" s="177" t="n"/>
      <c r="E872" s="177" t="n"/>
      <c r="F872" s="177" t="n"/>
      <c r="G872" s="177" t="n"/>
      <c r="H872" s="177" t="n"/>
      <c r="I872" s="177" t="n"/>
      <c r="J872" s="177" t="n"/>
      <c r="K872" s="177" t="n"/>
      <c r="L872" s="177" t="n"/>
      <c r="M872" s="177" t="n"/>
      <c r="N872" s="177" t="n"/>
      <c r="O872" s="177" t="n"/>
      <c r="P872" s="177" t="n"/>
      <c r="Q872" s="177" t="n"/>
      <c r="R872" s="177" t="n"/>
      <c r="S872" s="177" t="n"/>
      <c r="T872" s="177" t="n"/>
      <c r="U872" s="177" t="n"/>
      <c r="V872" s="177" t="n"/>
      <c r="W872" s="177" t="n"/>
      <c r="X872" s="177" t="n"/>
      <c r="Y872" s="177" t="n"/>
    </row>
    <row r="873">
      <c r="A873" s="177" t="n"/>
      <c r="B873" s="177" t="n"/>
      <c r="C873" s="177" t="n"/>
      <c r="D873" s="177" t="n"/>
      <c r="E873" s="177" t="n"/>
      <c r="F873" s="177" t="n"/>
      <c r="G873" s="177" t="n"/>
      <c r="H873" s="177" t="n"/>
      <c r="I873" s="177" t="n"/>
      <c r="J873" s="177" t="n"/>
      <c r="K873" s="177" t="n"/>
      <c r="L873" s="177" t="n"/>
      <c r="M873" s="177" t="n"/>
      <c r="N873" s="177" t="n"/>
      <c r="O873" s="177" t="n"/>
      <c r="P873" s="177" t="n"/>
      <c r="Q873" s="177" t="n"/>
      <c r="R873" s="177" t="n"/>
      <c r="S873" s="177" t="n"/>
      <c r="T873" s="177" t="n"/>
      <c r="U873" s="177" t="n"/>
      <c r="V873" s="177" t="n"/>
      <c r="W873" s="177" t="n"/>
      <c r="X873" s="177" t="n"/>
      <c r="Y873" s="177" t="n"/>
    </row>
    <row r="874">
      <c r="A874" s="177" t="n"/>
      <c r="B874" s="177" t="n"/>
      <c r="C874" s="177" t="n"/>
      <c r="D874" s="177" t="n"/>
      <c r="E874" s="177" t="n"/>
      <c r="F874" s="177" t="n"/>
      <c r="G874" s="177" t="n"/>
      <c r="H874" s="177" t="n"/>
      <c r="I874" s="177" t="n"/>
      <c r="J874" s="177" t="n"/>
      <c r="K874" s="177" t="n"/>
      <c r="L874" s="177" t="n"/>
      <c r="M874" s="177" t="n"/>
      <c r="N874" s="177" t="n"/>
      <c r="O874" s="177" t="n"/>
      <c r="P874" s="177" t="n"/>
      <c r="Q874" s="177" t="n"/>
      <c r="R874" s="177" t="n"/>
      <c r="S874" s="177" t="n"/>
      <c r="T874" s="177" t="n"/>
      <c r="U874" s="177" t="n"/>
      <c r="V874" s="177" t="n"/>
      <c r="W874" s="177" t="n"/>
      <c r="X874" s="177" t="n"/>
      <c r="Y874" s="177" t="n"/>
    </row>
    <row r="875">
      <c r="A875" s="177" t="n"/>
      <c r="B875" s="177" t="n"/>
      <c r="C875" s="177" t="n"/>
      <c r="D875" s="177" t="n"/>
      <c r="E875" s="177" t="n"/>
      <c r="F875" s="177" t="n"/>
      <c r="G875" s="177" t="n"/>
      <c r="H875" s="177" t="n"/>
      <c r="I875" s="177" t="n"/>
      <c r="J875" s="177" t="n"/>
      <c r="K875" s="177" t="n"/>
      <c r="L875" s="177" t="n"/>
      <c r="M875" s="177" t="n"/>
      <c r="N875" s="177" t="n"/>
      <c r="O875" s="177" t="n"/>
      <c r="P875" s="177" t="n"/>
      <c r="Q875" s="177" t="n"/>
      <c r="R875" s="177" t="n"/>
      <c r="S875" s="177" t="n"/>
      <c r="T875" s="177" t="n"/>
      <c r="U875" s="177" t="n"/>
      <c r="V875" s="177" t="n"/>
      <c r="W875" s="177" t="n"/>
      <c r="X875" s="177" t="n"/>
      <c r="Y875" s="177" t="n"/>
    </row>
    <row r="876">
      <c r="A876" s="177" t="n"/>
      <c r="B876" s="177" t="n"/>
      <c r="C876" s="177" t="n"/>
      <c r="D876" s="177" t="n"/>
      <c r="E876" s="177" t="n"/>
      <c r="F876" s="177" t="n"/>
      <c r="G876" s="177" t="n"/>
      <c r="H876" s="177" t="n"/>
      <c r="I876" s="177" t="n"/>
      <c r="J876" s="177" t="n"/>
      <c r="K876" s="177" t="n"/>
      <c r="L876" s="177" t="n"/>
      <c r="M876" s="177" t="n"/>
      <c r="N876" s="177" t="n"/>
      <c r="O876" s="177" t="n"/>
      <c r="P876" s="177" t="n"/>
      <c r="Q876" s="177" t="n"/>
      <c r="R876" s="177" t="n"/>
      <c r="S876" s="177" t="n"/>
      <c r="T876" s="177" t="n"/>
      <c r="U876" s="177" t="n"/>
      <c r="V876" s="177" t="n"/>
      <c r="W876" s="177" t="n"/>
      <c r="X876" s="177" t="n"/>
      <c r="Y876" s="177" t="n"/>
    </row>
    <row r="877">
      <c r="A877" s="177" t="n"/>
      <c r="B877" s="177" t="n"/>
      <c r="C877" s="177" t="n"/>
      <c r="D877" s="177" t="n"/>
      <c r="E877" s="177" t="n"/>
      <c r="F877" s="177" t="n"/>
      <c r="G877" s="177" t="n"/>
      <c r="H877" s="177" t="n"/>
      <c r="I877" s="177" t="n"/>
      <c r="J877" s="177" t="n"/>
      <c r="K877" s="177" t="n"/>
      <c r="L877" s="177" t="n"/>
      <c r="M877" s="177" t="n"/>
      <c r="N877" s="177" t="n"/>
      <c r="O877" s="177" t="n"/>
      <c r="P877" s="177" t="n"/>
      <c r="Q877" s="177" t="n"/>
      <c r="R877" s="177" t="n"/>
      <c r="S877" s="177" t="n"/>
      <c r="T877" s="177" t="n"/>
      <c r="U877" s="177" t="n"/>
      <c r="V877" s="177" t="n"/>
      <c r="W877" s="177" t="n"/>
      <c r="X877" s="177" t="n"/>
      <c r="Y877" s="177" t="n"/>
    </row>
    <row r="878">
      <c r="A878" s="177" t="n"/>
      <c r="B878" s="177" t="n"/>
      <c r="C878" s="177" t="n"/>
      <c r="D878" s="177" t="n"/>
      <c r="E878" s="177" t="n"/>
      <c r="F878" s="177" t="n"/>
      <c r="G878" s="177" t="n"/>
      <c r="H878" s="177" t="n"/>
      <c r="I878" s="177" t="n"/>
      <c r="J878" s="177" t="n"/>
      <c r="K878" s="177" t="n"/>
      <c r="L878" s="177" t="n"/>
      <c r="M878" s="177" t="n"/>
      <c r="N878" s="177" t="n"/>
      <c r="O878" s="177" t="n"/>
      <c r="P878" s="177" t="n"/>
      <c r="Q878" s="177" t="n"/>
      <c r="R878" s="177" t="n"/>
      <c r="S878" s="177" t="n"/>
      <c r="T878" s="177" t="n"/>
      <c r="U878" s="177" t="n"/>
      <c r="V878" s="177" t="n"/>
      <c r="W878" s="177" t="n"/>
      <c r="X878" s="177" t="n"/>
      <c r="Y878" s="177" t="n"/>
    </row>
    <row r="879">
      <c r="A879" s="177" t="n"/>
      <c r="B879" s="177" t="n"/>
      <c r="C879" s="177" t="n"/>
      <c r="D879" s="177" t="n"/>
      <c r="E879" s="177" t="n"/>
      <c r="F879" s="177" t="n"/>
      <c r="G879" s="177" t="n"/>
      <c r="H879" s="177" t="n"/>
      <c r="I879" s="177" t="n"/>
      <c r="J879" s="177" t="n"/>
      <c r="K879" s="177" t="n"/>
      <c r="L879" s="177" t="n"/>
      <c r="M879" s="177" t="n"/>
      <c r="N879" s="177" t="n"/>
      <c r="O879" s="177" t="n"/>
      <c r="P879" s="177" t="n"/>
      <c r="Q879" s="177" t="n"/>
      <c r="R879" s="177" t="n"/>
      <c r="S879" s="177" t="n"/>
      <c r="T879" s="177" t="n"/>
      <c r="U879" s="177" t="n"/>
      <c r="V879" s="177" t="n"/>
      <c r="W879" s="177" t="n"/>
      <c r="X879" s="177" t="n"/>
      <c r="Y879" s="177" t="n"/>
    </row>
    <row r="880">
      <c r="A880" s="177" t="n"/>
      <c r="B880" s="177" t="n"/>
      <c r="C880" s="177" t="n"/>
      <c r="D880" s="177" t="n"/>
      <c r="E880" s="177" t="n"/>
      <c r="F880" s="177" t="n"/>
      <c r="G880" s="177" t="n"/>
      <c r="H880" s="177" t="n"/>
      <c r="I880" s="177" t="n"/>
      <c r="J880" s="177" t="n"/>
      <c r="K880" s="177" t="n"/>
      <c r="L880" s="177" t="n"/>
      <c r="M880" s="177" t="n"/>
      <c r="N880" s="177" t="n"/>
      <c r="O880" s="177" t="n"/>
      <c r="P880" s="177" t="n"/>
      <c r="Q880" s="177" t="n"/>
      <c r="R880" s="177" t="n"/>
      <c r="S880" s="177" t="n"/>
      <c r="T880" s="177" t="n"/>
      <c r="U880" s="177" t="n"/>
      <c r="V880" s="177" t="n"/>
      <c r="W880" s="177" t="n"/>
      <c r="X880" s="177" t="n"/>
      <c r="Y880" s="177" t="n"/>
    </row>
    <row r="881">
      <c r="A881" s="177" t="n"/>
      <c r="B881" s="177" t="n"/>
      <c r="C881" s="177" t="n"/>
      <c r="D881" s="177" t="n"/>
      <c r="E881" s="177" t="n"/>
      <c r="F881" s="177" t="n"/>
      <c r="G881" s="177" t="n"/>
      <c r="H881" s="177" t="n"/>
      <c r="I881" s="177" t="n"/>
      <c r="J881" s="177" t="n"/>
      <c r="K881" s="177" t="n"/>
      <c r="L881" s="177" t="n"/>
      <c r="M881" s="177" t="n"/>
      <c r="N881" s="177" t="n"/>
      <c r="O881" s="177" t="n"/>
      <c r="P881" s="177" t="n"/>
      <c r="Q881" s="177" t="n"/>
      <c r="R881" s="177" t="n"/>
      <c r="S881" s="177" t="n"/>
      <c r="T881" s="177" t="n"/>
      <c r="U881" s="177" t="n"/>
      <c r="V881" s="177" t="n"/>
      <c r="W881" s="177" t="n"/>
      <c r="X881" s="177" t="n"/>
      <c r="Y881" s="177" t="n"/>
    </row>
    <row r="882">
      <c r="A882" s="177" t="n"/>
      <c r="B882" s="177" t="n"/>
      <c r="C882" s="177" t="n"/>
      <c r="D882" s="177" t="n"/>
      <c r="E882" s="177" t="n"/>
      <c r="F882" s="177" t="n"/>
      <c r="G882" s="177" t="n"/>
      <c r="H882" s="177" t="n"/>
      <c r="I882" s="177" t="n"/>
      <c r="J882" s="177" t="n"/>
      <c r="K882" s="177" t="n"/>
      <c r="L882" s="177" t="n"/>
      <c r="M882" s="177" t="n"/>
      <c r="N882" s="177" t="n"/>
      <c r="O882" s="177" t="n"/>
      <c r="P882" s="177" t="n"/>
      <c r="Q882" s="177" t="n"/>
      <c r="R882" s="177" t="n"/>
      <c r="S882" s="177" t="n"/>
      <c r="T882" s="177" t="n"/>
      <c r="U882" s="177" t="n"/>
      <c r="V882" s="177" t="n"/>
      <c r="W882" s="177" t="n"/>
      <c r="X882" s="177" t="n"/>
      <c r="Y882" s="177" t="n"/>
    </row>
    <row r="883">
      <c r="A883" s="177" t="n"/>
      <c r="B883" s="177" t="n"/>
      <c r="C883" s="177" t="n"/>
      <c r="D883" s="177" t="n"/>
      <c r="E883" s="177" t="n"/>
      <c r="F883" s="177" t="n"/>
      <c r="G883" s="177" t="n"/>
      <c r="H883" s="177" t="n"/>
      <c r="I883" s="177" t="n"/>
      <c r="J883" s="177" t="n"/>
      <c r="K883" s="177" t="n"/>
      <c r="L883" s="177" t="n"/>
      <c r="M883" s="177" t="n"/>
      <c r="N883" s="177" t="n"/>
      <c r="O883" s="177" t="n"/>
      <c r="P883" s="177" t="n"/>
      <c r="Q883" s="177" t="n"/>
      <c r="R883" s="177" t="n"/>
      <c r="S883" s="177" t="n"/>
      <c r="T883" s="177" t="n"/>
      <c r="U883" s="177" t="n"/>
      <c r="V883" s="177" t="n"/>
      <c r="W883" s="177" t="n"/>
      <c r="X883" s="177" t="n"/>
      <c r="Y883" s="177" t="n"/>
    </row>
    <row r="884">
      <c r="A884" s="177" t="n"/>
      <c r="B884" s="177" t="n"/>
      <c r="C884" s="177" t="n"/>
      <c r="D884" s="177" t="n"/>
      <c r="E884" s="177" t="n"/>
      <c r="F884" s="177" t="n"/>
      <c r="G884" s="177" t="n"/>
      <c r="H884" s="177" t="n"/>
      <c r="I884" s="177" t="n"/>
      <c r="J884" s="177" t="n"/>
      <c r="K884" s="177" t="n"/>
      <c r="L884" s="177" t="n"/>
      <c r="M884" s="177" t="n"/>
      <c r="N884" s="177" t="n"/>
      <c r="O884" s="177" t="n"/>
      <c r="P884" s="177" t="n"/>
      <c r="Q884" s="177" t="n"/>
      <c r="R884" s="177" t="n"/>
      <c r="S884" s="177" t="n"/>
      <c r="T884" s="177" t="n"/>
      <c r="U884" s="177" t="n"/>
      <c r="V884" s="177" t="n"/>
      <c r="W884" s="177" t="n"/>
      <c r="X884" s="177" t="n"/>
      <c r="Y884" s="177" t="n"/>
    </row>
    <row r="885">
      <c r="A885" s="177" t="n"/>
      <c r="B885" s="177" t="n"/>
      <c r="C885" s="177" t="n"/>
      <c r="D885" s="177" t="n"/>
      <c r="E885" s="177" t="n"/>
      <c r="F885" s="177" t="n"/>
      <c r="G885" s="177" t="n"/>
      <c r="H885" s="177" t="n"/>
      <c r="I885" s="177" t="n"/>
      <c r="J885" s="177" t="n"/>
      <c r="K885" s="177" t="n"/>
      <c r="L885" s="177" t="n"/>
      <c r="M885" s="177" t="n"/>
      <c r="N885" s="177" t="n"/>
      <c r="O885" s="177" t="n"/>
      <c r="P885" s="177" t="n"/>
      <c r="Q885" s="177" t="n"/>
      <c r="R885" s="177" t="n"/>
      <c r="S885" s="177" t="n"/>
      <c r="T885" s="177" t="n"/>
      <c r="U885" s="177" t="n"/>
      <c r="V885" s="177" t="n"/>
      <c r="W885" s="177" t="n"/>
      <c r="X885" s="177" t="n"/>
      <c r="Y885" s="177" t="n"/>
    </row>
    <row r="886">
      <c r="A886" s="177" t="n"/>
      <c r="B886" s="177" t="n"/>
      <c r="C886" s="177" t="n"/>
      <c r="D886" s="177" t="n"/>
      <c r="E886" s="177" t="n"/>
      <c r="F886" s="177" t="n"/>
      <c r="G886" s="177" t="n"/>
      <c r="H886" s="177" t="n"/>
      <c r="I886" s="177" t="n"/>
      <c r="J886" s="177" t="n"/>
      <c r="K886" s="177" t="n"/>
      <c r="L886" s="177" t="n"/>
      <c r="M886" s="177" t="n"/>
      <c r="N886" s="177" t="n"/>
      <c r="O886" s="177" t="n"/>
      <c r="P886" s="177" t="n"/>
      <c r="Q886" s="177" t="n"/>
      <c r="R886" s="177" t="n"/>
      <c r="S886" s="177" t="n"/>
      <c r="T886" s="177" t="n"/>
      <c r="U886" s="177" t="n"/>
      <c r="V886" s="177" t="n"/>
      <c r="W886" s="177" t="n"/>
      <c r="X886" s="177" t="n"/>
      <c r="Y886" s="177" t="n"/>
    </row>
    <row r="887">
      <c r="A887" s="177" t="n"/>
      <c r="B887" s="177" t="n"/>
      <c r="C887" s="177" t="n"/>
      <c r="D887" s="177" t="n"/>
      <c r="E887" s="177" t="n"/>
      <c r="F887" s="177" t="n"/>
      <c r="G887" s="177" t="n"/>
      <c r="H887" s="177" t="n"/>
      <c r="I887" s="177" t="n"/>
      <c r="J887" s="177" t="n"/>
      <c r="K887" s="177" t="n"/>
      <c r="L887" s="177" t="n"/>
      <c r="M887" s="177" t="n"/>
      <c r="N887" s="177" t="n"/>
      <c r="O887" s="177" t="n"/>
      <c r="P887" s="177" t="n"/>
      <c r="Q887" s="177" t="n"/>
      <c r="R887" s="177" t="n"/>
      <c r="S887" s="177" t="n"/>
      <c r="T887" s="177" t="n"/>
      <c r="U887" s="177" t="n"/>
      <c r="V887" s="177" t="n"/>
      <c r="W887" s="177" t="n"/>
      <c r="X887" s="177" t="n"/>
      <c r="Y887" s="177" t="n"/>
    </row>
    <row r="888">
      <c r="A888" s="177" t="n"/>
      <c r="B888" s="177" t="n"/>
      <c r="C888" s="177" t="n"/>
      <c r="D888" s="177" t="n"/>
      <c r="E888" s="177" t="n"/>
      <c r="F888" s="177" t="n"/>
      <c r="G888" s="177" t="n"/>
      <c r="H888" s="177" t="n"/>
      <c r="I888" s="177" t="n"/>
      <c r="J888" s="177" t="n"/>
      <c r="K888" s="177" t="n"/>
      <c r="L888" s="177" t="n"/>
      <c r="M888" s="177" t="n"/>
      <c r="N888" s="177" t="n"/>
      <c r="O888" s="177" t="n"/>
      <c r="P888" s="177" t="n"/>
      <c r="Q888" s="177" t="n"/>
      <c r="R888" s="177" t="n"/>
      <c r="S888" s="177" t="n"/>
      <c r="T888" s="177" t="n"/>
      <c r="U888" s="177" t="n"/>
      <c r="V888" s="177" t="n"/>
      <c r="W888" s="177" t="n"/>
      <c r="X888" s="177" t="n"/>
      <c r="Y888" s="177" t="n"/>
    </row>
    <row r="889">
      <c r="A889" s="177" t="n"/>
      <c r="B889" s="177" t="n"/>
      <c r="C889" s="177" t="n"/>
      <c r="D889" s="177" t="n"/>
      <c r="E889" s="177" t="n"/>
      <c r="F889" s="177" t="n"/>
      <c r="G889" s="177" t="n"/>
      <c r="H889" s="177" t="n"/>
      <c r="I889" s="177" t="n"/>
      <c r="J889" s="177" t="n"/>
      <c r="K889" s="177" t="n"/>
      <c r="L889" s="177" t="n"/>
      <c r="M889" s="177" t="n"/>
      <c r="N889" s="177" t="n"/>
      <c r="O889" s="177" t="n"/>
      <c r="P889" s="177" t="n"/>
      <c r="Q889" s="177" t="n"/>
      <c r="R889" s="177" t="n"/>
      <c r="S889" s="177" t="n"/>
      <c r="T889" s="177" t="n"/>
      <c r="U889" s="177" t="n"/>
      <c r="V889" s="177" t="n"/>
      <c r="W889" s="177" t="n"/>
      <c r="X889" s="177" t="n"/>
      <c r="Y889" s="177" t="n"/>
    </row>
    <row r="890">
      <c r="A890" s="177" t="n"/>
      <c r="B890" s="177" t="n"/>
      <c r="C890" s="177" t="n"/>
      <c r="D890" s="177" t="n"/>
      <c r="E890" s="177" t="n"/>
      <c r="F890" s="177" t="n"/>
      <c r="G890" s="177" t="n"/>
      <c r="H890" s="177" t="n"/>
      <c r="I890" s="177" t="n"/>
      <c r="J890" s="177" t="n"/>
      <c r="K890" s="177" t="n"/>
      <c r="L890" s="177" t="n"/>
      <c r="M890" s="177" t="n"/>
      <c r="N890" s="177" t="n"/>
      <c r="O890" s="177" t="n"/>
      <c r="P890" s="177" t="n"/>
      <c r="Q890" s="177" t="n"/>
      <c r="R890" s="177" t="n"/>
      <c r="S890" s="177" t="n"/>
      <c r="T890" s="177" t="n"/>
      <c r="U890" s="177" t="n"/>
      <c r="V890" s="177" t="n"/>
      <c r="W890" s="177" t="n"/>
      <c r="X890" s="177" t="n"/>
      <c r="Y890" s="177" t="n"/>
    </row>
    <row r="891">
      <c r="A891" s="177" t="n"/>
      <c r="B891" s="177" t="n"/>
      <c r="C891" s="177" t="n"/>
      <c r="D891" s="177" t="n"/>
      <c r="E891" s="177" t="n"/>
      <c r="F891" s="177" t="n"/>
      <c r="G891" s="177" t="n"/>
      <c r="H891" s="177" t="n"/>
      <c r="I891" s="177" t="n"/>
      <c r="J891" s="177" t="n"/>
      <c r="K891" s="177" t="n"/>
      <c r="L891" s="177" t="n"/>
      <c r="M891" s="177" t="n"/>
      <c r="N891" s="177" t="n"/>
      <c r="O891" s="177" t="n"/>
      <c r="P891" s="177" t="n"/>
      <c r="Q891" s="177" t="n"/>
      <c r="R891" s="177" t="n"/>
      <c r="S891" s="177" t="n"/>
      <c r="T891" s="177" t="n"/>
      <c r="U891" s="177" t="n"/>
      <c r="V891" s="177" t="n"/>
      <c r="W891" s="177" t="n"/>
      <c r="X891" s="177" t="n"/>
      <c r="Y891" s="177" t="n"/>
    </row>
    <row r="892">
      <c r="A892" s="177" t="n"/>
      <c r="B892" s="177" t="n"/>
      <c r="C892" s="177" t="n"/>
      <c r="D892" s="177" t="n"/>
      <c r="E892" s="177" t="n"/>
      <c r="F892" s="177" t="n"/>
      <c r="G892" s="177" t="n"/>
      <c r="H892" s="177" t="n"/>
      <c r="I892" s="177" t="n"/>
      <c r="J892" s="177" t="n"/>
      <c r="K892" s="177" t="n"/>
      <c r="L892" s="177" t="n"/>
      <c r="M892" s="177" t="n"/>
      <c r="N892" s="177" t="n"/>
      <c r="O892" s="177" t="n"/>
      <c r="P892" s="177" t="n"/>
      <c r="Q892" s="177" t="n"/>
      <c r="R892" s="177" t="n"/>
      <c r="S892" s="177" t="n"/>
      <c r="T892" s="177" t="n"/>
      <c r="U892" s="177" t="n"/>
      <c r="V892" s="177" t="n"/>
      <c r="W892" s="177" t="n"/>
      <c r="X892" s="177" t="n"/>
      <c r="Y892" s="177" t="n"/>
    </row>
    <row r="893">
      <c r="A893" s="177" t="n"/>
      <c r="B893" s="177" t="n"/>
      <c r="C893" s="177" t="n"/>
      <c r="D893" s="177" t="n"/>
      <c r="E893" s="177" t="n"/>
      <c r="F893" s="177" t="n"/>
      <c r="G893" s="177" t="n"/>
      <c r="H893" s="177" t="n"/>
      <c r="I893" s="177" t="n"/>
      <c r="J893" s="177" t="n"/>
      <c r="K893" s="177" t="n"/>
      <c r="L893" s="177" t="n"/>
      <c r="M893" s="177" t="n"/>
      <c r="N893" s="177" t="n"/>
      <c r="O893" s="177" t="n"/>
      <c r="P893" s="177" t="n"/>
      <c r="Q893" s="177" t="n"/>
      <c r="R893" s="177" t="n"/>
      <c r="S893" s="177" t="n"/>
      <c r="T893" s="177" t="n"/>
      <c r="U893" s="177" t="n"/>
      <c r="V893" s="177" t="n"/>
      <c r="W893" s="177" t="n"/>
      <c r="X893" s="177" t="n"/>
      <c r="Y893" s="177" t="n"/>
    </row>
    <row r="894">
      <c r="A894" s="177" t="n"/>
      <c r="B894" s="177" t="n"/>
      <c r="C894" s="177" t="n"/>
      <c r="D894" s="177" t="n"/>
      <c r="E894" s="177" t="n"/>
      <c r="F894" s="177" t="n"/>
      <c r="G894" s="177" t="n"/>
      <c r="H894" s="177" t="n"/>
      <c r="I894" s="177" t="n"/>
      <c r="J894" s="177" t="n"/>
      <c r="K894" s="177" t="n"/>
      <c r="L894" s="177" t="n"/>
      <c r="M894" s="177" t="n"/>
      <c r="N894" s="177" t="n"/>
      <c r="O894" s="177" t="n"/>
      <c r="P894" s="177" t="n"/>
      <c r="Q894" s="177" t="n"/>
      <c r="R894" s="177" t="n"/>
      <c r="S894" s="177" t="n"/>
      <c r="T894" s="177" t="n"/>
      <c r="U894" s="177" t="n"/>
      <c r="V894" s="177" t="n"/>
      <c r="W894" s="177" t="n"/>
      <c r="X894" s="177" t="n"/>
      <c r="Y894" s="177" t="n"/>
    </row>
    <row r="895">
      <c r="A895" s="177" t="n"/>
      <c r="B895" s="177" t="n"/>
      <c r="C895" s="177" t="n"/>
      <c r="D895" s="177" t="n"/>
      <c r="E895" s="177" t="n"/>
      <c r="F895" s="177" t="n"/>
      <c r="G895" s="177" t="n"/>
      <c r="H895" s="177" t="n"/>
      <c r="I895" s="177" t="n"/>
      <c r="J895" s="177" t="n"/>
      <c r="K895" s="177" t="n"/>
      <c r="L895" s="177" t="n"/>
      <c r="M895" s="177" t="n"/>
      <c r="N895" s="177" t="n"/>
      <c r="O895" s="177" t="n"/>
      <c r="P895" s="177" t="n"/>
      <c r="Q895" s="177" t="n"/>
      <c r="R895" s="177" t="n"/>
      <c r="S895" s="177" t="n"/>
      <c r="T895" s="177" t="n"/>
      <c r="U895" s="177" t="n"/>
      <c r="V895" s="177" t="n"/>
      <c r="W895" s="177" t="n"/>
      <c r="X895" s="177" t="n"/>
      <c r="Y895" s="177" t="n"/>
    </row>
    <row r="896">
      <c r="A896" s="177" t="n"/>
      <c r="B896" s="177" t="n"/>
      <c r="C896" s="177" t="n"/>
      <c r="D896" s="177" t="n"/>
      <c r="E896" s="177" t="n"/>
      <c r="F896" s="177" t="n"/>
      <c r="G896" s="177" t="n"/>
      <c r="H896" s="177" t="n"/>
      <c r="I896" s="177" t="n"/>
      <c r="J896" s="177" t="n"/>
      <c r="K896" s="177" t="n"/>
      <c r="L896" s="177" t="n"/>
      <c r="M896" s="177" t="n"/>
      <c r="N896" s="177" t="n"/>
      <c r="O896" s="177" t="n"/>
      <c r="P896" s="177" t="n"/>
      <c r="Q896" s="177" t="n"/>
      <c r="R896" s="177" t="n"/>
      <c r="S896" s="177" t="n"/>
      <c r="T896" s="177" t="n"/>
      <c r="U896" s="177" t="n"/>
      <c r="V896" s="177" t="n"/>
      <c r="W896" s="177" t="n"/>
      <c r="X896" s="177" t="n"/>
      <c r="Y896" s="177" t="n"/>
    </row>
    <row r="897">
      <c r="A897" s="177" t="n"/>
      <c r="B897" s="177" t="n"/>
      <c r="C897" s="177" t="n"/>
      <c r="D897" s="177" t="n"/>
      <c r="E897" s="177" t="n"/>
      <c r="F897" s="177" t="n"/>
      <c r="G897" s="177" t="n"/>
      <c r="H897" s="177" t="n"/>
      <c r="I897" s="177" t="n"/>
      <c r="J897" s="177" t="n"/>
      <c r="K897" s="177" t="n"/>
      <c r="L897" s="177" t="n"/>
      <c r="M897" s="177" t="n"/>
      <c r="N897" s="177" t="n"/>
      <c r="O897" s="177" t="n"/>
      <c r="P897" s="177" t="n"/>
      <c r="Q897" s="177" t="n"/>
      <c r="R897" s="177" t="n"/>
      <c r="S897" s="177" t="n"/>
      <c r="T897" s="177" t="n"/>
      <c r="U897" s="177" t="n"/>
      <c r="V897" s="177" t="n"/>
      <c r="W897" s="177" t="n"/>
      <c r="X897" s="177" t="n"/>
      <c r="Y897" s="177" t="n"/>
    </row>
    <row r="898">
      <c r="A898" s="177" t="n"/>
      <c r="B898" s="177" t="n"/>
      <c r="C898" s="177" t="n"/>
      <c r="D898" s="177" t="n"/>
      <c r="E898" s="177" t="n"/>
      <c r="F898" s="177" t="n"/>
      <c r="G898" s="177" t="n"/>
      <c r="H898" s="177" t="n"/>
      <c r="I898" s="177" t="n"/>
      <c r="J898" s="177" t="n"/>
      <c r="K898" s="177" t="n"/>
      <c r="L898" s="177" t="n"/>
      <c r="M898" s="177" t="n"/>
      <c r="N898" s="177" t="n"/>
      <c r="O898" s="177" t="n"/>
      <c r="P898" s="177" t="n"/>
      <c r="Q898" s="177" t="n"/>
      <c r="R898" s="177" t="n"/>
      <c r="S898" s="177" t="n"/>
      <c r="T898" s="177" t="n"/>
      <c r="U898" s="177" t="n"/>
      <c r="V898" s="177" t="n"/>
      <c r="W898" s="177" t="n"/>
      <c r="X898" s="177" t="n"/>
      <c r="Y898" s="177" t="n"/>
    </row>
    <row r="899">
      <c r="A899" s="177" t="n"/>
      <c r="B899" s="177" t="n"/>
      <c r="C899" s="177" t="n"/>
      <c r="D899" s="177" t="n"/>
      <c r="E899" s="177" t="n"/>
      <c r="F899" s="177" t="n"/>
      <c r="G899" s="177" t="n"/>
      <c r="H899" s="177" t="n"/>
      <c r="I899" s="177" t="n"/>
      <c r="J899" s="177" t="n"/>
      <c r="K899" s="177" t="n"/>
      <c r="L899" s="177" t="n"/>
      <c r="M899" s="177" t="n"/>
      <c r="N899" s="177" t="n"/>
      <c r="O899" s="177" t="n"/>
      <c r="P899" s="177" t="n"/>
      <c r="Q899" s="177" t="n"/>
      <c r="R899" s="177" t="n"/>
      <c r="S899" s="177" t="n"/>
      <c r="T899" s="177" t="n"/>
      <c r="U899" s="177" t="n"/>
      <c r="V899" s="177" t="n"/>
      <c r="W899" s="177" t="n"/>
      <c r="X899" s="177" t="n"/>
      <c r="Y899" s="177" t="n"/>
    </row>
    <row r="900">
      <c r="A900" s="177" t="n"/>
      <c r="B900" s="177" t="n"/>
      <c r="C900" s="177" t="n"/>
      <c r="D900" s="177" t="n"/>
      <c r="E900" s="177" t="n"/>
      <c r="F900" s="177" t="n"/>
      <c r="G900" s="177" t="n"/>
      <c r="H900" s="177" t="n"/>
      <c r="I900" s="177" t="n"/>
      <c r="J900" s="177" t="n"/>
      <c r="K900" s="177" t="n"/>
      <c r="L900" s="177" t="n"/>
      <c r="M900" s="177" t="n"/>
      <c r="N900" s="177" t="n"/>
      <c r="O900" s="177" t="n"/>
      <c r="P900" s="177" t="n"/>
      <c r="Q900" s="177" t="n"/>
      <c r="R900" s="177" t="n"/>
      <c r="S900" s="177" t="n"/>
      <c r="T900" s="177" t="n"/>
      <c r="U900" s="177" t="n"/>
      <c r="V900" s="177" t="n"/>
      <c r="W900" s="177" t="n"/>
      <c r="X900" s="177" t="n"/>
      <c r="Y900" s="177" t="n"/>
    </row>
    <row r="901">
      <c r="A901" s="177" t="n"/>
      <c r="B901" s="177" t="n"/>
      <c r="C901" s="177" t="n"/>
      <c r="D901" s="177" t="n"/>
      <c r="E901" s="177" t="n"/>
      <c r="F901" s="177" t="n"/>
      <c r="G901" s="177" t="n"/>
      <c r="H901" s="177" t="n"/>
      <c r="I901" s="177" t="n"/>
      <c r="J901" s="177" t="n"/>
      <c r="K901" s="177" t="n"/>
      <c r="L901" s="177" t="n"/>
      <c r="M901" s="177" t="n"/>
      <c r="N901" s="177" t="n"/>
      <c r="O901" s="177" t="n"/>
      <c r="P901" s="177" t="n"/>
      <c r="Q901" s="177" t="n"/>
      <c r="R901" s="177" t="n"/>
      <c r="S901" s="177" t="n"/>
      <c r="T901" s="177" t="n"/>
      <c r="U901" s="177" t="n"/>
      <c r="V901" s="177" t="n"/>
      <c r="W901" s="177" t="n"/>
      <c r="X901" s="177" t="n"/>
      <c r="Y901" s="177" t="n"/>
    </row>
    <row r="902">
      <c r="A902" s="177" t="n"/>
      <c r="B902" s="177" t="n"/>
      <c r="C902" s="177" t="n"/>
      <c r="D902" s="177" t="n"/>
      <c r="E902" s="177" t="n"/>
      <c r="F902" s="177" t="n"/>
      <c r="G902" s="177" t="n"/>
      <c r="H902" s="177" t="n"/>
      <c r="I902" s="177" t="n"/>
      <c r="J902" s="177" t="n"/>
      <c r="K902" s="177" t="n"/>
      <c r="L902" s="177" t="n"/>
      <c r="M902" s="177" t="n"/>
      <c r="N902" s="177" t="n"/>
      <c r="O902" s="177" t="n"/>
      <c r="P902" s="177" t="n"/>
      <c r="Q902" s="177" t="n"/>
      <c r="R902" s="177" t="n"/>
      <c r="S902" s="177" t="n"/>
      <c r="T902" s="177" t="n"/>
      <c r="U902" s="177" t="n"/>
      <c r="V902" s="177" t="n"/>
      <c r="W902" s="177" t="n"/>
      <c r="X902" s="177" t="n"/>
      <c r="Y902" s="177" t="n"/>
    </row>
    <row r="903">
      <c r="A903" s="177" t="n"/>
      <c r="B903" s="177" t="n"/>
      <c r="C903" s="177" t="n"/>
      <c r="D903" s="177" t="n"/>
      <c r="E903" s="177" t="n"/>
      <c r="F903" s="177" t="n"/>
      <c r="G903" s="177" t="n"/>
      <c r="H903" s="177" t="n"/>
      <c r="I903" s="177" t="n"/>
      <c r="J903" s="177" t="n"/>
      <c r="K903" s="177" t="n"/>
      <c r="L903" s="177" t="n"/>
      <c r="M903" s="177" t="n"/>
      <c r="N903" s="177" t="n"/>
      <c r="O903" s="177" t="n"/>
      <c r="P903" s="177" t="n"/>
      <c r="Q903" s="177" t="n"/>
      <c r="R903" s="177" t="n"/>
      <c r="S903" s="177" t="n"/>
      <c r="T903" s="177" t="n"/>
      <c r="U903" s="177" t="n"/>
      <c r="V903" s="177" t="n"/>
      <c r="W903" s="177" t="n"/>
      <c r="X903" s="177" t="n"/>
      <c r="Y903" s="177" t="n"/>
    </row>
    <row r="904">
      <c r="A904" s="177" t="n"/>
      <c r="B904" s="177" t="n"/>
      <c r="C904" s="177" t="n"/>
      <c r="D904" s="177" t="n"/>
      <c r="E904" s="177" t="n"/>
      <c r="F904" s="177" t="n"/>
      <c r="G904" s="177" t="n"/>
      <c r="H904" s="177" t="n"/>
      <c r="I904" s="177" t="n"/>
      <c r="J904" s="177" t="n"/>
      <c r="K904" s="177" t="n"/>
      <c r="L904" s="177" t="n"/>
      <c r="M904" s="177" t="n"/>
      <c r="N904" s="177" t="n"/>
      <c r="O904" s="177" t="n"/>
      <c r="P904" s="177" t="n"/>
      <c r="Q904" s="177" t="n"/>
      <c r="R904" s="177" t="n"/>
      <c r="S904" s="177" t="n"/>
      <c r="T904" s="177" t="n"/>
      <c r="U904" s="177" t="n"/>
      <c r="V904" s="177" t="n"/>
      <c r="W904" s="177" t="n"/>
      <c r="X904" s="177" t="n"/>
      <c r="Y904" s="177" t="n"/>
    </row>
    <row r="905">
      <c r="A905" s="177" t="n"/>
      <c r="B905" s="177" t="n"/>
      <c r="C905" s="177" t="n"/>
      <c r="D905" s="177" t="n"/>
      <c r="E905" s="177" t="n"/>
      <c r="F905" s="177" t="n"/>
      <c r="G905" s="177" t="n"/>
      <c r="H905" s="177" t="n"/>
      <c r="I905" s="177" t="n"/>
      <c r="J905" s="177" t="n"/>
      <c r="K905" s="177" t="n"/>
      <c r="L905" s="177" t="n"/>
      <c r="M905" s="177" t="n"/>
      <c r="N905" s="177" t="n"/>
      <c r="O905" s="177" t="n"/>
      <c r="P905" s="177" t="n"/>
      <c r="Q905" s="177" t="n"/>
      <c r="R905" s="177" t="n"/>
      <c r="S905" s="177" t="n"/>
      <c r="T905" s="177" t="n"/>
      <c r="U905" s="177" t="n"/>
      <c r="V905" s="177" t="n"/>
      <c r="W905" s="177" t="n"/>
      <c r="X905" s="177" t="n"/>
      <c r="Y905" s="177" t="n"/>
    </row>
    <row r="906">
      <c r="A906" s="177" t="n"/>
      <c r="B906" s="177" t="n"/>
      <c r="C906" s="177" t="n"/>
      <c r="D906" s="177" t="n"/>
      <c r="E906" s="177" t="n"/>
      <c r="F906" s="177" t="n"/>
      <c r="G906" s="177" t="n"/>
      <c r="H906" s="177" t="n"/>
      <c r="I906" s="177" t="n"/>
      <c r="J906" s="177" t="n"/>
      <c r="K906" s="177" t="n"/>
      <c r="L906" s="177" t="n"/>
      <c r="M906" s="177" t="n"/>
      <c r="N906" s="177" t="n"/>
      <c r="O906" s="177" t="n"/>
      <c r="P906" s="177" t="n"/>
      <c r="Q906" s="177" t="n"/>
      <c r="R906" s="177" t="n"/>
      <c r="S906" s="177" t="n"/>
      <c r="T906" s="177" t="n"/>
      <c r="U906" s="177" t="n"/>
      <c r="V906" s="177" t="n"/>
      <c r="W906" s="177" t="n"/>
      <c r="X906" s="177" t="n"/>
      <c r="Y906" s="177" t="n"/>
    </row>
    <row r="907">
      <c r="A907" s="177" t="n"/>
      <c r="B907" s="177" t="n"/>
      <c r="C907" s="177" t="n"/>
      <c r="D907" s="177" t="n"/>
      <c r="E907" s="177" t="n"/>
      <c r="F907" s="177" t="n"/>
      <c r="G907" s="177" t="n"/>
      <c r="H907" s="177" t="n"/>
      <c r="I907" s="177" t="n"/>
      <c r="J907" s="177" t="n"/>
      <c r="K907" s="177" t="n"/>
      <c r="L907" s="177" t="n"/>
      <c r="M907" s="177" t="n"/>
      <c r="N907" s="177" t="n"/>
      <c r="O907" s="177" t="n"/>
      <c r="P907" s="177" t="n"/>
      <c r="Q907" s="177" t="n"/>
      <c r="R907" s="177" t="n"/>
      <c r="S907" s="177" t="n"/>
      <c r="T907" s="177" t="n"/>
      <c r="U907" s="177" t="n"/>
      <c r="V907" s="177" t="n"/>
      <c r="W907" s="177" t="n"/>
      <c r="X907" s="177" t="n"/>
      <c r="Y907" s="177" t="n"/>
    </row>
    <row r="908">
      <c r="A908" s="177" t="n"/>
      <c r="B908" s="177" t="n"/>
      <c r="C908" s="177" t="n"/>
      <c r="D908" s="177" t="n"/>
      <c r="E908" s="177" t="n"/>
      <c r="F908" s="177" t="n"/>
      <c r="G908" s="177" t="n"/>
      <c r="H908" s="177" t="n"/>
      <c r="I908" s="177" t="n"/>
      <c r="J908" s="177" t="n"/>
      <c r="K908" s="177" t="n"/>
      <c r="L908" s="177" t="n"/>
      <c r="M908" s="177" t="n"/>
      <c r="N908" s="177" t="n"/>
      <c r="O908" s="177" t="n"/>
      <c r="P908" s="177" t="n"/>
      <c r="Q908" s="177" t="n"/>
      <c r="R908" s="177" t="n"/>
      <c r="S908" s="177" t="n"/>
      <c r="T908" s="177" t="n"/>
      <c r="U908" s="177" t="n"/>
      <c r="V908" s="177" t="n"/>
      <c r="W908" s="177" t="n"/>
      <c r="X908" s="177" t="n"/>
      <c r="Y908" s="177" t="n"/>
    </row>
    <row r="909">
      <c r="A909" s="177" t="n"/>
      <c r="B909" s="177" t="n"/>
      <c r="C909" s="177" t="n"/>
      <c r="D909" s="177" t="n"/>
      <c r="E909" s="177" t="n"/>
      <c r="F909" s="177" t="n"/>
      <c r="G909" s="177" t="n"/>
      <c r="H909" s="177" t="n"/>
      <c r="I909" s="177" t="n"/>
      <c r="J909" s="177" t="n"/>
      <c r="K909" s="177" t="n"/>
      <c r="L909" s="177" t="n"/>
      <c r="M909" s="177" t="n"/>
      <c r="N909" s="177" t="n"/>
      <c r="O909" s="177" t="n"/>
      <c r="P909" s="177" t="n"/>
      <c r="Q909" s="177" t="n"/>
      <c r="R909" s="177" t="n"/>
      <c r="S909" s="177" t="n"/>
      <c r="T909" s="177" t="n"/>
      <c r="U909" s="177" t="n"/>
      <c r="V909" s="177" t="n"/>
      <c r="W909" s="177" t="n"/>
      <c r="X909" s="177" t="n"/>
      <c r="Y909" s="177" t="n"/>
    </row>
    <row r="910">
      <c r="A910" s="177" t="n"/>
      <c r="B910" s="177" t="n"/>
      <c r="C910" s="177" t="n"/>
      <c r="D910" s="177" t="n"/>
      <c r="E910" s="177" t="n"/>
      <c r="F910" s="177" t="n"/>
      <c r="G910" s="177" t="n"/>
      <c r="H910" s="177" t="n"/>
      <c r="I910" s="177" t="n"/>
      <c r="J910" s="177" t="n"/>
      <c r="K910" s="177" t="n"/>
      <c r="L910" s="177" t="n"/>
      <c r="M910" s="177" t="n"/>
      <c r="N910" s="177" t="n"/>
      <c r="O910" s="177" t="n"/>
      <c r="P910" s="177" t="n"/>
      <c r="Q910" s="177" t="n"/>
      <c r="R910" s="177" t="n"/>
      <c r="S910" s="177" t="n"/>
      <c r="T910" s="177" t="n"/>
      <c r="U910" s="177" t="n"/>
      <c r="V910" s="177" t="n"/>
      <c r="W910" s="177" t="n"/>
      <c r="X910" s="177" t="n"/>
      <c r="Y910" s="177" t="n"/>
    </row>
    <row r="911">
      <c r="A911" s="177" t="n"/>
      <c r="B911" s="177" t="n"/>
      <c r="C911" s="177" t="n"/>
      <c r="D911" s="177" t="n"/>
      <c r="E911" s="177" t="n"/>
      <c r="F911" s="177" t="n"/>
      <c r="G911" s="177" t="n"/>
      <c r="H911" s="177" t="n"/>
      <c r="I911" s="177" t="n"/>
      <c r="J911" s="177" t="n"/>
      <c r="K911" s="177" t="n"/>
      <c r="L911" s="177" t="n"/>
      <c r="M911" s="177" t="n"/>
      <c r="N911" s="177" t="n"/>
      <c r="O911" s="177" t="n"/>
      <c r="P911" s="177" t="n"/>
      <c r="Q911" s="177" t="n"/>
      <c r="R911" s="177" t="n"/>
      <c r="S911" s="177" t="n"/>
      <c r="T911" s="177" t="n"/>
      <c r="U911" s="177" t="n"/>
      <c r="V911" s="177" t="n"/>
      <c r="W911" s="177" t="n"/>
      <c r="X911" s="177" t="n"/>
      <c r="Y911" s="177" t="n"/>
    </row>
    <row r="912">
      <c r="A912" s="177" t="n"/>
      <c r="B912" s="177" t="n"/>
      <c r="C912" s="177" t="n"/>
      <c r="D912" s="177" t="n"/>
      <c r="E912" s="177" t="n"/>
      <c r="F912" s="177" t="n"/>
      <c r="G912" s="177" t="n"/>
      <c r="H912" s="177" t="n"/>
      <c r="I912" s="177" t="n"/>
      <c r="J912" s="177" t="n"/>
      <c r="K912" s="177" t="n"/>
      <c r="L912" s="177" t="n"/>
      <c r="M912" s="177" t="n"/>
      <c r="N912" s="177" t="n"/>
      <c r="O912" s="177" t="n"/>
      <c r="P912" s="177" t="n"/>
      <c r="Q912" s="177" t="n"/>
      <c r="R912" s="177" t="n"/>
      <c r="S912" s="177" t="n"/>
      <c r="T912" s="177" t="n"/>
      <c r="U912" s="177" t="n"/>
      <c r="V912" s="177" t="n"/>
      <c r="W912" s="177" t="n"/>
      <c r="X912" s="177" t="n"/>
      <c r="Y912" s="177" t="n"/>
    </row>
    <row r="913">
      <c r="A913" s="177" t="n"/>
      <c r="B913" s="177" t="n"/>
      <c r="C913" s="177" t="n"/>
      <c r="D913" s="177" t="n"/>
      <c r="E913" s="177" t="n"/>
      <c r="F913" s="177" t="n"/>
      <c r="G913" s="177" t="n"/>
      <c r="H913" s="177" t="n"/>
      <c r="I913" s="177" t="n"/>
      <c r="J913" s="177" t="n"/>
      <c r="K913" s="177" t="n"/>
      <c r="L913" s="177" t="n"/>
      <c r="M913" s="177" t="n"/>
      <c r="N913" s="177" t="n"/>
      <c r="O913" s="177" t="n"/>
      <c r="P913" s="177" t="n"/>
      <c r="Q913" s="177" t="n"/>
      <c r="R913" s="177" t="n"/>
      <c r="S913" s="177" t="n"/>
      <c r="T913" s="177" t="n"/>
      <c r="U913" s="177" t="n"/>
      <c r="V913" s="177" t="n"/>
      <c r="W913" s="177" t="n"/>
      <c r="X913" s="177" t="n"/>
      <c r="Y913" s="177" t="n"/>
    </row>
    <row r="914">
      <c r="A914" s="177" t="n"/>
      <c r="B914" s="177" t="n"/>
      <c r="C914" s="177" t="n"/>
      <c r="D914" s="177" t="n"/>
      <c r="E914" s="177" t="n"/>
      <c r="F914" s="177" t="n"/>
      <c r="G914" s="177" t="n"/>
      <c r="H914" s="177" t="n"/>
      <c r="I914" s="177" t="n"/>
      <c r="J914" s="177" t="n"/>
      <c r="K914" s="177" t="n"/>
      <c r="L914" s="177" t="n"/>
      <c r="M914" s="177" t="n"/>
      <c r="N914" s="177" t="n"/>
      <c r="O914" s="177" t="n"/>
      <c r="P914" s="177" t="n"/>
      <c r="Q914" s="177" t="n"/>
      <c r="R914" s="177" t="n"/>
      <c r="S914" s="177" t="n"/>
      <c r="T914" s="177" t="n"/>
      <c r="U914" s="177" t="n"/>
      <c r="V914" s="177" t="n"/>
      <c r="W914" s="177" t="n"/>
      <c r="X914" s="177" t="n"/>
      <c r="Y914" s="177" t="n"/>
    </row>
    <row r="915">
      <c r="A915" s="177" t="n"/>
      <c r="B915" s="177" t="n"/>
      <c r="C915" s="177" t="n"/>
      <c r="D915" s="177" t="n"/>
      <c r="E915" s="177" t="n"/>
      <c r="F915" s="177" t="n"/>
      <c r="G915" s="177" t="n"/>
      <c r="H915" s="177" t="n"/>
      <c r="I915" s="177" t="n"/>
      <c r="J915" s="177" t="n"/>
      <c r="K915" s="177" t="n"/>
      <c r="L915" s="177" t="n"/>
      <c r="M915" s="177" t="n"/>
      <c r="N915" s="177" t="n"/>
      <c r="O915" s="177" t="n"/>
      <c r="P915" s="177" t="n"/>
      <c r="Q915" s="177" t="n"/>
      <c r="R915" s="177" t="n"/>
      <c r="S915" s="177" t="n"/>
      <c r="T915" s="177" t="n"/>
      <c r="U915" s="177" t="n"/>
      <c r="V915" s="177" t="n"/>
      <c r="W915" s="177" t="n"/>
      <c r="X915" s="177" t="n"/>
      <c r="Y915" s="177" t="n"/>
    </row>
    <row r="916">
      <c r="A916" s="177" t="n"/>
      <c r="B916" s="177" t="n"/>
      <c r="C916" s="177" t="n"/>
      <c r="D916" s="177" t="n"/>
      <c r="E916" s="177" t="n"/>
      <c r="F916" s="177" t="n"/>
      <c r="G916" s="177" t="n"/>
      <c r="H916" s="177" t="n"/>
      <c r="I916" s="177" t="n"/>
      <c r="J916" s="177" t="n"/>
      <c r="K916" s="177" t="n"/>
      <c r="L916" s="177" t="n"/>
      <c r="M916" s="177" t="n"/>
      <c r="N916" s="177" t="n"/>
      <c r="O916" s="177" t="n"/>
      <c r="P916" s="177" t="n"/>
      <c r="Q916" s="177" t="n"/>
      <c r="R916" s="177" t="n"/>
      <c r="S916" s="177" t="n"/>
      <c r="T916" s="177" t="n"/>
      <c r="U916" s="177" t="n"/>
      <c r="V916" s="177" t="n"/>
      <c r="W916" s="177" t="n"/>
      <c r="X916" s="177" t="n"/>
      <c r="Y916" s="177" t="n"/>
    </row>
    <row r="917">
      <c r="A917" s="177" t="n"/>
      <c r="B917" s="177" t="n"/>
      <c r="C917" s="177" t="n"/>
      <c r="D917" s="177" t="n"/>
      <c r="E917" s="177" t="n"/>
      <c r="F917" s="177" t="n"/>
      <c r="G917" s="177" t="n"/>
      <c r="H917" s="177" t="n"/>
      <c r="I917" s="177" t="n"/>
      <c r="J917" s="177" t="n"/>
      <c r="K917" s="177" t="n"/>
      <c r="L917" s="177" t="n"/>
      <c r="M917" s="177" t="n"/>
      <c r="N917" s="177" t="n"/>
      <c r="O917" s="177" t="n"/>
      <c r="P917" s="177" t="n"/>
      <c r="Q917" s="177" t="n"/>
      <c r="R917" s="177" t="n"/>
      <c r="S917" s="177" t="n"/>
      <c r="T917" s="177" t="n"/>
      <c r="U917" s="177" t="n"/>
      <c r="V917" s="177" t="n"/>
      <c r="W917" s="177" t="n"/>
      <c r="X917" s="177" t="n"/>
      <c r="Y917" s="177" t="n"/>
    </row>
    <row r="918">
      <c r="A918" s="177" t="n"/>
      <c r="B918" s="177" t="n"/>
      <c r="C918" s="177" t="n"/>
      <c r="D918" s="177" t="n"/>
      <c r="E918" s="177" t="n"/>
      <c r="F918" s="177" t="n"/>
      <c r="G918" s="177" t="n"/>
      <c r="H918" s="177" t="n"/>
      <c r="I918" s="177" t="n"/>
      <c r="J918" s="177" t="n"/>
      <c r="K918" s="177" t="n"/>
      <c r="L918" s="177" t="n"/>
      <c r="M918" s="177" t="n"/>
      <c r="N918" s="177" t="n"/>
      <c r="O918" s="177" t="n"/>
      <c r="P918" s="177" t="n"/>
      <c r="Q918" s="177" t="n"/>
      <c r="R918" s="177" t="n"/>
      <c r="S918" s="177" t="n"/>
      <c r="T918" s="177" t="n"/>
      <c r="U918" s="177" t="n"/>
      <c r="V918" s="177" t="n"/>
      <c r="W918" s="177" t="n"/>
      <c r="X918" s="177" t="n"/>
      <c r="Y918" s="177" t="n"/>
    </row>
    <row r="919">
      <c r="A919" s="177" t="n"/>
      <c r="B919" s="177" t="n"/>
      <c r="C919" s="177" t="n"/>
      <c r="D919" s="177" t="n"/>
      <c r="E919" s="177" t="n"/>
      <c r="F919" s="177" t="n"/>
      <c r="G919" s="177" t="n"/>
      <c r="H919" s="177" t="n"/>
      <c r="I919" s="177" t="n"/>
      <c r="J919" s="177" t="n"/>
      <c r="K919" s="177" t="n"/>
      <c r="L919" s="177" t="n"/>
      <c r="M919" s="177" t="n"/>
      <c r="N919" s="177" t="n"/>
      <c r="O919" s="177" t="n"/>
      <c r="P919" s="177" t="n"/>
      <c r="Q919" s="177" t="n"/>
      <c r="R919" s="177" t="n"/>
      <c r="S919" s="177" t="n"/>
      <c r="T919" s="177" t="n"/>
      <c r="U919" s="177" t="n"/>
      <c r="V919" s="177" t="n"/>
      <c r="W919" s="177" t="n"/>
      <c r="X919" s="177" t="n"/>
      <c r="Y919" s="177" t="n"/>
    </row>
    <row r="920">
      <c r="A920" s="177" t="n"/>
      <c r="B920" s="177" t="n"/>
      <c r="C920" s="177" t="n"/>
      <c r="D920" s="177" t="n"/>
      <c r="E920" s="177" t="n"/>
      <c r="F920" s="177" t="n"/>
      <c r="G920" s="177" t="n"/>
      <c r="H920" s="177" t="n"/>
      <c r="I920" s="177" t="n"/>
      <c r="J920" s="177" t="n"/>
      <c r="K920" s="177" t="n"/>
      <c r="L920" s="177" t="n"/>
      <c r="M920" s="177" t="n"/>
      <c r="N920" s="177" t="n"/>
      <c r="O920" s="177" t="n"/>
      <c r="P920" s="177" t="n"/>
      <c r="Q920" s="177" t="n"/>
      <c r="R920" s="177" t="n"/>
      <c r="S920" s="177" t="n"/>
      <c r="T920" s="177" t="n"/>
      <c r="U920" s="177" t="n"/>
      <c r="V920" s="177" t="n"/>
      <c r="W920" s="177" t="n"/>
      <c r="X920" s="177" t="n"/>
      <c r="Y920" s="177" t="n"/>
    </row>
    <row r="921">
      <c r="A921" s="177" t="n"/>
      <c r="B921" s="177" t="n"/>
      <c r="C921" s="177" t="n"/>
      <c r="D921" s="177" t="n"/>
      <c r="E921" s="177" t="n"/>
      <c r="F921" s="177" t="n"/>
      <c r="G921" s="177" t="n"/>
      <c r="H921" s="177" t="n"/>
      <c r="I921" s="177" t="n"/>
      <c r="J921" s="177" t="n"/>
      <c r="K921" s="177" t="n"/>
      <c r="L921" s="177" t="n"/>
      <c r="M921" s="177" t="n"/>
      <c r="N921" s="177" t="n"/>
      <c r="O921" s="177" t="n"/>
      <c r="P921" s="177" t="n"/>
      <c r="Q921" s="177" t="n"/>
      <c r="R921" s="177" t="n"/>
      <c r="S921" s="177" t="n"/>
      <c r="T921" s="177" t="n"/>
      <c r="U921" s="177" t="n"/>
      <c r="V921" s="177" t="n"/>
      <c r="W921" s="177" t="n"/>
      <c r="X921" s="177" t="n"/>
      <c r="Y921" s="177" t="n"/>
    </row>
    <row r="922">
      <c r="A922" s="177" t="n"/>
      <c r="B922" s="177" t="n"/>
      <c r="C922" s="177" t="n"/>
      <c r="D922" s="177" t="n"/>
      <c r="E922" s="177" t="n"/>
      <c r="F922" s="177" t="n"/>
      <c r="G922" s="177" t="n"/>
      <c r="H922" s="177" t="n"/>
      <c r="I922" s="177" t="n"/>
      <c r="J922" s="177" t="n"/>
      <c r="K922" s="177" t="n"/>
      <c r="L922" s="177" t="n"/>
      <c r="M922" s="177" t="n"/>
      <c r="N922" s="177" t="n"/>
      <c r="O922" s="177" t="n"/>
      <c r="P922" s="177" t="n"/>
      <c r="Q922" s="177" t="n"/>
      <c r="R922" s="177" t="n"/>
      <c r="S922" s="177" t="n"/>
      <c r="T922" s="177" t="n"/>
      <c r="U922" s="177" t="n"/>
      <c r="V922" s="177" t="n"/>
      <c r="W922" s="177" t="n"/>
      <c r="X922" s="177" t="n"/>
      <c r="Y922" s="177" t="n"/>
    </row>
    <row r="923">
      <c r="A923" s="177" t="n"/>
      <c r="B923" s="177" t="n"/>
      <c r="C923" s="177" t="n"/>
      <c r="D923" s="177" t="n"/>
      <c r="E923" s="177" t="n"/>
      <c r="F923" s="177" t="n"/>
      <c r="G923" s="177" t="n"/>
      <c r="H923" s="177" t="n"/>
      <c r="I923" s="177" t="n"/>
      <c r="J923" s="177" t="n"/>
      <c r="K923" s="177" t="n"/>
      <c r="L923" s="177" t="n"/>
      <c r="M923" s="177" t="n"/>
      <c r="N923" s="177" t="n"/>
      <c r="O923" s="177" t="n"/>
      <c r="P923" s="177" t="n"/>
      <c r="Q923" s="177" t="n"/>
      <c r="R923" s="177" t="n"/>
      <c r="S923" s="177" t="n"/>
      <c r="T923" s="177" t="n"/>
      <c r="U923" s="177" t="n"/>
      <c r="V923" s="177" t="n"/>
      <c r="W923" s="177" t="n"/>
      <c r="X923" s="177" t="n"/>
      <c r="Y923" s="177" t="n"/>
    </row>
    <row r="924">
      <c r="A924" s="177" t="n"/>
      <c r="B924" s="177" t="n"/>
      <c r="C924" s="177" t="n"/>
      <c r="D924" s="177" t="n"/>
      <c r="E924" s="177" t="n"/>
      <c r="F924" s="177" t="n"/>
      <c r="G924" s="177" t="n"/>
      <c r="H924" s="177" t="n"/>
      <c r="I924" s="177" t="n"/>
      <c r="J924" s="177" t="n"/>
      <c r="K924" s="177" t="n"/>
      <c r="L924" s="177" t="n"/>
      <c r="M924" s="177" t="n"/>
      <c r="N924" s="177" t="n"/>
      <c r="O924" s="177" t="n"/>
      <c r="P924" s="177" t="n"/>
      <c r="Q924" s="177" t="n"/>
      <c r="R924" s="177" t="n"/>
      <c r="S924" s="177" t="n"/>
      <c r="T924" s="177" t="n"/>
      <c r="U924" s="177" t="n"/>
      <c r="V924" s="177" t="n"/>
      <c r="W924" s="177" t="n"/>
      <c r="X924" s="177" t="n"/>
      <c r="Y924" s="177" t="n"/>
    </row>
    <row r="925">
      <c r="A925" s="177" t="n"/>
      <c r="B925" s="177" t="n"/>
      <c r="C925" s="177" t="n"/>
      <c r="D925" s="177" t="n"/>
      <c r="E925" s="177" t="n"/>
      <c r="F925" s="177" t="n"/>
      <c r="G925" s="177" t="n"/>
      <c r="H925" s="177" t="n"/>
      <c r="I925" s="177" t="n"/>
      <c r="J925" s="177" t="n"/>
      <c r="K925" s="177" t="n"/>
      <c r="L925" s="177" t="n"/>
      <c r="M925" s="177" t="n"/>
      <c r="N925" s="177" t="n"/>
      <c r="O925" s="177" t="n"/>
      <c r="P925" s="177" t="n"/>
      <c r="Q925" s="177" t="n"/>
      <c r="R925" s="177" t="n"/>
      <c r="S925" s="177" t="n"/>
      <c r="T925" s="177" t="n"/>
      <c r="U925" s="177" t="n"/>
      <c r="V925" s="177" t="n"/>
      <c r="W925" s="177" t="n"/>
      <c r="X925" s="177" t="n"/>
      <c r="Y925" s="177" t="n"/>
    </row>
    <row r="926">
      <c r="A926" s="177" t="n"/>
      <c r="B926" s="177" t="n"/>
      <c r="C926" s="177" t="n"/>
      <c r="D926" s="177" t="n"/>
      <c r="E926" s="177" t="n"/>
      <c r="F926" s="177" t="n"/>
      <c r="G926" s="177" t="n"/>
      <c r="H926" s="177" t="n"/>
      <c r="I926" s="177" t="n"/>
      <c r="J926" s="177" t="n"/>
      <c r="K926" s="177" t="n"/>
      <c r="L926" s="177" t="n"/>
      <c r="M926" s="177" t="n"/>
      <c r="N926" s="177" t="n"/>
      <c r="O926" s="177" t="n"/>
      <c r="P926" s="177" t="n"/>
      <c r="Q926" s="177" t="n"/>
      <c r="R926" s="177" t="n"/>
      <c r="S926" s="177" t="n"/>
      <c r="T926" s="177" t="n"/>
      <c r="U926" s="177" t="n"/>
      <c r="V926" s="177" t="n"/>
      <c r="W926" s="177" t="n"/>
      <c r="X926" s="177" t="n"/>
      <c r="Y926" s="177" t="n"/>
    </row>
    <row r="927">
      <c r="A927" s="177" t="n"/>
      <c r="B927" s="177" t="n"/>
      <c r="C927" s="177" t="n"/>
      <c r="D927" s="177" t="n"/>
      <c r="E927" s="177" t="n"/>
      <c r="F927" s="177" t="n"/>
      <c r="G927" s="177" t="n"/>
      <c r="H927" s="177" t="n"/>
      <c r="I927" s="177" t="n"/>
      <c r="J927" s="177" t="n"/>
      <c r="K927" s="177" t="n"/>
      <c r="L927" s="177" t="n"/>
      <c r="M927" s="177" t="n"/>
      <c r="N927" s="177" t="n"/>
      <c r="O927" s="177" t="n"/>
      <c r="P927" s="177" t="n"/>
      <c r="Q927" s="177" t="n"/>
      <c r="R927" s="177" t="n"/>
      <c r="S927" s="177" t="n"/>
      <c r="T927" s="177" t="n"/>
      <c r="U927" s="177" t="n"/>
      <c r="V927" s="177" t="n"/>
      <c r="W927" s="177" t="n"/>
      <c r="X927" s="177" t="n"/>
      <c r="Y927" s="177" t="n"/>
    </row>
    <row r="928">
      <c r="A928" s="177" t="n"/>
      <c r="B928" s="177" t="n"/>
      <c r="C928" s="177" t="n"/>
      <c r="D928" s="177" t="n"/>
      <c r="E928" s="177" t="n"/>
      <c r="F928" s="177" t="n"/>
      <c r="G928" s="177" t="n"/>
      <c r="H928" s="177" t="n"/>
      <c r="I928" s="177" t="n"/>
      <c r="J928" s="177" t="n"/>
      <c r="K928" s="177" t="n"/>
      <c r="L928" s="177" t="n"/>
      <c r="M928" s="177" t="n"/>
      <c r="N928" s="177" t="n"/>
      <c r="O928" s="177" t="n"/>
      <c r="P928" s="177" t="n"/>
      <c r="Q928" s="177" t="n"/>
      <c r="R928" s="177" t="n"/>
      <c r="S928" s="177" t="n"/>
      <c r="T928" s="177" t="n"/>
      <c r="U928" s="177" t="n"/>
      <c r="V928" s="177" t="n"/>
      <c r="W928" s="177" t="n"/>
      <c r="X928" s="177" t="n"/>
      <c r="Y928" s="177" t="n"/>
    </row>
    <row r="929">
      <c r="A929" s="177" t="n"/>
      <c r="B929" s="177" t="n"/>
      <c r="C929" s="177" t="n"/>
      <c r="D929" s="177" t="n"/>
      <c r="E929" s="177" t="n"/>
      <c r="F929" s="177" t="n"/>
      <c r="G929" s="177" t="n"/>
      <c r="H929" s="177" t="n"/>
      <c r="I929" s="177" t="n"/>
      <c r="J929" s="177" t="n"/>
      <c r="K929" s="177" t="n"/>
      <c r="L929" s="177" t="n"/>
      <c r="M929" s="177" t="n"/>
      <c r="N929" s="177" t="n"/>
      <c r="O929" s="177" t="n"/>
      <c r="P929" s="177" t="n"/>
      <c r="Q929" s="177" t="n"/>
      <c r="R929" s="177" t="n"/>
      <c r="S929" s="177" t="n"/>
      <c r="T929" s="177" t="n"/>
      <c r="U929" s="177" t="n"/>
      <c r="V929" s="177" t="n"/>
      <c r="W929" s="177" t="n"/>
      <c r="X929" s="177" t="n"/>
      <c r="Y929" s="177" t="n"/>
    </row>
    <row r="930">
      <c r="A930" s="177" t="n"/>
      <c r="B930" s="177" t="n"/>
      <c r="C930" s="177" t="n"/>
      <c r="D930" s="177" t="n"/>
      <c r="E930" s="177" t="n"/>
      <c r="F930" s="177" t="n"/>
      <c r="G930" s="177" t="n"/>
      <c r="H930" s="177" t="n"/>
      <c r="I930" s="177" t="n"/>
      <c r="J930" s="177" t="n"/>
      <c r="K930" s="177" t="n"/>
      <c r="L930" s="177" t="n"/>
      <c r="M930" s="177" t="n"/>
      <c r="N930" s="177" t="n"/>
      <c r="O930" s="177" t="n"/>
      <c r="P930" s="177" t="n"/>
      <c r="Q930" s="177" t="n"/>
      <c r="R930" s="177" t="n"/>
      <c r="S930" s="177" t="n"/>
      <c r="T930" s="177" t="n"/>
      <c r="U930" s="177" t="n"/>
      <c r="V930" s="177" t="n"/>
      <c r="W930" s="177" t="n"/>
      <c r="X930" s="177" t="n"/>
      <c r="Y930" s="177" t="n"/>
    </row>
    <row r="931">
      <c r="A931" s="177" t="n"/>
      <c r="B931" s="177" t="n"/>
      <c r="C931" s="177" t="n"/>
      <c r="D931" s="177" t="n"/>
      <c r="E931" s="177" t="n"/>
      <c r="F931" s="177" t="n"/>
      <c r="G931" s="177" t="n"/>
      <c r="H931" s="177" t="n"/>
      <c r="I931" s="177" t="n"/>
      <c r="J931" s="177" t="n"/>
      <c r="K931" s="177" t="n"/>
      <c r="L931" s="177" t="n"/>
      <c r="M931" s="177" t="n"/>
      <c r="N931" s="177" t="n"/>
      <c r="O931" s="177" t="n"/>
      <c r="P931" s="177" t="n"/>
      <c r="Q931" s="177" t="n"/>
      <c r="R931" s="177" t="n"/>
      <c r="S931" s="177" t="n"/>
      <c r="T931" s="177" t="n"/>
      <c r="U931" s="177" t="n"/>
      <c r="V931" s="177" t="n"/>
      <c r="W931" s="177" t="n"/>
      <c r="X931" s="177" t="n"/>
      <c r="Y931" s="177" t="n"/>
    </row>
    <row r="932">
      <c r="A932" s="177" t="n"/>
      <c r="B932" s="177" t="n"/>
      <c r="C932" s="177" t="n"/>
      <c r="D932" s="177" t="n"/>
      <c r="E932" s="177" t="n"/>
      <c r="F932" s="177" t="n"/>
      <c r="G932" s="177" t="n"/>
      <c r="H932" s="177" t="n"/>
      <c r="I932" s="177" t="n"/>
      <c r="J932" s="177" t="n"/>
      <c r="K932" s="177" t="n"/>
      <c r="L932" s="177" t="n"/>
      <c r="M932" s="177" t="n"/>
      <c r="N932" s="177" t="n"/>
      <c r="O932" s="177" t="n"/>
      <c r="P932" s="177" t="n"/>
      <c r="Q932" s="177" t="n"/>
      <c r="R932" s="177" t="n"/>
      <c r="S932" s="177" t="n"/>
      <c r="T932" s="177" t="n"/>
      <c r="U932" s="177" t="n"/>
      <c r="V932" s="177" t="n"/>
      <c r="W932" s="177" t="n"/>
      <c r="X932" s="177" t="n"/>
      <c r="Y932" s="177" t="n"/>
    </row>
    <row r="933">
      <c r="A933" s="177" t="n"/>
      <c r="B933" s="177" t="n"/>
      <c r="C933" s="177" t="n"/>
      <c r="D933" s="177" t="n"/>
      <c r="E933" s="177" t="n"/>
      <c r="F933" s="177" t="n"/>
      <c r="G933" s="177" t="n"/>
      <c r="H933" s="177" t="n"/>
      <c r="I933" s="177" t="n"/>
      <c r="J933" s="177" t="n"/>
      <c r="K933" s="177" t="n"/>
      <c r="L933" s="177" t="n"/>
      <c r="M933" s="177" t="n"/>
      <c r="N933" s="177" t="n"/>
      <c r="O933" s="177" t="n"/>
      <c r="P933" s="177" t="n"/>
      <c r="Q933" s="177" t="n"/>
      <c r="R933" s="177" t="n"/>
      <c r="S933" s="177" t="n"/>
      <c r="T933" s="177" t="n"/>
      <c r="U933" s="177" t="n"/>
      <c r="V933" s="177" t="n"/>
      <c r="W933" s="177" t="n"/>
      <c r="X933" s="177" t="n"/>
      <c r="Y933" s="177" t="n"/>
    </row>
    <row r="934">
      <c r="A934" s="177" t="n"/>
      <c r="B934" s="177" t="n"/>
      <c r="C934" s="177" t="n"/>
      <c r="D934" s="177" t="n"/>
      <c r="E934" s="177" t="n"/>
      <c r="F934" s="177" t="n"/>
      <c r="G934" s="177" t="n"/>
      <c r="H934" s="177" t="n"/>
      <c r="I934" s="177" t="n"/>
      <c r="J934" s="177" t="n"/>
      <c r="K934" s="177" t="n"/>
      <c r="L934" s="177" t="n"/>
      <c r="M934" s="177" t="n"/>
      <c r="N934" s="177" t="n"/>
      <c r="O934" s="177" t="n"/>
      <c r="P934" s="177" t="n"/>
      <c r="Q934" s="177" t="n"/>
      <c r="R934" s="177" t="n"/>
      <c r="S934" s="177" t="n"/>
      <c r="T934" s="177" t="n"/>
      <c r="U934" s="177" t="n"/>
      <c r="V934" s="177" t="n"/>
      <c r="W934" s="177" t="n"/>
      <c r="X934" s="177" t="n"/>
      <c r="Y934" s="177" t="n"/>
    </row>
    <row r="935">
      <c r="A935" s="177" t="n"/>
      <c r="B935" s="177" t="n"/>
      <c r="C935" s="177" t="n"/>
      <c r="D935" s="177" t="n"/>
      <c r="E935" s="177" t="n"/>
      <c r="F935" s="177" t="n"/>
      <c r="G935" s="177" t="n"/>
      <c r="H935" s="177" t="n"/>
      <c r="I935" s="177" t="n"/>
      <c r="J935" s="177" t="n"/>
      <c r="K935" s="177" t="n"/>
      <c r="L935" s="177" t="n"/>
      <c r="M935" s="177" t="n"/>
      <c r="N935" s="177" t="n"/>
      <c r="O935" s="177" t="n"/>
      <c r="P935" s="177" t="n"/>
      <c r="Q935" s="177" t="n"/>
      <c r="R935" s="177" t="n"/>
      <c r="S935" s="177" t="n"/>
      <c r="T935" s="177" t="n"/>
      <c r="U935" s="177" t="n"/>
      <c r="V935" s="177" t="n"/>
      <c r="W935" s="177" t="n"/>
      <c r="X935" s="177" t="n"/>
      <c r="Y935" s="177" t="n"/>
    </row>
    <row r="936">
      <c r="A936" s="177" t="n"/>
      <c r="B936" s="177" t="n"/>
      <c r="C936" s="177" t="n"/>
      <c r="D936" s="177" t="n"/>
      <c r="E936" s="177" t="n"/>
      <c r="F936" s="177" t="n"/>
      <c r="G936" s="177" t="n"/>
      <c r="H936" s="177" t="n"/>
      <c r="I936" s="177" t="n"/>
      <c r="J936" s="177" t="n"/>
      <c r="K936" s="177" t="n"/>
      <c r="L936" s="177" t="n"/>
      <c r="M936" s="177" t="n"/>
      <c r="N936" s="177" t="n"/>
      <c r="O936" s="177" t="n"/>
      <c r="P936" s="177" t="n"/>
      <c r="Q936" s="177" t="n"/>
      <c r="R936" s="177" t="n"/>
      <c r="S936" s="177" t="n"/>
      <c r="T936" s="177" t="n"/>
      <c r="U936" s="177" t="n"/>
      <c r="V936" s="177" t="n"/>
      <c r="W936" s="177" t="n"/>
      <c r="X936" s="177" t="n"/>
      <c r="Y936" s="177" t="n"/>
    </row>
    <row r="937">
      <c r="A937" s="177" t="n"/>
      <c r="B937" s="177" t="n"/>
      <c r="C937" s="177" t="n"/>
      <c r="D937" s="177" t="n"/>
      <c r="E937" s="177" t="n"/>
      <c r="F937" s="177" t="n"/>
      <c r="G937" s="177" t="n"/>
      <c r="H937" s="177" t="n"/>
      <c r="I937" s="177" t="n"/>
      <c r="J937" s="177" t="n"/>
      <c r="K937" s="177" t="n"/>
      <c r="L937" s="177" t="n"/>
      <c r="M937" s="177" t="n"/>
      <c r="N937" s="177" t="n"/>
      <c r="O937" s="177" t="n"/>
      <c r="P937" s="177" t="n"/>
      <c r="Q937" s="177" t="n"/>
      <c r="R937" s="177" t="n"/>
      <c r="S937" s="177" t="n"/>
      <c r="T937" s="177" t="n"/>
      <c r="U937" s="177" t="n"/>
      <c r="V937" s="177" t="n"/>
      <c r="W937" s="177" t="n"/>
      <c r="X937" s="177" t="n"/>
      <c r="Y937" s="177" t="n"/>
    </row>
    <row r="938">
      <c r="A938" s="177" t="n"/>
      <c r="B938" s="177" t="n"/>
      <c r="C938" s="177" t="n"/>
      <c r="D938" s="177" t="n"/>
      <c r="E938" s="177" t="n"/>
      <c r="F938" s="177" t="n"/>
      <c r="G938" s="177" t="n"/>
      <c r="H938" s="177" t="n"/>
      <c r="I938" s="177" t="n"/>
      <c r="J938" s="177" t="n"/>
      <c r="K938" s="177" t="n"/>
      <c r="L938" s="177" t="n"/>
      <c r="M938" s="177" t="n"/>
      <c r="N938" s="177" t="n"/>
      <c r="O938" s="177" t="n"/>
      <c r="P938" s="177" t="n"/>
      <c r="Q938" s="177" t="n"/>
      <c r="R938" s="177" t="n"/>
      <c r="S938" s="177" t="n"/>
      <c r="T938" s="177" t="n"/>
      <c r="U938" s="177" t="n"/>
      <c r="V938" s="177" t="n"/>
      <c r="W938" s="177" t="n"/>
      <c r="X938" s="177" t="n"/>
      <c r="Y938" s="177" t="n"/>
    </row>
    <row r="939">
      <c r="A939" s="177" t="n"/>
      <c r="B939" s="177" t="n"/>
      <c r="C939" s="177" t="n"/>
      <c r="D939" s="177" t="n"/>
      <c r="E939" s="177" t="n"/>
      <c r="F939" s="177" t="n"/>
      <c r="G939" s="177" t="n"/>
      <c r="H939" s="177" t="n"/>
      <c r="I939" s="177" t="n"/>
      <c r="J939" s="177" t="n"/>
      <c r="K939" s="177" t="n"/>
      <c r="L939" s="177" t="n"/>
      <c r="M939" s="177" t="n"/>
      <c r="N939" s="177" t="n"/>
      <c r="O939" s="177" t="n"/>
      <c r="P939" s="177" t="n"/>
      <c r="Q939" s="177" t="n"/>
      <c r="R939" s="177" t="n"/>
      <c r="S939" s="177" t="n"/>
      <c r="T939" s="177" t="n"/>
      <c r="U939" s="177" t="n"/>
      <c r="V939" s="177" t="n"/>
      <c r="W939" s="177" t="n"/>
      <c r="X939" s="177" t="n"/>
      <c r="Y939" s="177" t="n"/>
    </row>
    <row r="940">
      <c r="A940" s="177" t="n"/>
      <c r="B940" s="177" t="n"/>
      <c r="C940" s="177" t="n"/>
      <c r="D940" s="177" t="n"/>
      <c r="E940" s="177" t="n"/>
      <c r="F940" s="177" t="n"/>
      <c r="G940" s="177" t="n"/>
      <c r="H940" s="177" t="n"/>
      <c r="I940" s="177" t="n"/>
      <c r="J940" s="177" t="n"/>
      <c r="K940" s="177" t="n"/>
      <c r="L940" s="177" t="n"/>
      <c r="M940" s="177" t="n"/>
      <c r="N940" s="177" t="n"/>
      <c r="O940" s="177" t="n"/>
      <c r="P940" s="177" t="n"/>
      <c r="Q940" s="177" t="n"/>
      <c r="R940" s="177" t="n"/>
      <c r="S940" s="177" t="n"/>
      <c r="T940" s="177" t="n"/>
      <c r="U940" s="177" t="n"/>
      <c r="V940" s="177" t="n"/>
      <c r="W940" s="177" t="n"/>
      <c r="X940" s="177" t="n"/>
      <c r="Y940" s="177" t="n"/>
    </row>
    <row r="941">
      <c r="A941" s="177" t="n"/>
      <c r="B941" s="177" t="n"/>
      <c r="C941" s="177" t="n"/>
      <c r="D941" s="177" t="n"/>
      <c r="E941" s="177" t="n"/>
      <c r="F941" s="177" t="n"/>
      <c r="G941" s="177" t="n"/>
      <c r="H941" s="177" t="n"/>
      <c r="I941" s="177" t="n"/>
      <c r="J941" s="177" t="n"/>
      <c r="K941" s="177" t="n"/>
      <c r="L941" s="177" t="n"/>
      <c r="M941" s="177" t="n"/>
      <c r="N941" s="177" t="n"/>
      <c r="O941" s="177" t="n"/>
      <c r="P941" s="177" t="n"/>
      <c r="Q941" s="177" t="n"/>
      <c r="R941" s="177" t="n"/>
      <c r="S941" s="177" t="n"/>
      <c r="T941" s="177" t="n"/>
      <c r="U941" s="177" t="n"/>
      <c r="V941" s="177" t="n"/>
      <c r="W941" s="177" t="n"/>
      <c r="X941" s="177" t="n"/>
      <c r="Y941" s="177" t="n"/>
    </row>
    <row r="942">
      <c r="A942" s="177" t="n"/>
      <c r="B942" s="177" t="n"/>
      <c r="C942" s="177" t="n"/>
      <c r="D942" s="177" t="n"/>
      <c r="E942" s="177" t="n"/>
      <c r="F942" s="177" t="n"/>
      <c r="G942" s="177" t="n"/>
      <c r="H942" s="177" t="n"/>
      <c r="I942" s="177" t="n"/>
      <c r="J942" s="177" t="n"/>
      <c r="K942" s="177" t="n"/>
      <c r="L942" s="177" t="n"/>
      <c r="M942" s="177" t="n"/>
      <c r="N942" s="177" t="n"/>
      <c r="O942" s="177" t="n"/>
      <c r="P942" s="177" t="n"/>
      <c r="Q942" s="177" t="n"/>
      <c r="R942" s="177" t="n"/>
      <c r="S942" s="177" t="n"/>
      <c r="T942" s="177" t="n"/>
      <c r="U942" s="177" t="n"/>
      <c r="V942" s="177" t="n"/>
      <c r="W942" s="177" t="n"/>
      <c r="X942" s="177" t="n"/>
      <c r="Y942" s="177" t="n"/>
    </row>
    <row r="943">
      <c r="A943" s="177" t="n"/>
      <c r="B943" s="177" t="n"/>
      <c r="C943" s="177" t="n"/>
      <c r="D943" s="177" t="n"/>
      <c r="E943" s="177" t="n"/>
      <c r="F943" s="177" t="n"/>
      <c r="G943" s="177" t="n"/>
      <c r="H943" s="177" t="n"/>
      <c r="I943" s="177" t="n"/>
      <c r="J943" s="177" t="n"/>
      <c r="K943" s="177" t="n"/>
      <c r="L943" s="177" t="n"/>
      <c r="M943" s="177" t="n"/>
      <c r="N943" s="177" t="n"/>
      <c r="O943" s="177" t="n"/>
      <c r="P943" s="177" t="n"/>
      <c r="Q943" s="177" t="n"/>
      <c r="R943" s="177" t="n"/>
      <c r="S943" s="177" t="n"/>
      <c r="T943" s="177" t="n"/>
      <c r="U943" s="177" t="n"/>
      <c r="V943" s="177" t="n"/>
      <c r="W943" s="177" t="n"/>
      <c r="X943" s="177" t="n"/>
      <c r="Y943" s="177" t="n"/>
    </row>
    <row r="944">
      <c r="A944" s="177" t="n"/>
      <c r="B944" s="177" t="n"/>
      <c r="C944" s="177" t="n"/>
      <c r="D944" s="177" t="n"/>
      <c r="E944" s="177" t="n"/>
      <c r="F944" s="177" t="n"/>
      <c r="G944" s="177" t="n"/>
      <c r="H944" s="177" t="n"/>
      <c r="I944" s="177" t="n"/>
      <c r="J944" s="177" t="n"/>
      <c r="K944" s="177" t="n"/>
      <c r="L944" s="177" t="n"/>
      <c r="M944" s="177" t="n"/>
      <c r="N944" s="177" t="n"/>
      <c r="O944" s="177" t="n"/>
      <c r="P944" s="177" t="n"/>
      <c r="Q944" s="177" t="n"/>
      <c r="R944" s="177" t="n"/>
      <c r="S944" s="177" t="n"/>
      <c r="T944" s="177" t="n"/>
      <c r="U944" s="177" t="n"/>
      <c r="V944" s="177" t="n"/>
      <c r="W944" s="177" t="n"/>
      <c r="X944" s="177" t="n"/>
      <c r="Y944" s="177" t="n"/>
    </row>
    <row r="945">
      <c r="A945" s="177" t="n"/>
      <c r="B945" s="177" t="n"/>
      <c r="C945" s="177" t="n"/>
      <c r="D945" s="177" t="n"/>
      <c r="E945" s="177" t="n"/>
      <c r="F945" s="177" t="n"/>
      <c r="G945" s="177" t="n"/>
      <c r="H945" s="177" t="n"/>
      <c r="I945" s="177" t="n"/>
      <c r="J945" s="177" t="n"/>
      <c r="K945" s="177" t="n"/>
      <c r="L945" s="177" t="n"/>
      <c r="M945" s="177" t="n"/>
      <c r="N945" s="177" t="n"/>
      <c r="O945" s="177" t="n"/>
      <c r="P945" s="177" t="n"/>
      <c r="Q945" s="177" t="n"/>
      <c r="R945" s="177" t="n"/>
      <c r="S945" s="177" t="n"/>
      <c r="T945" s="177" t="n"/>
      <c r="U945" s="177" t="n"/>
      <c r="V945" s="177" t="n"/>
      <c r="W945" s="177" t="n"/>
      <c r="X945" s="177" t="n"/>
      <c r="Y945" s="177" t="n"/>
    </row>
    <row r="946">
      <c r="A946" s="177" t="n"/>
      <c r="B946" s="177" t="n"/>
      <c r="C946" s="177" t="n"/>
      <c r="D946" s="177" t="n"/>
      <c r="E946" s="177" t="n"/>
      <c r="F946" s="177" t="n"/>
      <c r="G946" s="177" t="n"/>
      <c r="H946" s="177" t="n"/>
      <c r="I946" s="177" t="n"/>
      <c r="J946" s="177" t="n"/>
      <c r="K946" s="177" t="n"/>
      <c r="L946" s="177" t="n"/>
      <c r="M946" s="177" t="n"/>
      <c r="N946" s="177" t="n"/>
      <c r="O946" s="177" t="n"/>
      <c r="P946" s="177" t="n"/>
      <c r="Q946" s="177" t="n"/>
      <c r="R946" s="177" t="n"/>
      <c r="S946" s="177" t="n"/>
      <c r="T946" s="177" t="n"/>
      <c r="U946" s="177" t="n"/>
      <c r="V946" s="177" t="n"/>
      <c r="W946" s="177" t="n"/>
      <c r="X946" s="177" t="n"/>
      <c r="Y946" s="177" t="n"/>
    </row>
    <row r="947">
      <c r="A947" s="177" t="n"/>
      <c r="B947" s="177" t="n"/>
      <c r="C947" s="177" t="n"/>
      <c r="D947" s="177" t="n"/>
      <c r="E947" s="177" t="n"/>
      <c r="F947" s="177" t="n"/>
      <c r="G947" s="177" t="n"/>
      <c r="H947" s="177" t="n"/>
      <c r="I947" s="177" t="n"/>
      <c r="J947" s="177" t="n"/>
      <c r="K947" s="177" t="n"/>
      <c r="L947" s="177" t="n"/>
      <c r="M947" s="177" t="n"/>
      <c r="N947" s="177" t="n"/>
      <c r="O947" s="177" t="n"/>
      <c r="P947" s="177" t="n"/>
      <c r="Q947" s="177" t="n"/>
      <c r="R947" s="177" t="n"/>
      <c r="S947" s="177" t="n"/>
      <c r="T947" s="177" t="n"/>
      <c r="U947" s="177" t="n"/>
      <c r="V947" s="177" t="n"/>
      <c r="W947" s="177" t="n"/>
      <c r="X947" s="177" t="n"/>
      <c r="Y947" s="177" t="n"/>
    </row>
    <row r="948">
      <c r="A948" s="177" t="n"/>
      <c r="B948" s="177" t="n"/>
      <c r="C948" s="177" t="n"/>
      <c r="D948" s="177" t="n"/>
      <c r="E948" s="177" t="n"/>
      <c r="F948" s="177" t="n"/>
      <c r="G948" s="177" t="n"/>
      <c r="H948" s="177" t="n"/>
      <c r="I948" s="177" t="n"/>
      <c r="J948" s="177" t="n"/>
      <c r="K948" s="177" t="n"/>
      <c r="L948" s="177" t="n"/>
      <c r="M948" s="177" t="n"/>
      <c r="N948" s="177" t="n"/>
      <c r="O948" s="177" t="n"/>
      <c r="P948" s="177" t="n"/>
      <c r="Q948" s="177" t="n"/>
      <c r="R948" s="177" t="n"/>
      <c r="S948" s="177" t="n"/>
      <c r="T948" s="177" t="n"/>
      <c r="U948" s="177" t="n"/>
      <c r="V948" s="177" t="n"/>
      <c r="W948" s="177" t="n"/>
      <c r="X948" s="177" t="n"/>
      <c r="Y948" s="177" t="n"/>
    </row>
    <row r="949">
      <c r="A949" s="177" t="n"/>
      <c r="B949" s="177" t="n"/>
      <c r="C949" s="177" t="n"/>
      <c r="D949" s="177" t="n"/>
      <c r="E949" s="177" t="n"/>
      <c r="F949" s="177" t="n"/>
      <c r="G949" s="177" t="n"/>
      <c r="H949" s="177" t="n"/>
      <c r="I949" s="177" t="n"/>
      <c r="J949" s="177" t="n"/>
      <c r="K949" s="177" t="n"/>
      <c r="L949" s="177" t="n"/>
      <c r="M949" s="177" t="n"/>
      <c r="N949" s="177" t="n"/>
      <c r="O949" s="177" t="n"/>
      <c r="P949" s="177" t="n"/>
      <c r="Q949" s="177" t="n"/>
      <c r="R949" s="177" t="n"/>
      <c r="S949" s="177" t="n"/>
      <c r="T949" s="177" t="n"/>
      <c r="U949" s="177" t="n"/>
      <c r="V949" s="177" t="n"/>
      <c r="W949" s="177" t="n"/>
      <c r="X949" s="177" t="n"/>
      <c r="Y949" s="177" t="n"/>
    </row>
    <row r="950">
      <c r="A950" s="177" t="n"/>
      <c r="B950" s="177" t="n"/>
      <c r="C950" s="177" t="n"/>
      <c r="D950" s="177" t="n"/>
      <c r="E950" s="177" t="n"/>
      <c r="F950" s="177" t="n"/>
      <c r="G950" s="177" t="n"/>
      <c r="H950" s="177" t="n"/>
      <c r="I950" s="177" t="n"/>
      <c r="J950" s="177" t="n"/>
      <c r="K950" s="177" t="n"/>
      <c r="L950" s="177" t="n"/>
      <c r="M950" s="177" t="n"/>
      <c r="N950" s="177" t="n"/>
      <c r="O950" s="177" t="n"/>
      <c r="P950" s="177" t="n"/>
      <c r="Q950" s="177" t="n"/>
      <c r="R950" s="177" t="n"/>
      <c r="S950" s="177" t="n"/>
      <c r="T950" s="177" t="n"/>
      <c r="U950" s="177" t="n"/>
      <c r="V950" s="177" t="n"/>
      <c r="W950" s="177" t="n"/>
      <c r="X950" s="177" t="n"/>
      <c r="Y950" s="177" t="n"/>
    </row>
    <row r="951">
      <c r="A951" s="177" t="n"/>
      <c r="B951" s="177" t="n"/>
      <c r="C951" s="177" t="n"/>
      <c r="D951" s="177" t="n"/>
      <c r="E951" s="177" t="n"/>
      <c r="F951" s="177" t="n"/>
      <c r="G951" s="177" t="n"/>
      <c r="H951" s="177" t="n"/>
      <c r="I951" s="177" t="n"/>
      <c r="J951" s="177" t="n"/>
      <c r="K951" s="177" t="n"/>
      <c r="L951" s="177" t="n"/>
      <c r="M951" s="177" t="n"/>
      <c r="N951" s="177" t="n"/>
      <c r="O951" s="177" t="n"/>
      <c r="P951" s="177" t="n"/>
      <c r="Q951" s="177" t="n"/>
      <c r="R951" s="177" t="n"/>
      <c r="S951" s="177" t="n"/>
      <c r="T951" s="177" t="n"/>
      <c r="U951" s="177" t="n"/>
      <c r="V951" s="177" t="n"/>
      <c r="W951" s="177" t="n"/>
      <c r="X951" s="177" t="n"/>
      <c r="Y951" s="177" t="n"/>
    </row>
    <row r="952">
      <c r="A952" s="177" t="n"/>
      <c r="B952" s="177" t="n"/>
      <c r="C952" s="177" t="n"/>
      <c r="D952" s="177" t="n"/>
      <c r="E952" s="177" t="n"/>
      <c r="F952" s="177" t="n"/>
      <c r="G952" s="177" t="n"/>
      <c r="H952" s="177" t="n"/>
      <c r="I952" s="177" t="n"/>
      <c r="J952" s="177" t="n"/>
      <c r="K952" s="177" t="n"/>
      <c r="L952" s="177" t="n"/>
      <c r="M952" s="177" t="n"/>
      <c r="N952" s="177" t="n"/>
      <c r="O952" s="177" t="n"/>
      <c r="P952" s="177" t="n"/>
      <c r="Q952" s="177" t="n"/>
      <c r="R952" s="177" t="n"/>
      <c r="S952" s="177" t="n"/>
      <c r="T952" s="177" t="n"/>
      <c r="U952" s="177" t="n"/>
      <c r="V952" s="177" t="n"/>
      <c r="W952" s="177" t="n"/>
      <c r="X952" s="177" t="n"/>
      <c r="Y952" s="177" t="n"/>
    </row>
    <row r="953">
      <c r="A953" s="177" t="n"/>
      <c r="B953" s="177" t="n"/>
      <c r="C953" s="177" t="n"/>
      <c r="D953" s="177" t="n"/>
      <c r="E953" s="177" t="n"/>
      <c r="F953" s="177" t="n"/>
      <c r="G953" s="177" t="n"/>
      <c r="H953" s="177" t="n"/>
      <c r="I953" s="177" t="n"/>
      <c r="J953" s="177" t="n"/>
      <c r="K953" s="177" t="n"/>
      <c r="L953" s="177" t="n"/>
      <c r="M953" s="177" t="n"/>
      <c r="N953" s="177" t="n"/>
      <c r="O953" s="177" t="n"/>
      <c r="P953" s="177" t="n"/>
      <c r="Q953" s="177" t="n"/>
      <c r="R953" s="177" t="n"/>
      <c r="S953" s="177" t="n"/>
      <c r="T953" s="177" t="n"/>
      <c r="U953" s="177" t="n"/>
      <c r="V953" s="177" t="n"/>
      <c r="W953" s="177" t="n"/>
      <c r="X953" s="177" t="n"/>
      <c r="Y953" s="177" t="n"/>
    </row>
    <row r="954">
      <c r="A954" s="177" t="n"/>
      <c r="B954" s="177" t="n"/>
      <c r="C954" s="177" t="n"/>
      <c r="D954" s="177" t="n"/>
      <c r="E954" s="177" t="n"/>
      <c r="F954" s="177" t="n"/>
      <c r="G954" s="177" t="n"/>
      <c r="H954" s="177" t="n"/>
      <c r="I954" s="177" t="n"/>
      <c r="J954" s="177" t="n"/>
      <c r="K954" s="177" t="n"/>
      <c r="L954" s="177" t="n"/>
      <c r="M954" s="177" t="n"/>
      <c r="N954" s="177" t="n"/>
      <c r="O954" s="177" t="n"/>
      <c r="P954" s="177" t="n"/>
      <c r="Q954" s="177" t="n"/>
      <c r="R954" s="177" t="n"/>
      <c r="S954" s="177" t="n"/>
      <c r="T954" s="177" t="n"/>
      <c r="U954" s="177" t="n"/>
      <c r="V954" s="177" t="n"/>
      <c r="W954" s="177" t="n"/>
      <c r="X954" s="177" t="n"/>
      <c r="Y954" s="177" t="n"/>
    </row>
    <row r="955">
      <c r="A955" s="177" t="n"/>
      <c r="B955" s="177" t="n"/>
      <c r="C955" s="177" t="n"/>
      <c r="D955" s="177" t="n"/>
      <c r="E955" s="177" t="n"/>
      <c r="F955" s="177" t="n"/>
      <c r="G955" s="177" t="n"/>
      <c r="H955" s="177" t="n"/>
      <c r="I955" s="177" t="n"/>
      <c r="J955" s="177" t="n"/>
      <c r="K955" s="177" t="n"/>
      <c r="L955" s="177" t="n"/>
      <c r="M955" s="177" t="n"/>
      <c r="N955" s="177" t="n"/>
      <c r="O955" s="177" t="n"/>
      <c r="P955" s="177" t="n"/>
      <c r="Q955" s="177" t="n"/>
      <c r="R955" s="177" t="n"/>
      <c r="S955" s="177" t="n"/>
      <c r="T955" s="177" t="n"/>
      <c r="U955" s="177" t="n"/>
      <c r="V955" s="177" t="n"/>
      <c r="W955" s="177" t="n"/>
      <c r="X955" s="177" t="n"/>
      <c r="Y955" s="177" t="n"/>
    </row>
    <row r="956">
      <c r="A956" s="177" t="n"/>
      <c r="B956" s="177" t="n"/>
      <c r="C956" s="177" t="n"/>
      <c r="D956" s="177" t="n"/>
      <c r="E956" s="177" t="n"/>
      <c r="F956" s="177" t="n"/>
      <c r="G956" s="177" t="n"/>
      <c r="H956" s="177" t="n"/>
      <c r="I956" s="177" t="n"/>
      <c r="J956" s="177" t="n"/>
      <c r="K956" s="177" t="n"/>
      <c r="L956" s="177" t="n"/>
      <c r="M956" s="177" t="n"/>
      <c r="N956" s="177" t="n"/>
      <c r="O956" s="177" t="n"/>
      <c r="P956" s="177" t="n"/>
      <c r="Q956" s="177" t="n"/>
      <c r="R956" s="177" t="n"/>
      <c r="S956" s="177" t="n"/>
      <c r="T956" s="177" t="n"/>
      <c r="U956" s="177" t="n"/>
      <c r="V956" s="177" t="n"/>
      <c r="W956" s="177" t="n"/>
      <c r="X956" s="177" t="n"/>
      <c r="Y956" s="177" t="n"/>
    </row>
    <row r="957">
      <c r="A957" s="177" t="n"/>
      <c r="B957" s="177" t="n"/>
      <c r="C957" s="177" t="n"/>
      <c r="D957" s="177" t="n"/>
      <c r="E957" s="177" t="n"/>
      <c r="F957" s="177" t="n"/>
      <c r="G957" s="177" t="n"/>
      <c r="H957" s="177" t="n"/>
      <c r="I957" s="177" t="n"/>
      <c r="J957" s="177" t="n"/>
      <c r="K957" s="177" t="n"/>
      <c r="L957" s="177" t="n"/>
      <c r="M957" s="177" t="n"/>
      <c r="N957" s="177" t="n"/>
      <c r="O957" s="177" t="n"/>
      <c r="P957" s="177" t="n"/>
      <c r="Q957" s="177" t="n"/>
      <c r="R957" s="177" t="n"/>
      <c r="S957" s="177" t="n"/>
      <c r="T957" s="177" t="n"/>
      <c r="U957" s="177" t="n"/>
      <c r="V957" s="177" t="n"/>
      <c r="W957" s="177" t="n"/>
      <c r="X957" s="177" t="n"/>
      <c r="Y957" s="177" t="n"/>
    </row>
    <row r="958">
      <c r="A958" s="177" t="n"/>
      <c r="B958" s="177" t="n"/>
      <c r="C958" s="177" t="n"/>
      <c r="D958" s="177" t="n"/>
      <c r="E958" s="177" t="n"/>
      <c r="F958" s="177" t="n"/>
      <c r="G958" s="177" t="n"/>
      <c r="H958" s="177" t="n"/>
      <c r="I958" s="177" t="n"/>
      <c r="J958" s="177" t="n"/>
      <c r="K958" s="177" t="n"/>
      <c r="L958" s="177" t="n"/>
      <c r="M958" s="177" t="n"/>
      <c r="N958" s="177" t="n"/>
      <c r="O958" s="177" t="n"/>
      <c r="P958" s="177" t="n"/>
      <c r="Q958" s="177" t="n"/>
      <c r="R958" s="177" t="n"/>
      <c r="S958" s="177" t="n"/>
      <c r="T958" s="177" t="n"/>
      <c r="U958" s="177" t="n"/>
      <c r="V958" s="177" t="n"/>
      <c r="W958" s="177" t="n"/>
      <c r="X958" s="177" t="n"/>
      <c r="Y958" s="177" t="n"/>
    </row>
    <row r="959">
      <c r="A959" s="177" t="n"/>
      <c r="B959" s="177" t="n"/>
      <c r="C959" s="177" t="n"/>
      <c r="D959" s="177" t="n"/>
      <c r="E959" s="177" t="n"/>
      <c r="F959" s="177" t="n"/>
      <c r="G959" s="177" t="n"/>
      <c r="H959" s="177" t="n"/>
      <c r="I959" s="177" t="n"/>
      <c r="J959" s="177" t="n"/>
      <c r="K959" s="177" t="n"/>
      <c r="L959" s="177" t="n"/>
      <c r="M959" s="177" t="n"/>
      <c r="N959" s="177" t="n"/>
      <c r="O959" s="177" t="n"/>
      <c r="P959" s="177" t="n"/>
      <c r="Q959" s="177" t="n"/>
      <c r="R959" s="177" t="n"/>
      <c r="S959" s="177" t="n"/>
      <c r="T959" s="177" t="n"/>
      <c r="U959" s="177" t="n"/>
      <c r="V959" s="177" t="n"/>
      <c r="W959" s="177" t="n"/>
      <c r="X959" s="177" t="n"/>
      <c r="Y959" s="177" t="n"/>
    </row>
    <row r="960">
      <c r="A960" s="177" t="n"/>
      <c r="B960" s="177" t="n"/>
      <c r="C960" s="177" t="n"/>
      <c r="D960" s="177" t="n"/>
      <c r="E960" s="177" t="n"/>
      <c r="F960" s="177" t="n"/>
      <c r="G960" s="177" t="n"/>
      <c r="H960" s="177" t="n"/>
      <c r="I960" s="177" t="n"/>
      <c r="J960" s="177" t="n"/>
      <c r="K960" s="177" t="n"/>
      <c r="L960" s="177" t="n"/>
      <c r="M960" s="177" t="n"/>
      <c r="N960" s="177" t="n"/>
      <c r="O960" s="177" t="n"/>
      <c r="P960" s="177" t="n"/>
      <c r="Q960" s="177" t="n"/>
      <c r="R960" s="177" t="n"/>
      <c r="S960" s="177" t="n"/>
      <c r="T960" s="177" t="n"/>
      <c r="U960" s="177" t="n"/>
      <c r="V960" s="177" t="n"/>
      <c r="W960" s="177" t="n"/>
      <c r="X960" s="177" t="n"/>
      <c r="Y960" s="177" t="n"/>
    </row>
    <row r="961">
      <c r="A961" s="177" t="n"/>
      <c r="B961" s="177" t="n"/>
      <c r="C961" s="177" t="n"/>
      <c r="D961" s="177" t="n"/>
      <c r="E961" s="177" t="n"/>
      <c r="F961" s="177" t="n"/>
      <c r="G961" s="177" t="n"/>
      <c r="H961" s="177" t="n"/>
      <c r="I961" s="177" t="n"/>
      <c r="J961" s="177" t="n"/>
      <c r="K961" s="177" t="n"/>
      <c r="L961" s="177" t="n"/>
      <c r="M961" s="177" t="n"/>
      <c r="N961" s="177" t="n"/>
      <c r="O961" s="177" t="n"/>
      <c r="P961" s="177" t="n"/>
      <c r="Q961" s="177" t="n"/>
      <c r="R961" s="177" t="n"/>
      <c r="S961" s="177" t="n"/>
      <c r="T961" s="177" t="n"/>
      <c r="U961" s="177" t="n"/>
      <c r="V961" s="177" t="n"/>
      <c r="W961" s="177" t="n"/>
      <c r="X961" s="177" t="n"/>
      <c r="Y961" s="177" t="n"/>
    </row>
    <row r="962">
      <c r="A962" s="177" t="n"/>
      <c r="B962" s="177" t="n"/>
      <c r="C962" s="177" t="n"/>
      <c r="D962" s="177" t="n"/>
      <c r="E962" s="177" t="n"/>
      <c r="F962" s="177" t="n"/>
      <c r="G962" s="177" t="n"/>
      <c r="H962" s="177" t="n"/>
      <c r="I962" s="177" t="n"/>
      <c r="J962" s="177" t="n"/>
      <c r="K962" s="177" t="n"/>
      <c r="L962" s="177" t="n"/>
      <c r="M962" s="177" t="n"/>
      <c r="N962" s="177" t="n"/>
      <c r="O962" s="177" t="n"/>
      <c r="P962" s="177" t="n"/>
      <c r="Q962" s="177" t="n"/>
      <c r="R962" s="177" t="n"/>
      <c r="S962" s="177" t="n"/>
      <c r="T962" s="177" t="n"/>
      <c r="U962" s="177" t="n"/>
      <c r="V962" s="177" t="n"/>
      <c r="W962" s="177" t="n"/>
      <c r="X962" s="177" t="n"/>
      <c r="Y962" s="177" t="n"/>
    </row>
    <row r="963">
      <c r="A963" s="177" t="n"/>
      <c r="B963" s="177" t="n"/>
      <c r="C963" s="177" t="n"/>
      <c r="D963" s="177" t="n"/>
      <c r="E963" s="177" t="n"/>
      <c r="F963" s="177" t="n"/>
      <c r="G963" s="177" t="n"/>
      <c r="H963" s="177" t="n"/>
      <c r="I963" s="177" t="n"/>
      <c r="J963" s="177" t="n"/>
      <c r="K963" s="177" t="n"/>
      <c r="L963" s="177" t="n"/>
      <c r="M963" s="177" t="n"/>
      <c r="N963" s="177" t="n"/>
      <c r="O963" s="177" t="n"/>
      <c r="P963" s="177" t="n"/>
      <c r="Q963" s="177" t="n"/>
      <c r="R963" s="177" t="n"/>
      <c r="S963" s="177" t="n"/>
      <c r="T963" s="177" t="n"/>
      <c r="U963" s="177" t="n"/>
      <c r="V963" s="177" t="n"/>
      <c r="W963" s="177" t="n"/>
      <c r="X963" s="177" t="n"/>
      <c r="Y963" s="177" t="n"/>
    </row>
    <row r="964">
      <c r="A964" s="177" t="n"/>
      <c r="B964" s="177" t="n"/>
      <c r="C964" s="177" t="n"/>
      <c r="D964" s="177" t="n"/>
      <c r="E964" s="177" t="n"/>
      <c r="F964" s="177" t="n"/>
      <c r="G964" s="177" t="n"/>
      <c r="H964" s="177" t="n"/>
      <c r="I964" s="177" t="n"/>
      <c r="J964" s="177" t="n"/>
      <c r="K964" s="177" t="n"/>
      <c r="L964" s="177" t="n"/>
      <c r="M964" s="177" t="n"/>
      <c r="N964" s="177" t="n"/>
      <c r="O964" s="177" t="n"/>
      <c r="P964" s="177" t="n"/>
      <c r="Q964" s="177" t="n"/>
      <c r="R964" s="177" t="n"/>
      <c r="S964" s="177" t="n"/>
      <c r="T964" s="177" t="n"/>
      <c r="U964" s="177" t="n"/>
      <c r="V964" s="177" t="n"/>
      <c r="W964" s="177" t="n"/>
      <c r="X964" s="177" t="n"/>
      <c r="Y964" s="177" t="n"/>
    </row>
    <row r="965">
      <c r="A965" s="177" t="n"/>
      <c r="B965" s="177" t="n"/>
      <c r="C965" s="177" t="n"/>
      <c r="D965" s="177" t="n"/>
      <c r="E965" s="177" t="n"/>
      <c r="F965" s="177" t="n"/>
      <c r="G965" s="177" t="n"/>
      <c r="H965" s="177" t="n"/>
      <c r="I965" s="177" t="n"/>
      <c r="J965" s="177" t="n"/>
      <c r="K965" s="177" t="n"/>
      <c r="L965" s="177" t="n"/>
      <c r="M965" s="177" t="n"/>
      <c r="N965" s="177" t="n"/>
      <c r="O965" s="177" t="n"/>
      <c r="P965" s="177" t="n"/>
      <c r="Q965" s="177" t="n"/>
      <c r="R965" s="177" t="n"/>
      <c r="S965" s="177" t="n"/>
      <c r="T965" s="177" t="n"/>
      <c r="U965" s="177" t="n"/>
      <c r="V965" s="177" t="n"/>
      <c r="W965" s="177" t="n"/>
      <c r="X965" s="177" t="n"/>
      <c r="Y965" s="177" t="n"/>
    </row>
    <row r="966">
      <c r="A966" s="177" t="n"/>
      <c r="B966" s="177" t="n"/>
      <c r="C966" s="177" t="n"/>
      <c r="D966" s="177" t="n"/>
      <c r="E966" s="177" t="n"/>
      <c r="F966" s="177" t="n"/>
      <c r="G966" s="177" t="n"/>
      <c r="H966" s="177" t="n"/>
      <c r="I966" s="177" t="n"/>
      <c r="J966" s="177" t="n"/>
      <c r="K966" s="177" t="n"/>
      <c r="L966" s="177" t="n"/>
      <c r="M966" s="177" t="n"/>
      <c r="N966" s="177" t="n"/>
      <c r="O966" s="177" t="n"/>
      <c r="P966" s="177" t="n"/>
      <c r="Q966" s="177" t="n"/>
      <c r="R966" s="177" t="n"/>
      <c r="S966" s="177" t="n"/>
      <c r="T966" s="177" t="n"/>
      <c r="U966" s="177" t="n"/>
      <c r="V966" s="177" t="n"/>
      <c r="W966" s="177" t="n"/>
      <c r="X966" s="177" t="n"/>
      <c r="Y966" s="177" t="n"/>
    </row>
    <row r="967">
      <c r="A967" s="177" t="n"/>
      <c r="B967" s="177" t="n"/>
      <c r="C967" s="177" t="n"/>
      <c r="D967" s="177" t="n"/>
      <c r="E967" s="177" t="n"/>
      <c r="F967" s="177" t="n"/>
      <c r="G967" s="177" t="n"/>
      <c r="H967" s="177" t="n"/>
      <c r="I967" s="177" t="n"/>
      <c r="J967" s="177" t="n"/>
      <c r="K967" s="177" t="n"/>
      <c r="L967" s="177" t="n"/>
      <c r="M967" s="177" t="n"/>
      <c r="N967" s="177" t="n"/>
      <c r="O967" s="177" t="n"/>
      <c r="P967" s="177" t="n"/>
      <c r="Q967" s="177" t="n"/>
      <c r="R967" s="177" t="n"/>
      <c r="S967" s="177" t="n"/>
      <c r="T967" s="177" t="n"/>
      <c r="U967" s="177" t="n"/>
      <c r="V967" s="177" t="n"/>
      <c r="W967" s="177" t="n"/>
      <c r="X967" s="177" t="n"/>
      <c r="Y967" s="177" t="n"/>
    </row>
    <row r="968">
      <c r="A968" s="177" t="n"/>
      <c r="B968" s="177" t="n"/>
      <c r="C968" s="177" t="n"/>
      <c r="D968" s="177" t="n"/>
      <c r="E968" s="177" t="n"/>
      <c r="F968" s="177" t="n"/>
      <c r="G968" s="177" t="n"/>
      <c r="H968" s="177" t="n"/>
      <c r="I968" s="177" t="n"/>
      <c r="J968" s="177" t="n"/>
      <c r="K968" s="177" t="n"/>
      <c r="L968" s="177" t="n"/>
      <c r="M968" s="177" t="n"/>
      <c r="N968" s="177" t="n"/>
      <c r="O968" s="177" t="n"/>
      <c r="P968" s="177" t="n"/>
      <c r="Q968" s="177" t="n"/>
      <c r="R968" s="177" t="n"/>
      <c r="S968" s="177" t="n"/>
      <c r="T968" s="177" t="n"/>
      <c r="U968" s="177" t="n"/>
      <c r="V968" s="177" t="n"/>
      <c r="W968" s="177" t="n"/>
      <c r="X968" s="177" t="n"/>
      <c r="Y968" s="177" t="n"/>
    </row>
    <row r="969">
      <c r="A969" s="177" t="n"/>
      <c r="B969" s="177" t="n"/>
      <c r="C969" s="177" t="n"/>
      <c r="D969" s="177" t="n"/>
      <c r="E969" s="177" t="n"/>
      <c r="F969" s="177" t="n"/>
      <c r="G969" s="177" t="n"/>
      <c r="H969" s="177" t="n"/>
      <c r="I969" s="177" t="n"/>
      <c r="J969" s="177" t="n"/>
      <c r="K969" s="177" t="n"/>
      <c r="L969" s="177" t="n"/>
      <c r="M969" s="177" t="n"/>
      <c r="N969" s="177" t="n"/>
      <c r="O969" s="177" t="n"/>
      <c r="P969" s="177" t="n"/>
      <c r="Q969" s="177" t="n"/>
      <c r="R969" s="177" t="n"/>
      <c r="S969" s="177" t="n"/>
      <c r="T969" s="177" t="n"/>
      <c r="U969" s="177" t="n"/>
      <c r="V969" s="177" t="n"/>
      <c r="W969" s="177" t="n"/>
      <c r="X969" s="177" t="n"/>
      <c r="Y969" s="177" t="n"/>
    </row>
    <row r="970">
      <c r="A970" s="177" t="n"/>
      <c r="B970" s="177" t="n"/>
      <c r="C970" s="177" t="n"/>
      <c r="D970" s="177" t="n"/>
      <c r="E970" s="177" t="n"/>
      <c r="F970" s="177" t="n"/>
      <c r="G970" s="177" t="n"/>
      <c r="H970" s="177" t="n"/>
      <c r="I970" s="177" t="n"/>
      <c r="J970" s="177" t="n"/>
      <c r="K970" s="177" t="n"/>
      <c r="L970" s="177" t="n"/>
      <c r="M970" s="177" t="n"/>
      <c r="N970" s="177" t="n"/>
      <c r="O970" s="177" t="n"/>
      <c r="P970" s="177" t="n"/>
      <c r="Q970" s="177" t="n"/>
      <c r="R970" s="177" t="n"/>
      <c r="S970" s="177" t="n"/>
      <c r="T970" s="177" t="n"/>
      <c r="U970" s="177" t="n"/>
      <c r="V970" s="177" t="n"/>
      <c r="W970" s="177" t="n"/>
      <c r="X970" s="177" t="n"/>
      <c r="Y970" s="177" t="n"/>
    </row>
    <row r="971">
      <c r="A971" s="177" t="n"/>
      <c r="B971" s="177" t="n"/>
      <c r="C971" s="177" t="n"/>
      <c r="D971" s="177" t="n"/>
      <c r="E971" s="177" t="n"/>
      <c r="F971" s="177" t="n"/>
      <c r="G971" s="177" t="n"/>
      <c r="H971" s="177" t="n"/>
      <c r="I971" s="177" t="n"/>
      <c r="J971" s="177" t="n"/>
      <c r="K971" s="177" t="n"/>
      <c r="L971" s="177" t="n"/>
      <c r="M971" s="177" t="n"/>
      <c r="N971" s="177" t="n"/>
      <c r="O971" s="177" t="n"/>
      <c r="P971" s="177" t="n"/>
      <c r="Q971" s="177" t="n"/>
      <c r="R971" s="177" t="n"/>
      <c r="S971" s="177" t="n"/>
      <c r="T971" s="177" t="n"/>
      <c r="U971" s="177" t="n"/>
      <c r="V971" s="177" t="n"/>
      <c r="W971" s="177" t="n"/>
      <c r="X971" s="177" t="n"/>
      <c r="Y971" s="177" t="n"/>
    </row>
    <row r="972">
      <c r="A972" s="177" t="n"/>
      <c r="B972" s="177" t="n"/>
      <c r="C972" s="177" t="n"/>
      <c r="D972" s="177" t="n"/>
      <c r="E972" s="177" t="n"/>
      <c r="F972" s="177" t="n"/>
      <c r="G972" s="177" t="n"/>
      <c r="H972" s="177" t="n"/>
      <c r="I972" s="177" t="n"/>
      <c r="J972" s="177" t="n"/>
      <c r="K972" s="177" t="n"/>
      <c r="L972" s="177" t="n"/>
      <c r="M972" s="177" t="n"/>
      <c r="N972" s="177" t="n"/>
      <c r="O972" s="177" t="n"/>
      <c r="P972" s="177" t="n"/>
      <c r="Q972" s="177" t="n"/>
      <c r="R972" s="177" t="n"/>
      <c r="S972" s="177" t="n"/>
      <c r="T972" s="177" t="n"/>
      <c r="U972" s="177" t="n"/>
      <c r="V972" s="177" t="n"/>
      <c r="W972" s="177" t="n"/>
      <c r="X972" s="177" t="n"/>
      <c r="Y972" s="177" t="n"/>
    </row>
    <row r="973">
      <c r="A973" s="177" t="n"/>
      <c r="B973" s="177" t="n"/>
      <c r="C973" s="177" t="n"/>
      <c r="D973" s="177" t="n"/>
      <c r="E973" s="177" t="n"/>
      <c r="F973" s="177" t="n"/>
      <c r="G973" s="177" t="n"/>
      <c r="H973" s="177" t="n"/>
      <c r="I973" s="177" t="n"/>
      <c r="J973" s="177" t="n"/>
      <c r="K973" s="177" t="n"/>
      <c r="L973" s="177" t="n"/>
      <c r="M973" s="177" t="n"/>
      <c r="N973" s="177" t="n"/>
      <c r="O973" s="177" t="n"/>
      <c r="P973" s="177" t="n"/>
      <c r="Q973" s="177" t="n"/>
      <c r="R973" s="177" t="n"/>
      <c r="S973" s="177" t="n"/>
      <c r="T973" s="177" t="n"/>
      <c r="U973" s="177" t="n"/>
      <c r="V973" s="177" t="n"/>
      <c r="W973" s="177" t="n"/>
      <c r="X973" s="177" t="n"/>
      <c r="Y973" s="177" t="n"/>
    </row>
    <row r="974">
      <c r="A974" s="177" t="n"/>
      <c r="B974" s="177" t="n"/>
      <c r="C974" s="177" t="n"/>
      <c r="D974" s="177" t="n"/>
      <c r="E974" s="177" t="n"/>
      <c r="F974" s="177" t="n"/>
      <c r="G974" s="177" t="n"/>
      <c r="H974" s="177" t="n"/>
      <c r="I974" s="177" t="n"/>
      <c r="J974" s="177" t="n"/>
      <c r="K974" s="177" t="n"/>
      <c r="L974" s="177" t="n"/>
      <c r="M974" s="177" t="n"/>
      <c r="N974" s="177" t="n"/>
      <c r="O974" s="177" t="n"/>
      <c r="P974" s="177" t="n"/>
      <c r="Q974" s="177" t="n"/>
      <c r="R974" s="177" t="n"/>
      <c r="S974" s="177" t="n"/>
      <c r="T974" s="177" t="n"/>
      <c r="U974" s="177" t="n"/>
      <c r="V974" s="177" t="n"/>
      <c r="W974" s="177" t="n"/>
      <c r="X974" s="177" t="n"/>
      <c r="Y974" s="177" t="n"/>
    </row>
    <row r="975">
      <c r="A975" s="177" t="n"/>
      <c r="B975" s="177" t="n"/>
      <c r="C975" s="177" t="n"/>
      <c r="D975" s="177" t="n"/>
      <c r="E975" s="177" t="n"/>
      <c r="F975" s="177" t="n"/>
      <c r="G975" s="177" t="n"/>
      <c r="H975" s="177" t="n"/>
      <c r="I975" s="177" t="n"/>
      <c r="J975" s="177" t="n"/>
      <c r="K975" s="177" t="n"/>
      <c r="L975" s="177" t="n"/>
      <c r="M975" s="177" t="n"/>
      <c r="N975" s="177" t="n"/>
      <c r="O975" s="177" t="n"/>
      <c r="P975" s="177" t="n"/>
      <c r="Q975" s="177" t="n"/>
      <c r="R975" s="177" t="n"/>
      <c r="S975" s="177" t="n"/>
      <c r="T975" s="177" t="n"/>
      <c r="U975" s="177" t="n"/>
      <c r="V975" s="177" t="n"/>
      <c r="W975" s="177" t="n"/>
      <c r="X975" s="177" t="n"/>
      <c r="Y975" s="177" t="n"/>
    </row>
    <row r="976">
      <c r="A976" s="177" t="n"/>
      <c r="B976" s="177" t="n"/>
      <c r="C976" s="177" t="n"/>
      <c r="D976" s="177" t="n"/>
      <c r="E976" s="177" t="n"/>
      <c r="F976" s="177" t="n"/>
      <c r="G976" s="177" t="n"/>
      <c r="H976" s="177" t="n"/>
      <c r="I976" s="177" t="n"/>
      <c r="J976" s="177" t="n"/>
      <c r="K976" s="177" t="n"/>
      <c r="L976" s="177" t="n"/>
      <c r="M976" s="177" t="n"/>
      <c r="N976" s="177" t="n"/>
      <c r="O976" s="177" t="n"/>
      <c r="P976" s="177" t="n"/>
      <c r="Q976" s="177" t="n"/>
      <c r="R976" s="177" t="n"/>
      <c r="S976" s="177" t="n"/>
      <c r="T976" s="177" t="n"/>
      <c r="U976" s="177" t="n"/>
      <c r="V976" s="177" t="n"/>
      <c r="W976" s="177" t="n"/>
      <c r="X976" s="177" t="n"/>
      <c r="Y976" s="177" t="n"/>
    </row>
    <row r="977">
      <c r="A977" s="177" t="n"/>
      <c r="B977" s="177" t="n"/>
      <c r="C977" s="177" t="n"/>
      <c r="D977" s="177" t="n"/>
      <c r="E977" s="177" t="n"/>
      <c r="F977" s="177" t="n"/>
      <c r="G977" s="177" t="n"/>
      <c r="H977" s="177" t="n"/>
      <c r="I977" s="177" t="n"/>
      <c r="J977" s="177" t="n"/>
      <c r="K977" s="177" t="n"/>
      <c r="L977" s="177" t="n"/>
      <c r="M977" s="177" t="n"/>
      <c r="N977" s="177" t="n"/>
      <c r="O977" s="177" t="n"/>
      <c r="P977" s="177" t="n"/>
      <c r="Q977" s="177" t="n"/>
      <c r="R977" s="177" t="n"/>
      <c r="S977" s="177" t="n"/>
      <c r="T977" s="177" t="n"/>
      <c r="U977" s="177" t="n"/>
      <c r="V977" s="177" t="n"/>
      <c r="W977" s="177" t="n"/>
      <c r="X977" s="177" t="n"/>
      <c r="Y977" s="177" t="n"/>
    </row>
    <row r="978">
      <c r="A978" s="177" t="n"/>
      <c r="B978" s="177" t="n"/>
      <c r="C978" s="177" t="n"/>
      <c r="D978" s="177" t="n"/>
      <c r="E978" s="177" t="n"/>
      <c r="F978" s="177" t="n"/>
      <c r="G978" s="177" t="n"/>
      <c r="H978" s="177" t="n"/>
      <c r="I978" s="177" t="n"/>
      <c r="J978" s="177" t="n"/>
      <c r="K978" s="177" t="n"/>
      <c r="L978" s="177" t="n"/>
      <c r="M978" s="177" t="n"/>
      <c r="N978" s="177" t="n"/>
      <c r="O978" s="177" t="n"/>
      <c r="P978" s="177" t="n"/>
      <c r="Q978" s="177" t="n"/>
      <c r="R978" s="177" t="n"/>
      <c r="S978" s="177" t="n"/>
      <c r="T978" s="177" t="n"/>
      <c r="U978" s="177" t="n"/>
      <c r="V978" s="177" t="n"/>
      <c r="W978" s="177" t="n"/>
      <c r="X978" s="177" t="n"/>
      <c r="Y978" s="177" t="n"/>
    </row>
    <row r="979">
      <c r="A979" s="177" t="n"/>
      <c r="B979" s="177" t="n"/>
      <c r="C979" s="177" t="n"/>
      <c r="D979" s="177" t="n"/>
      <c r="E979" s="177" t="n"/>
      <c r="F979" s="177" t="n"/>
      <c r="G979" s="177" t="n"/>
      <c r="H979" s="177" t="n"/>
      <c r="I979" s="177" t="n"/>
      <c r="J979" s="177" t="n"/>
      <c r="K979" s="177" t="n"/>
      <c r="L979" s="177" t="n"/>
      <c r="M979" s="177" t="n"/>
      <c r="N979" s="177" t="n"/>
      <c r="O979" s="177" t="n"/>
      <c r="P979" s="177" t="n"/>
      <c r="Q979" s="177" t="n"/>
      <c r="R979" s="177" t="n"/>
      <c r="S979" s="177" t="n"/>
      <c r="T979" s="177" t="n"/>
      <c r="U979" s="177" t="n"/>
      <c r="V979" s="177" t="n"/>
      <c r="W979" s="177" t="n"/>
      <c r="X979" s="177" t="n"/>
      <c r="Y979" s="177" t="n"/>
    </row>
    <row r="980">
      <c r="A980" s="177" t="n"/>
      <c r="B980" s="177" t="n"/>
      <c r="C980" s="177" t="n"/>
      <c r="D980" s="177" t="n"/>
      <c r="E980" s="177" t="n"/>
      <c r="F980" s="177" t="n"/>
      <c r="G980" s="177" t="n"/>
      <c r="H980" s="177" t="n"/>
      <c r="I980" s="177" t="n"/>
      <c r="J980" s="177" t="n"/>
      <c r="K980" s="177" t="n"/>
      <c r="L980" s="177" t="n"/>
      <c r="M980" s="177" t="n"/>
      <c r="N980" s="177" t="n"/>
      <c r="O980" s="177" t="n"/>
      <c r="P980" s="177" t="n"/>
      <c r="Q980" s="177" t="n"/>
      <c r="R980" s="177" t="n"/>
      <c r="S980" s="177" t="n"/>
      <c r="T980" s="177" t="n"/>
      <c r="U980" s="177" t="n"/>
      <c r="V980" s="177" t="n"/>
      <c r="W980" s="177" t="n"/>
      <c r="X980" s="177" t="n"/>
      <c r="Y980" s="177" t="n"/>
    </row>
    <row r="981">
      <c r="A981" s="177" t="n"/>
      <c r="B981" s="177" t="n"/>
      <c r="C981" s="177" t="n"/>
      <c r="D981" s="177" t="n"/>
      <c r="E981" s="177" t="n"/>
      <c r="F981" s="177" t="n"/>
      <c r="G981" s="177" t="n"/>
      <c r="H981" s="177" t="n"/>
      <c r="I981" s="177" t="n"/>
      <c r="J981" s="177" t="n"/>
      <c r="K981" s="177" t="n"/>
      <c r="L981" s="177" t="n"/>
      <c r="M981" s="177" t="n"/>
      <c r="N981" s="177" t="n"/>
      <c r="O981" s="177" t="n"/>
      <c r="P981" s="177" t="n"/>
      <c r="Q981" s="177" t="n"/>
      <c r="R981" s="177" t="n"/>
      <c r="S981" s="177" t="n"/>
      <c r="T981" s="177" t="n"/>
      <c r="U981" s="177" t="n"/>
      <c r="V981" s="177" t="n"/>
      <c r="W981" s="177" t="n"/>
      <c r="X981" s="177" t="n"/>
      <c r="Y981" s="177" t="n"/>
    </row>
    <row r="982">
      <c r="A982" s="177" t="n"/>
      <c r="B982" s="177" t="n"/>
      <c r="C982" s="177" t="n"/>
      <c r="D982" s="177" t="n"/>
      <c r="E982" s="177" t="n"/>
      <c r="F982" s="177" t="n"/>
      <c r="G982" s="177" t="n"/>
      <c r="H982" s="177" t="n"/>
      <c r="I982" s="177" t="n"/>
      <c r="J982" s="177" t="n"/>
      <c r="K982" s="177" t="n"/>
      <c r="L982" s="177" t="n"/>
      <c r="M982" s="177" t="n"/>
      <c r="N982" s="177" t="n"/>
      <c r="O982" s="177" t="n"/>
      <c r="P982" s="177" t="n"/>
      <c r="Q982" s="177" t="n"/>
      <c r="R982" s="177" t="n"/>
      <c r="S982" s="177" t="n"/>
      <c r="T982" s="177" t="n"/>
      <c r="U982" s="177" t="n"/>
      <c r="V982" s="177" t="n"/>
      <c r="W982" s="177" t="n"/>
      <c r="X982" s="177" t="n"/>
      <c r="Y982" s="177" t="n"/>
    </row>
    <row r="983">
      <c r="A983" s="177" t="n"/>
      <c r="B983" s="177" t="n"/>
      <c r="C983" s="177" t="n"/>
      <c r="D983" s="177" t="n"/>
      <c r="E983" s="177" t="n"/>
      <c r="F983" s="177" t="n"/>
      <c r="G983" s="177" t="n"/>
      <c r="H983" s="177" t="n"/>
      <c r="I983" s="177" t="n"/>
      <c r="J983" s="177" t="n"/>
      <c r="K983" s="177" t="n"/>
      <c r="L983" s="177" t="n"/>
      <c r="M983" s="177" t="n"/>
      <c r="N983" s="177" t="n"/>
      <c r="O983" s="177" t="n"/>
      <c r="P983" s="177" t="n"/>
      <c r="Q983" s="177" t="n"/>
      <c r="R983" s="177" t="n"/>
      <c r="S983" s="177" t="n"/>
      <c r="T983" s="177" t="n"/>
      <c r="U983" s="177" t="n"/>
      <c r="V983" s="177" t="n"/>
      <c r="W983" s="177" t="n"/>
      <c r="X983" s="177" t="n"/>
      <c r="Y983" s="177" t="n"/>
    </row>
    <row r="984">
      <c r="A984" s="177" t="n"/>
      <c r="B984" s="177" t="n"/>
      <c r="C984" s="177" t="n"/>
      <c r="D984" s="177" t="n"/>
      <c r="E984" s="177" t="n"/>
      <c r="F984" s="177" t="n"/>
      <c r="G984" s="177" t="n"/>
      <c r="H984" s="177" t="n"/>
      <c r="I984" s="177" t="n"/>
      <c r="J984" s="177" t="n"/>
      <c r="K984" s="177" t="n"/>
      <c r="L984" s="177" t="n"/>
      <c r="M984" s="177" t="n"/>
      <c r="N984" s="177" t="n"/>
      <c r="O984" s="177" t="n"/>
      <c r="P984" s="177" t="n"/>
      <c r="Q984" s="177" t="n"/>
      <c r="R984" s="177" t="n"/>
      <c r="S984" s="177" t="n"/>
      <c r="T984" s="177" t="n"/>
      <c r="U984" s="177" t="n"/>
      <c r="V984" s="177" t="n"/>
      <c r="W984" s="177" t="n"/>
      <c r="X984" s="177" t="n"/>
      <c r="Y984" s="177" t="n"/>
    </row>
    <row r="985">
      <c r="A985" s="177" t="n"/>
      <c r="B985" s="177" t="n"/>
      <c r="C985" s="177" t="n"/>
      <c r="D985" s="177" t="n"/>
      <c r="E985" s="177" t="n"/>
      <c r="F985" s="177" t="n"/>
      <c r="G985" s="177" t="n"/>
      <c r="H985" s="177" t="n"/>
      <c r="I985" s="177" t="n"/>
      <c r="J985" s="177" t="n"/>
      <c r="K985" s="177" t="n"/>
      <c r="L985" s="177" t="n"/>
      <c r="M985" s="177" t="n"/>
      <c r="N985" s="177" t="n"/>
      <c r="O985" s="177" t="n"/>
      <c r="P985" s="177" t="n"/>
      <c r="Q985" s="177" t="n"/>
      <c r="R985" s="177" t="n"/>
      <c r="S985" s="177" t="n"/>
      <c r="T985" s="177" t="n"/>
      <c r="U985" s="177" t="n"/>
      <c r="V985" s="177" t="n"/>
      <c r="W985" s="177" t="n"/>
      <c r="X985" s="177" t="n"/>
      <c r="Y985" s="177" t="n"/>
    </row>
    <row r="986">
      <c r="A986" s="177" t="n"/>
      <c r="B986" s="177" t="n"/>
      <c r="C986" s="177" t="n"/>
      <c r="D986" s="177" t="n"/>
      <c r="E986" s="177" t="n"/>
      <c r="F986" s="177" t="n"/>
      <c r="G986" s="177" t="n"/>
      <c r="H986" s="177" t="n"/>
      <c r="I986" s="177" t="n"/>
      <c r="J986" s="177" t="n"/>
      <c r="K986" s="177" t="n"/>
      <c r="L986" s="177" t="n"/>
      <c r="M986" s="177" t="n"/>
      <c r="N986" s="177" t="n"/>
      <c r="O986" s="177" t="n"/>
      <c r="P986" s="177" t="n"/>
      <c r="Q986" s="177" t="n"/>
      <c r="R986" s="177" t="n"/>
      <c r="S986" s="177" t="n"/>
      <c r="T986" s="177" t="n"/>
      <c r="U986" s="177" t="n"/>
      <c r="V986" s="177" t="n"/>
      <c r="W986" s="177" t="n"/>
      <c r="X986" s="177" t="n"/>
      <c r="Y986" s="177" t="n"/>
    </row>
    <row r="987">
      <c r="A987" s="177" t="n"/>
      <c r="B987" s="177" t="n"/>
      <c r="C987" s="177" t="n"/>
      <c r="D987" s="177" t="n"/>
      <c r="E987" s="177" t="n"/>
      <c r="F987" s="177" t="n"/>
      <c r="G987" s="177" t="n"/>
      <c r="H987" s="177" t="n"/>
      <c r="I987" s="177" t="n"/>
      <c r="J987" s="177" t="n"/>
      <c r="K987" s="177" t="n"/>
      <c r="L987" s="177" t="n"/>
      <c r="M987" s="177" t="n"/>
      <c r="N987" s="177" t="n"/>
      <c r="O987" s="177" t="n"/>
      <c r="P987" s="177" t="n"/>
      <c r="Q987" s="177" t="n"/>
      <c r="R987" s="177" t="n"/>
      <c r="S987" s="177" t="n"/>
      <c r="T987" s="177" t="n"/>
      <c r="U987" s="177" t="n"/>
      <c r="V987" s="177" t="n"/>
      <c r="W987" s="177" t="n"/>
      <c r="X987" s="177" t="n"/>
      <c r="Y987" s="177" t="n"/>
    </row>
    <row r="988">
      <c r="A988" s="177" t="n"/>
      <c r="B988" s="177" t="n"/>
      <c r="C988" s="177" t="n"/>
      <c r="D988" s="177" t="n"/>
      <c r="E988" s="177" t="n"/>
      <c r="F988" s="177" t="n"/>
      <c r="G988" s="177" t="n"/>
      <c r="H988" s="177" t="n"/>
      <c r="I988" s="177" t="n"/>
      <c r="J988" s="177" t="n"/>
      <c r="K988" s="177" t="n"/>
      <c r="L988" s="177" t="n"/>
      <c r="M988" s="177" t="n"/>
      <c r="N988" s="177" t="n"/>
      <c r="O988" s="177" t="n"/>
      <c r="P988" s="177" t="n"/>
      <c r="Q988" s="177" t="n"/>
      <c r="R988" s="177" t="n"/>
      <c r="S988" s="177" t="n"/>
      <c r="T988" s="177" t="n"/>
      <c r="U988" s="177" t="n"/>
      <c r="V988" s="177" t="n"/>
      <c r="W988" s="177" t="n"/>
      <c r="X988" s="177" t="n"/>
      <c r="Y988" s="177" t="n"/>
    </row>
    <row r="989">
      <c r="A989" s="177" t="n"/>
      <c r="B989" s="177" t="n"/>
      <c r="C989" s="177" t="n"/>
      <c r="D989" s="177" t="n"/>
      <c r="E989" s="177" t="n"/>
      <c r="F989" s="177" t="n"/>
      <c r="G989" s="177" t="n"/>
      <c r="H989" s="177" t="n"/>
      <c r="I989" s="177" t="n"/>
      <c r="J989" s="177" t="n"/>
      <c r="K989" s="177" t="n"/>
      <c r="L989" s="177" t="n"/>
      <c r="M989" s="177" t="n"/>
      <c r="N989" s="177" t="n"/>
      <c r="O989" s="177" t="n"/>
      <c r="P989" s="177" t="n"/>
      <c r="Q989" s="177" t="n"/>
      <c r="R989" s="177" t="n"/>
      <c r="S989" s="177" t="n"/>
      <c r="T989" s="177" t="n"/>
      <c r="U989" s="177" t="n"/>
      <c r="V989" s="177" t="n"/>
      <c r="W989" s="177" t="n"/>
      <c r="X989" s="177" t="n"/>
      <c r="Y989" s="177" t="n"/>
    </row>
    <row r="990">
      <c r="A990" s="177" t="n"/>
      <c r="B990" s="177" t="n"/>
      <c r="C990" s="177" t="n"/>
      <c r="D990" s="177" t="n"/>
      <c r="E990" s="177" t="n"/>
      <c r="F990" s="177" t="n"/>
      <c r="G990" s="177" t="n"/>
      <c r="H990" s="177" t="n"/>
      <c r="I990" s="177" t="n"/>
      <c r="J990" s="177" t="n"/>
      <c r="K990" s="177" t="n"/>
      <c r="L990" s="177" t="n"/>
      <c r="M990" s="177" t="n"/>
      <c r="N990" s="177" t="n"/>
      <c r="O990" s="177" t="n"/>
      <c r="P990" s="177" t="n"/>
      <c r="Q990" s="177" t="n"/>
      <c r="R990" s="177" t="n"/>
      <c r="S990" s="177" t="n"/>
      <c r="T990" s="177" t="n"/>
      <c r="U990" s="177" t="n"/>
      <c r="V990" s="177" t="n"/>
      <c r="W990" s="177" t="n"/>
      <c r="X990" s="177" t="n"/>
      <c r="Y990" s="177" t="n"/>
    </row>
    <row r="991">
      <c r="A991" s="177" t="n"/>
      <c r="B991" s="177" t="n"/>
      <c r="C991" s="177" t="n"/>
      <c r="D991" s="177" t="n"/>
      <c r="E991" s="177" t="n"/>
      <c r="F991" s="177" t="n"/>
      <c r="G991" s="177" t="n"/>
      <c r="H991" s="177" t="n"/>
      <c r="I991" s="177" t="n"/>
      <c r="J991" s="177" t="n"/>
      <c r="K991" s="177" t="n"/>
      <c r="L991" s="177" t="n"/>
      <c r="M991" s="177" t="n"/>
      <c r="N991" s="177" t="n"/>
      <c r="O991" s="177" t="n"/>
      <c r="P991" s="177" t="n"/>
      <c r="Q991" s="177" t="n"/>
      <c r="R991" s="177" t="n"/>
      <c r="S991" s="177" t="n"/>
      <c r="T991" s="177" t="n"/>
      <c r="U991" s="177" t="n"/>
      <c r="V991" s="177" t="n"/>
      <c r="W991" s="177" t="n"/>
      <c r="X991" s="177" t="n"/>
      <c r="Y991" s="177" t="n"/>
    </row>
    <row r="992">
      <c r="A992" s="177" t="n"/>
      <c r="B992" s="177" t="n"/>
      <c r="C992" s="177" t="n"/>
      <c r="D992" s="177" t="n"/>
      <c r="E992" s="177" t="n"/>
      <c r="F992" s="177" t="n"/>
      <c r="G992" s="177" t="n"/>
      <c r="H992" s="177" t="n"/>
      <c r="I992" s="177" t="n"/>
      <c r="J992" s="177" t="n"/>
      <c r="K992" s="177" t="n"/>
      <c r="L992" s="177" t="n"/>
      <c r="M992" s="177" t="n"/>
      <c r="N992" s="177" t="n"/>
      <c r="O992" s="177" t="n"/>
      <c r="P992" s="177" t="n"/>
      <c r="Q992" s="177" t="n"/>
      <c r="R992" s="177" t="n"/>
      <c r="S992" s="177" t="n"/>
      <c r="T992" s="177" t="n"/>
      <c r="U992" s="177" t="n"/>
      <c r="V992" s="177" t="n"/>
      <c r="W992" s="177" t="n"/>
      <c r="X992" s="177" t="n"/>
      <c r="Y992" s="177" t="n"/>
    </row>
    <row r="993">
      <c r="A993" s="177" t="n"/>
      <c r="B993" s="177" t="n"/>
      <c r="C993" s="177" t="n"/>
      <c r="D993" s="177" t="n"/>
      <c r="E993" s="177" t="n"/>
      <c r="F993" s="177" t="n"/>
      <c r="G993" s="177" t="n"/>
      <c r="H993" s="177" t="n"/>
      <c r="I993" s="177" t="n"/>
      <c r="J993" s="177" t="n"/>
      <c r="K993" s="177" t="n"/>
      <c r="L993" s="177" t="n"/>
      <c r="M993" s="177" t="n"/>
      <c r="N993" s="177" t="n"/>
      <c r="O993" s="177" t="n"/>
      <c r="P993" s="177" t="n"/>
      <c r="Q993" s="177" t="n"/>
      <c r="R993" s="177" t="n"/>
      <c r="S993" s="177" t="n"/>
      <c r="T993" s="177" t="n"/>
      <c r="U993" s="177" t="n"/>
      <c r="V993" s="177" t="n"/>
      <c r="W993" s="177" t="n"/>
      <c r="X993" s="177" t="n"/>
      <c r="Y993" s="177" t="n"/>
    </row>
    <row r="994">
      <c r="A994" s="177" t="n"/>
      <c r="B994" s="177" t="n"/>
      <c r="C994" s="177" t="n"/>
      <c r="D994" s="177" t="n"/>
      <c r="E994" s="177" t="n"/>
      <c r="F994" s="177" t="n"/>
      <c r="G994" s="177" t="n"/>
      <c r="H994" s="177" t="n"/>
      <c r="I994" s="177" t="n"/>
      <c r="J994" s="177" t="n"/>
      <c r="K994" s="177" t="n"/>
      <c r="L994" s="177" t="n"/>
      <c r="M994" s="177" t="n"/>
      <c r="N994" s="177" t="n"/>
      <c r="O994" s="177" t="n"/>
      <c r="P994" s="177" t="n"/>
      <c r="Q994" s="177" t="n"/>
      <c r="R994" s="177" t="n"/>
      <c r="S994" s="177" t="n"/>
      <c r="T994" s="177" t="n"/>
      <c r="U994" s="177" t="n"/>
      <c r="V994" s="177" t="n"/>
      <c r="W994" s="177" t="n"/>
      <c r="X994" s="177" t="n"/>
      <c r="Y994" s="177" t="n"/>
    </row>
    <row r="995">
      <c r="A995" s="177" t="n"/>
      <c r="B995" s="177" t="n"/>
      <c r="C995" s="177" t="n"/>
      <c r="D995" s="177" t="n"/>
      <c r="E995" s="177" t="n"/>
      <c r="F995" s="177" t="n"/>
      <c r="G995" s="177" t="n"/>
      <c r="H995" s="177" t="n"/>
      <c r="I995" s="177" t="n"/>
      <c r="J995" s="177" t="n"/>
      <c r="K995" s="177" t="n"/>
      <c r="L995" s="177" t="n"/>
      <c r="M995" s="177" t="n"/>
      <c r="N995" s="177" t="n"/>
      <c r="O995" s="177" t="n"/>
      <c r="P995" s="177" t="n"/>
      <c r="Q995" s="177" t="n"/>
      <c r="R995" s="177" t="n"/>
      <c r="S995" s="177" t="n"/>
      <c r="T995" s="177" t="n"/>
      <c r="U995" s="177" t="n"/>
      <c r="V995" s="177" t="n"/>
      <c r="W995" s="177" t="n"/>
      <c r="X995" s="177" t="n"/>
      <c r="Y995" s="177" t="n"/>
    </row>
    <row r="996">
      <c r="A996" s="177" t="n"/>
      <c r="B996" s="177" t="n"/>
      <c r="C996" s="177" t="n"/>
      <c r="D996" s="177" t="n"/>
      <c r="E996" s="177" t="n"/>
      <c r="F996" s="177" t="n"/>
      <c r="G996" s="177" t="n"/>
      <c r="H996" s="177" t="n"/>
      <c r="I996" s="177" t="n"/>
      <c r="J996" s="177" t="n"/>
      <c r="K996" s="177" t="n"/>
      <c r="L996" s="177" t="n"/>
      <c r="M996" s="177" t="n"/>
      <c r="N996" s="177" t="n"/>
      <c r="O996" s="177" t="n"/>
      <c r="P996" s="177" t="n"/>
      <c r="Q996" s="177" t="n"/>
      <c r="R996" s="177" t="n"/>
      <c r="S996" s="177" t="n"/>
      <c r="T996" s="177" t="n"/>
      <c r="U996" s="177" t="n"/>
      <c r="V996" s="177" t="n"/>
      <c r="W996" s="177" t="n"/>
      <c r="X996" s="177" t="n"/>
      <c r="Y996" s="177" t="n"/>
    </row>
    <row r="997">
      <c r="A997" s="177" t="n"/>
      <c r="B997" s="177" t="n"/>
      <c r="C997" s="177" t="n"/>
      <c r="D997" s="177" t="n"/>
      <c r="E997" s="177" t="n"/>
      <c r="F997" s="177" t="n"/>
      <c r="G997" s="177" t="n"/>
      <c r="H997" s="177" t="n"/>
      <c r="I997" s="177" t="n"/>
      <c r="J997" s="177" t="n"/>
      <c r="K997" s="177" t="n"/>
      <c r="L997" s="177" t="n"/>
      <c r="M997" s="177" t="n"/>
      <c r="N997" s="177" t="n"/>
      <c r="O997" s="177" t="n"/>
      <c r="P997" s="177" t="n"/>
      <c r="Q997" s="177" t="n"/>
      <c r="R997" s="177" t="n"/>
      <c r="S997" s="177" t="n"/>
      <c r="T997" s="177" t="n"/>
      <c r="U997" s="177" t="n"/>
      <c r="V997" s="177" t="n"/>
      <c r="W997" s="177" t="n"/>
      <c r="X997" s="177" t="n"/>
      <c r="Y997" s="177" t="n"/>
    </row>
    <row r="998">
      <c r="A998" s="177" t="n"/>
      <c r="B998" s="177" t="n"/>
      <c r="C998" s="177" t="n"/>
      <c r="D998" s="177" t="n"/>
      <c r="E998" s="177" t="n"/>
      <c r="F998" s="177" t="n"/>
      <c r="G998" s="177" t="n"/>
      <c r="H998" s="177" t="n"/>
      <c r="I998" s="177" t="n"/>
      <c r="J998" s="177" t="n"/>
      <c r="K998" s="177" t="n"/>
      <c r="L998" s="177" t="n"/>
      <c r="M998" s="177" t="n"/>
      <c r="N998" s="177" t="n"/>
      <c r="O998" s="177" t="n"/>
      <c r="P998" s="177" t="n"/>
      <c r="Q998" s="177" t="n"/>
      <c r="R998" s="177" t="n"/>
      <c r="S998" s="177" t="n"/>
      <c r="T998" s="177" t="n"/>
      <c r="U998" s="177" t="n"/>
      <c r="V998" s="177" t="n"/>
      <c r="W998" s="177" t="n"/>
      <c r="X998" s="177" t="n"/>
      <c r="Y998" s="177" t="n"/>
    </row>
    <row r="999">
      <c r="A999" s="177" t="n"/>
      <c r="B999" s="177" t="n"/>
      <c r="C999" s="177" t="n"/>
      <c r="D999" s="177" t="n"/>
      <c r="E999" s="177" t="n"/>
      <c r="F999" s="177" t="n"/>
      <c r="G999" s="177" t="n"/>
      <c r="H999" s="177" t="n"/>
      <c r="I999" s="177" t="n"/>
      <c r="J999" s="177" t="n"/>
      <c r="K999" s="177" t="n"/>
      <c r="L999" s="177" t="n"/>
      <c r="M999" s="177" t="n"/>
      <c r="N999" s="177" t="n"/>
      <c r="O999" s="177" t="n"/>
      <c r="P999" s="177" t="n"/>
      <c r="Q999" s="177" t="n"/>
      <c r="R999" s="177" t="n"/>
      <c r="S999" s="177" t="n"/>
      <c r="T999" s="177" t="n"/>
      <c r="U999" s="177" t="n"/>
      <c r="V999" s="177" t="n"/>
      <c r="W999" s="177" t="n"/>
      <c r="X999" s="177" t="n"/>
      <c r="Y999" s="177" t="n"/>
    </row>
    <row r="1000">
      <c r="A1000" s="177" t="n"/>
      <c r="B1000" s="177" t="n"/>
      <c r="C1000" s="177" t="n"/>
      <c r="D1000" s="177" t="n"/>
      <c r="E1000" s="177" t="n"/>
      <c r="F1000" s="177" t="n"/>
      <c r="G1000" s="177" t="n"/>
      <c r="H1000" s="177" t="n"/>
      <c r="I1000" s="177" t="n"/>
      <c r="J1000" s="177" t="n"/>
      <c r="K1000" s="177" t="n"/>
      <c r="L1000" s="177" t="n"/>
      <c r="M1000" s="177" t="n"/>
      <c r="N1000" s="177" t="n"/>
      <c r="O1000" s="177" t="n"/>
      <c r="P1000" s="177" t="n"/>
      <c r="Q1000" s="177" t="n"/>
      <c r="R1000" s="177" t="n"/>
      <c r="S1000" s="177" t="n"/>
      <c r="T1000" s="177" t="n"/>
      <c r="U1000" s="177" t="n"/>
      <c r="V1000" s="177" t="n"/>
      <c r="W1000" s="177" t="n"/>
      <c r="X1000" s="177" t="n"/>
      <c r="Y1000" s="177" t="n"/>
    </row>
    <row r="1001">
      <c r="A1001" s="177" t="n"/>
      <c r="B1001" s="177" t="n"/>
      <c r="C1001" s="177" t="n"/>
      <c r="D1001" s="177" t="n"/>
      <c r="E1001" s="177" t="n"/>
      <c r="F1001" s="177" t="n"/>
      <c r="G1001" s="177" t="n"/>
      <c r="H1001" s="177" t="n"/>
      <c r="I1001" s="177" t="n"/>
      <c r="J1001" s="177" t="n"/>
      <c r="K1001" s="177" t="n"/>
      <c r="L1001" s="177" t="n"/>
      <c r="M1001" s="177" t="n"/>
      <c r="N1001" s="177" t="n"/>
      <c r="O1001" s="177" t="n"/>
      <c r="P1001" s="177" t="n"/>
      <c r="Q1001" s="177" t="n"/>
      <c r="R1001" s="177" t="n"/>
      <c r="S1001" s="177" t="n"/>
      <c r="T1001" s="177" t="n"/>
      <c r="U1001" s="177" t="n"/>
      <c r="V1001" s="177" t="n"/>
      <c r="W1001" s="177" t="n"/>
      <c r="X1001" s="177" t="n"/>
      <c r="Y1001" s="177" t="n"/>
    </row>
    <row r="1002">
      <c r="A1002" s="177" t="n"/>
      <c r="B1002" s="177" t="n"/>
      <c r="C1002" s="177" t="n"/>
      <c r="D1002" s="177" t="n"/>
      <c r="E1002" s="177" t="n"/>
      <c r="F1002" s="177" t="n"/>
      <c r="G1002" s="177" t="n"/>
      <c r="H1002" s="177" t="n"/>
      <c r="I1002" s="177" t="n"/>
      <c r="J1002" s="177" t="n"/>
      <c r="K1002" s="177" t="n"/>
      <c r="L1002" s="177" t="n"/>
      <c r="M1002" s="177" t="n"/>
      <c r="N1002" s="177" t="n"/>
      <c r="O1002" s="177" t="n"/>
      <c r="P1002" s="177" t="n"/>
      <c r="Q1002" s="177" t="n"/>
      <c r="R1002" s="177" t="n"/>
      <c r="S1002" s="177" t="n"/>
      <c r="T1002" s="177" t="n"/>
      <c r="U1002" s="177" t="n"/>
      <c r="V1002" s="177" t="n"/>
      <c r="W1002" s="177" t="n"/>
      <c r="X1002" s="177" t="n"/>
      <c r="Y1002" s="177" t="n"/>
    </row>
    <row r="1003">
      <c r="A1003" s="177" t="n"/>
      <c r="B1003" s="177" t="n"/>
      <c r="C1003" s="177" t="n"/>
      <c r="D1003" s="177" t="n"/>
      <c r="E1003" s="177" t="n"/>
      <c r="F1003" s="177" t="n"/>
      <c r="G1003" s="177" t="n"/>
      <c r="H1003" s="177" t="n"/>
      <c r="I1003" s="177" t="n"/>
      <c r="J1003" s="177" t="n"/>
      <c r="K1003" s="177" t="n"/>
      <c r="L1003" s="177" t="n"/>
      <c r="M1003" s="177" t="n"/>
      <c r="N1003" s="177" t="n"/>
      <c r="O1003" s="177" t="n"/>
      <c r="P1003" s="177" t="n"/>
      <c r="Q1003" s="177" t="n"/>
      <c r="R1003" s="177" t="n"/>
      <c r="S1003" s="177" t="n"/>
      <c r="T1003" s="177" t="n"/>
      <c r="U1003" s="177" t="n"/>
      <c r="V1003" s="177" t="n"/>
      <c r="W1003" s="177" t="n"/>
      <c r="X1003" s="177" t="n"/>
      <c r="Y1003" s="177" t="n"/>
    </row>
    <row r="1004">
      <c r="A1004" s="177" t="n"/>
      <c r="B1004" s="177" t="n"/>
      <c r="C1004" s="177" t="n"/>
      <c r="D1004" s="177" t="n"/>
      <c r="E1004" s="177" t="n"/>
      <c r="F1004" s="177" t="n"/>
      <c r="G1004" s="177" t="n"/>
      <c r="H1004" s="177" t="n"/>
      <c r="I1004" s="177" t="n"/>
      <c r="J1004" s="177" t="n"/>
      <c r="K1004" s="177" t="n"/>
      <c r="L1004" s="177" t="n"/>
      <c r="M1004" s="177" t="n"/>
      <c r="N1004" s="177" t="n"/>
      <c r="O1004" s="177" t="n"/>
      <c r="P1004" s="177" t="n"/>
      <c r="Q1004" s="177" t="n"/>
      <c r="R1004" s="177" t="n"/>
      <c r="S1004" s="177" t="n"/>
      <c r="T1004" s="177" t="n"/>
      <c r="U1004" s="177" t="n"/>
      <c r="V1004" s="177" t="n"/>
      <c r="W1004" s="177" t="n"/>
      <c r="X1004" s="177" t="n"/>
      <c r="Y1004" s="177" t="n"/>
    </row>
    <row r="1005">
      <c r="A1005" s="177" t="n"/>
      <c r="B1005" s="177" t="n"/>
      <c r="C1005" s="177" t="n"/>
      <c r="D1005" s="177" t="n"/>
      <c r="E1005" s="177" t="n"/>
      <c r="F1005" s="177" t="n"/>
      <c r="G1005" s="177" t="n"/>
      <c r="H1005" s="177" t="n"/>
      <c r="I1005" s="177" t="n"/>
      <c r="J1005" s="177" t="n"/>
      <c r="K1005" s="177" t="n"/>
      <c r="L1005" s="177" t="n"/>
      <c r="M1005" s="177" t="n"/>
      <c r="N1005" s="177" t="n"/>
      <c r="O1005" s="177" t="n"/>
      <c r="P1005" s="177" t="n"/>
      <c r="Q1005" s="177" t="n"/>
      <c r="R1005" s="177" t="n"/>
      <c r="S1005" s="177" t="n"/>
      <c r="T1005" s="177" t="n"/>
      <c r="U1005" s="177" t="n"/>
      <c r="V1005" s="177" t="n"/>
      <c r="W1005" s="177" t="n"/>
      <c r="X1005" s="177" t="n"/>
      <c r="Y1005" s="177" t="n"/>
    </row>
    <row r="1006">
      <c r="A1006" s="177" t="n"/>
      <c r="B1006" s="177" t="n"/>
      <c r="C1006" s="177" t="n"/>
      <c r="D1006" s="177" t="n"/>
      <c r="E1006" s="177" t="n"/>
      <c r="F1006" s="177" t="n"/>
      <c r="G1006" s="177" t="n"/>
      <c r="H1006" s="177" t="n"/>
      <c r="I1006" s="177" t="n"/>
      <c r="J1006" s="177" t="n"/>
      <c r="K1006" s="177" t="n"/>
      <c r="L1006" s="177" t="n"/>
      <c r="M1006" s="177" t="n"/>
      <c r="N1006" s="177" t="n"/>
      <c r="O1006" s="177" t="n"/>
      <c r="P1006" s="177" t="n"/>
      <c r="Q1006" s="177" t="n"/>
      <c r="R1006" s="177" t="n"/>
      <c r="S1006" s="177" t="n"/>
      <c r="T1006" s="177" t="n"/>
      <c r="U1006" s="177" t="n"/>
      <c r="V1006" s="177" t="n"/>
      <c r="W1006" s="177" t="n"/>
      <c r="X1006" s="177" t="n"/>
      <c r="Y1006" s="177" t="n"/>
    </row>
    <row r="1007">
      <c r="A1007" s="177" t="n"/>
      <c r="B1007" s="177" t="n"/>
      <c r="C1007" s="177" t="n"/>
      <c r="D1007" s="177" t="n"/>
      <c r="E1007" s="177" t="n"/>
      <c r="F1007" s="177" t="n"/>
      <c r="G1007" s="177" t="n"/>
      <c r="H1007" s="177" t="n"/>
      <c r="I1007" s="177" t="n"/>
      <c r="J1007" s="177" t="n"/>
      <c r="K1007" s="177" t="n"/>
      <c r="L1007" s="177" t="n"/>
      <c r="M1007" s="177" t="n"/>
      <c r="N1007" s="177" t="n"/>
      <c r="O1007" s="177" t="n"/>
      <c r="P1007" s="177" t="n"/>
      <c r="Q1007" s="177" t="n"/>
      <c r="R1007" s="177" t="n"/>
      <c r="S1007" s="177" t="n"/>
      <c r="T1007" s="177" t="n"/>
      <c r="U1007" s="177" t="n"/>
      <c r="V1007" s="177" t="n"/>
      <c r="W1007" s="177" t="n"/>
      <c r="X1007" s="177" t="n"/>
      <c r="Y1007" s="177" t="n"/>
    </row>
    <row r="1008">
      <c r="A1008" s="177" t="n"/>
      <c r="B1008" s="177" t="n"/>
      <c r="C1008" s="177" t="n"/>
      <c r="D1008" s="177" t="n"/>
      <c r="E1008" s="177" t="n"/>
      <c r="F1008" s="177" t="n"/>
      <c r="G1008" s="177" t="n"/>
      <c r="H1008" s="177" t="n"/>
      <c r="I1008" s="177" t="n"/>
      <c r="J1008" s="177" t="n"/>
      <c r="K1008" s="177" t="n"/>
      <c r="L1008" s="177" t="n"/>
      <c r="M1008" s="177" t="n"/>
      <c r="N1008" s="177" t="n"/>
      <c r="O1008" s="177" t="n"/>
      <c r="P1008" s="177" t="n"/>
      <c r="Q1008" s="177" t="n"/>
      <c r="R1008" s="177" t="n"/>
      <c r="S1008" s="177" t="n"/>
      <c r="T1008" s="177" t="n"/>
      <c r="U1008" s="177" t="n"/>
      <c r="V1008" s="177" t="n"/>
      <c r="W1008" s="177" t="n"/>
      <c r="X1008" s="177" t="n"/>
      <c r="Y1008" s="177" t="n"/>
    </row>
    <row r="1009">
      <c r="A1009" s="177" t="n"/>
      <c r="B1009" s="177" t="n"/>
      <c r="C1009" s="177" t="n"/>
      <c r="D1009" s="177" t="n"/>
      <c r="E1009" s="177" t="n"/>
      <c r="F1009" s="177" t="n"/>
      <c r="G1009" s="177" t="n"/>
      <c r="H1009" s="177" t="n"/>
      <c r="I1009" s="177" t="n"/>
      <c r="J1009" s="177" t="n"/>
      <c r="K1009" s="177" t="n"/>
      <c r="L1009" s="177" t="n"/>
      <c r="M1009" s="177" t="n"/>
      <c r="N1009" s="177" t="n"/>
      <c r="O1009" s="177" t="n"/>
      <c r="P1009" s="177" t="n"/>
      <c r="Q1009" s="177" t="n"/>
      <c r="R1009" s="177" t="n"/>
      <c r="S1009" s="177" t="n"/>
      <c r="T1009" s="177" t="n"/>
      <c r="U1009" s="177" t="n"/>
      <c r="V1009" s="177" t="n"/>
      <c r="W1009" s="177" t="n"/>
      <c r="X1009" s="177" t="n"/>
      <c r="Y1009" s="177" t="n"/>
    </row>
    <row r="1010">
      <c r="A1010" s="177" t="n"/>
      <c r="B1010" s="177" t="n"/>
      <c r="C1010" s="177" t="n"/>
      <c r="D1010" s="177" t="n"/>
      <c r="E1010" s="177" t="n"/>
      <c r="F1010" s="177" t="n"/>
      <c r="G1010" s="177" t="n"/>
      <c r="H1010" s="177" t="n"/>
      <c r="I1010" s="177" t="n"/>
      <c r="J1010" s="177" t="n"/>
      <c r="K1010" s="177" t="n"/>
      <c r="L1010" s="177" t="n"/>
      <c r="M1010" s="177" t="n"/>
      <c r="N1010" s="177" t="n"/>
      <c r="O1010" s="177" t="n"/>
      <c r="P1010" s="177" t="n"/>
      <c r="Q1010" s="177" t="n"/>
      <c r="R1010" s="177" t="n"/>
      <c r="S1010" s="177" t="n"/>
      <c r="T1010" s="177" t="n"/>
      <c r="U1010" s="177" t="n"/>
      <c r="V1010" s="177" t="n"/>
      <c r="W1010" s="177" t="n"/>
      <c r="X1010" s="177" t="n"/>
      <c r="Y1010" s="177" t="n"/>
    </row>
    <row r="1011">
      <c r="A1011" s="177" t="n"/>
      <c r="B1011" s="177" t="n"/>
      <c r="C1011" s="177" t="n"/>
      <c r="D1011" s="177" t="n"/>
      <c r="E1011" s="177" t="n"/>
      <c r="F1011" s="177" t="n"/>
      <c r="G1011" s="177" t="n"/>
      <c r="H1011" s="177" t="n"/>
      <c r="I1011" s="177" t="n"/>
      <c r="J1011" s="177" t="n"/>
      <c r="K1011" s="177" t="n"/>
      <c r="L1011" s="177" t="n"/>
      <c r="M1011" s="177" t="n"/>
      <c r="N1011" s="177" t="n"/>
      <c r="O1011" s="177" t="n"/>
      <c r="P1011" s="177" t="n"/>
      <c r="Q1011" s="177" t="n"/>
      <c r="R1011" s="177" t="n"/>
      <c r="S1011" s="177" t="n"/>
      <c r="T1011" s="177" t="n"/>
      <c r="U1011" s="177" t="n"/>
      <c r="V1011" s="177" t="n"/>
      <c r="W1011" s="177" t="n"/>
      <c r="X1011" s="177" t="n"/>
      <c r="Y1011" s="177" t="n"/>
    </row>
    <row r="1012">
      <c r="A1012" s="177" t="n"/>
      <c r="B1012" s="177" t="n"/>
      <c r="C1012" s="177" t="n"/>
      <c r="D1012" s="177" t="n"/>
      <c r="E1012" s="177" t="n"/>
      <c r="F1012" s="177" t="n"/>
      <c r="G1012" s="177" t="n"/>
      <c r="H1012" s="177" t="n"/>
      <c r="I1012" s="177" t="n"/>
      <c r="J1012" s="177" t="n"/>
      <c r="K1012" s="177" t="n"/>
      <c r="L1012" s="177" t="n"/>
      <c r="M1012" s="177" t="n"/>
      <c r="N1012" s="177" t="n"/>
      <c r="O1012" s="177" t="n"/>
      <c r="P1012" s="177" t="n"/>
      <c r="Q1012" s="177" t="n"/>
      <c r="R1012" s="177" t="n"/>
      <c r="S1012" s="177" t="n"/>
      <c r="T1012" s="177" t="n"/>
      <c r="U1012" s="177" t="n"/>
      <c r="V1012" s="177" t="n"/>
      <c r="W1012" s="177" t="n"/>
      <c r="X1012" s="177" t="n"/>
      <c r="Y1012" s="177" t="n"/>
    </row>
    <row r="1013">
      <c r="A1013" s="177" t="n"/>
      <c r="B1013" s="177" t="n"/>
      <c r="C1013" s="177" t="n"/>
      <c r="D1013" s="177" t="n"/>
      <c r="E1013" s="177" t="n"/>
      <c r="F1013" s="177" t="n"/>
      <c r="G1013" s="177" t="n"/>
      <c r="H1013" s="177" t="n"/>
      <c r="I1013" s="177" t="n"/>
      <c r="J1013" s="177" t="n"/>
      <c r="K1013" s="177" t="n"/>
      <c r="L1013" s="177" t="n"/>
      <c r="M1013" s="177" t="n"/>
      <c r="N1013" s="177" t="n"/>
      <c r="O1013" s="177" t="n"/>
      <c r="P1013" s="177" t="n"/>
      <c r="Q1013" s="177" t="n"/>
      <c r="R1013" s="177" t="n"/>
      <c r="S1013" s="177" t="n"/>
      <c r="T1013" s="177" t="n"/>
      <c r="U1013" s="177" t="n"/>
      <c r="V1013" s="177" t="n"/>
      <c r="W1013" s="177" t="n"/>
      <c r="X1013" s="177" t="n"/>
      <c r="Y1013" s="177" t="n"/>
    </row>
    <row r="1014">
      <c r="A1014" s="177" t="n"/>
      <c r="B1014" s="177" t="n"/>
      <c r="C1014" s="177" t="n"/>
      <c r="D1014" s="177" t="n"/>
      <c r="E1014" s="177" t="n"/>
      <c r="F1014" s="177" t="n"/>
      <c r="G1014" s="177" t="n"/>
      <c r="H1014" s="177" t="n"/>
      <c r="I1014" s="177" t="n"/>
      <c r="J1014" s="177" t="n"/>
      <c r="K1014" s="177" t="n"/>
      <c r="L1014" s="177" t="n"/>
      <c r="M1014" s="177" t="n"/>
      <c r="N1014" s="177" t="n"/>
      <c r="O1014" s="177" t="n"/>
      <c r="P1014" s="177" t="n"/>
      <c r="Q1014" s="177" t="n"/>
      <c r="R1014" s="177" t="n"/>
      <c r="S1014" s="177" t="n"/>
      <c r="T1014" s="177" t="n"/>
      <c r="U1014" s="177" t="n"/>
      <c r="V1014" s="177" t="n"/>
      <c r="W1014" s="177" t="n"/>
      <c r="X1014" s="177" t="n"/>
      <c r="Y1014" s="177" t="n"/>
    </row>
  </sheetData>
  <mergeCells count="12">
    <mergeCell ref="A26:B26"/>
    <mergeCell ref="A1:J1"/>
    <mergeCell ref="A5:J5"/>
    <mergeCell ref="A8:J8"/>
    <mergeCell ref="A25:B25"/>
    <mergeCell ref="A28:I28"/>
    <mergeCell ref="A9:J9"/>
    <mergeCell ref="D11:E11"/>
    <mergeCell ref="G11:H11"/>
    <mergeCell ref="A11:B11"/>
    <mergeCell ref="A7:J7"/>
    <mergeCell ref="A4:C4"/>
  </mergeCells>
  <pageMargins left="0.7" right="0.7" top="0.75" bottom="0.75" header="0.3" footer="0.3"/>
</worksheet>
</file>

<file path=xl/worksheets/sheet2.xml><?xml version="1.0" encoding="utf-8"?>
<worksheet xmlns="http://schemas.openxmlformats.org/spreadsheetml/2006/main">
  <sheetPr codeName="Sheet2">
    <tabColor rgb="FF002060"/>
    <outlinePr summaryBelow="1" summaryRight="1"/>
    <pageSetUpPr/>
  </sheetPr>
  <dimension ref="A1:Y1000"/>
  <sheetViews>
    <sheetView showGridLines="0" topLeftCell="A32" workbookViewId="0">
      <selection activeCell="B43" sqref="B43"/>
    </sheetView>
  </sheetViews>
  <sheetFormatPr baseColWidth="8" defaultColWidth="21.88671875" defaultRowHeight="14.4"/>
  <cols>
    <col width="30.21875" customWidth="1" style="204" min="2" max="2"/>
    <col width="49.109375" customWidth="1" style="201" min="4" max="4"/>
  </cols>
  <sheetData>
    <row r="1" ht="25.8" customHeight="1">
      <c r="A1" s="1150" t="inlineStr">
        <is>
          <t>INDEX</t>
        </is>
      </c>
      <c r="E1" s="1" t="n"/>
      <c r="F1" s="1" t="n"/>
      <c r="G1" s="1" t="n"/>
      <c r="H1" s="1" t="n"/>
      <c r="I1" s="1" t="n"/>
      <c r="J1" s="1" t="n"/>
      <c r="K1" s="1" t="n"/>
      <c r="L1" s="1" t="n"/>
      <c r="M1" s="1" t="n"/>
      <c r="N1" s="1" t="n"/>
      <c r="O1" s="1" t="n"/>
      <c r="P1" s="1" t="n"/>
      <c r="Q1" s="1" t="n"/>
      <c r="R1" s="1" t="n"/>
      <c r="S1" s="1" t="n"/>
      <c r="T1" s="1" t="n"/>
      <c r="U1" s="1" t="n"/>
      <c r="V1" s="1" t="n"/>
      <c r="W1" s="1" t="n"/>
      <c r="X1" s="1" t="n"/>
      <c r="Y1" s="1" t="n"/>
    </row>
    <row r="2">
      <c r="A2" s="1149" t="inlineStr">
        <is>
          <t>Click a sheet name to navigate.</t>
        </is>
      </c>
      <c r="D2" s="200"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thickBot="1">
      <c r="B3" s="202" t="n"/>
      <c r="D3" s="200"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thickBot="1">
      <c r="A4" s="316" t="inlineStr">
        <is>
          <t>No</t>
        </is>
      </c>
      <c r="B4" s="317" t="inlineStr">
        <is>
          <t>Worksheet</t>
        </is>
      </c>
      <c r="C4" s="318" t="inlineStr">
        <is>
          <t>Category</t>
        </is>
      </c>
      <c r="D4" s="310" t="inlineStr">
        <is>
          <t>Description</t>
        </is>
      </c>
      <c r="E4" s="1" t="n"/>
      <c r="F4" s="1" t="n"/>
      <c r="G4" s="1" t="n"/>
      <c r="H4" s="1" t="n"/>
      <c r="I4" s="1" t="n"/>
      <c r="J4" s="1" t="n"/>
      <c r="K4" s="1" t="n"/>
      <c r="L4" s="1" t="n"/>
      <c r="M4" s="1" t="n"/>
      <c r="N4" s="1" t="n"/>
      <c r="O4" s="1" t="n"/>
      <c r="P4" s="1" t="n"/>
      <c r="Q4" s="1" t="n"/>
      <c r="R4" s="1" t="n"/>
      <c r="S4" s="1" t="n"/>
      <c r="T4" s="1" t="n"/>
      <c r="U4" s="1" t="n"/>
      <c r="V4" s="1" t="n"/>
      <c r="W4" s="1" t="n"/>
      <c r="X4" s="1" t="n"/>
      <c r="Y4" s="1" t="n"/>
    </row>
    <row r="5" ht="15" customHeight="1" thickTop="1">
      <c r="A5" s="1338" t="inlineStr">
        <is>
          <t>Project Administration</t>
        </is>
      </c>
      <c r="B5" s="1339" t="n"/>
      <c r="C5" s="1339" t="n"/>
      <c r="D5" s="1340" t="n"/>
      <c r="E5" s="1" t="n"/>
      <c r="F5" s="1" t="n"/>
      <c r="G5" s="1" t="n"/>
      <c r="H5" s="1" t="n"/>
      <c r="I5" s="1" t="n"/>
      <c r="J5" s="1" t="n"/>
      <c r="K5" s="1" t="n"/>
      <c r="L5" s="1" t="n"/>
      <c r="M5" s="1" t="n"/>
      <c r="N5" s="1" t="n"/>
      <c r="O5" s="1" t="n"/>
      <c r="P5" s="1" t="n"/>
      <c r="Q5" s="1" t="n"/>
      <c r="R5" s="1" t="n"/>
      <c r="S5" s="1" t="n"/>
      <c r="T5" s="1" t="n"/>
      <c r="U5" s="1" t="n"/>
      <c r="V5" s="1" t="n"/>
      <c r="W5" s="1" t="n"/>
      <c r="X5" s="1" t="n"/>
      <c r="Y5" s="1" t="n"/>
    </row>
    <row r="6">
      <c r="A6" s="319" t="inlineStr">
        <is>
          <t>C</t>
        </is>
      </c>
      <c r="B6" s="352" t="inlineStr">
        <is>
          <t>Cover</t>
        </is>
      </c>
      <c r="C6" s="198" t="inlineStr">
        <is>
          <t>Information</t>
        </is>
      </c>
      <c r="D6" s="320" t="inlineStr">
        <is>
          <t>Workbook cover page</t>
        </is>
      </c>
      <c r="E6" s="1" t="n"/>
      <c r="F6" s="1" t="n"/>
      <c r="G6" s="1" t="n"/>
      <c r="H6" s="1" t="n"/>
      <c r="I6" s="1" t="n"/>
      <c r="J6" s="1" t="n"/>
      <c r="K6" s="1" t="n"/>
      <c r="L6" s="1" t="n"/>
      <c r="M6" s="1" t="n"/>
      <c r="N6" s="1" t="n"/>
      <c r="O6" s="1" t="n"/>
      <c r="P6" s="1" t="n"/>
      <c r="Q6" s="1" t="n"/>
      <c r="R6" s="1" t="n"/>
      <c r="S6" s="1" t="n"/>
      <c r="T6" s="1" t="n"/>
      <c r="U6" s="1" t="n"/>
      <c r="V6" s="1" t="n"/>
      <c r="W6" s="1" t="n"/>
      <c r="X6" s="1" t="n"/>
      <c r="Y6" s="1" t="n"/>
    </row>
    <row r="7">
      <c r="A7" s="321" t="n">
        <v>0</v>
      </c>
      <c r="B7" s="352" t="inlineStr">
        <is>
          <t>Database Import</t>
        </is>
      </c>
      <c r="C7" s="199" t="inlineStr">
        <is>
          <t>Input</t>
        </is>
      </c>
      <c r="D7" s="1275" t="inlineStr">
        <is>
          <t>Import data from Master Industry Database</t>
        </is>
      </c>
      <c r="E7" s="1" t="n"/>
      <c r="F7" s="1" t="n"/>
      <c r="G7" s="1" t="n"/>
      <c r="H7" s="1" t="n"/>
      <c r="I7" s="1" t="n"/>
      <c r="J7" s="1" t="n"/>
      <c r="K7" s="1" t="n"/>
      <c r="L7" s="1" t="n"/>
      <c r="M7" s="1" t="n"/>
      <c r="N7" s="1" t="n"/>
      <c r="O7" s="1" t="n"/>
      <c r="P7" s="1" t="n"/>
      <c r="Q7" s="1" t="n"/>
      <c r="R7" s="1" t="n"/>
      <c r="S7" s="1" t="n"/>
      <c r="T7" s="1" t="n"/>
      <c r="U7" s="1" t="n"/>
      <c r="V7" s="1" t="n"/>
      <c r="W7" s="1" t="n"/>
      <c r="X7" s="1" t="n"/>
      <c r="Y7" s="1" t="n"/>
    </row>
    <row r="8">
      <c r="A8" s="321" t="inlineStr">
        <is>
          <t>0H</t>
        </is>
      </c>
      <c r="B8" s="352" t="inlineStr">
        <is>
          <t>Forecast Horizon</t>
        </is>
      </c>
      <c r="C8" s="199" t="inlineStr">
        <is>
          <t>Documentation</t>
        </is>
      </c>
      <c r="D8" s="1275" t="inlineStr">
        <is>
          <t>Forecast horizon selection</t>
        </is>
      </c>
      <c r="E8" s="1" t="n"/>
      <c r="F8" s="1" t="n"/>
      <c r="G8" s="1" t="n"/>
      <c r="H8" s="1" t="n"/>
      <c r="I8" s="1" t="n"/>
      <c r="J8" s="1" t="n"/>
      <c r="K8" s="1" t="n"/>
      <c r="L8" s="1" t="n"/>
      <c r="M8" s="1" t="n"/>
      <c r="N8" s="1" t="n"/>
      <c r="O8" s="1" t="n"/>
      <c r="P8" s="1" t="n"/>
      <c r="Q8" s="1" t="n"/>
      <c r="R8" s="1" t="n"/>
      <c r="S8" s="1" t="n"/>
      <c r="T8" s="1" t="n"/>
      <c r="U8" s="1" t="n"/>
      <c r="V8" s="1" t="n"/>
      <c r="W8" s="1" t="n"/>
      <c r="X8" s="1" t="n"/>
      <c r="Y8" s="1" t="n"/>
    </row>
    <row r="9">
      <c r="A9" s="1341" t="inlineStr">
        <is>
          <t>Model Control</t>
        </is>
      </c>
      <c r="B9" s="1342" t="n"/>
      <c r="C9" s="1342" t="n"/>
      <c r="D9" s="1343" t="n"/>
      <c r="E9" s="1" t="n"/>
      <c r="F9" s="1" t="n"/>
      <c r="G9" s="1" t="n"/>
      <c r="H9" s="1" t="n"/>
      <c r="I9" s="1" t="n"/>
      <c r="J9" s="1" t="n"/>
      <c r="K9" s="1" t="n"/>
      <c r="L9" s="1" t="n"/>
      <c r="M9" s="1" t="n"/>
      <c r="N9" s="1" t="n"/>
      <c r="O9" s="1" t="n"/>
      <c r="P9" s="1" t="n"/>
      <c r="Q9" s="1" t="n"/>
      <c r="R9" s="1" t="n"/>
      <c r="S9" s="1" t="n"/>
      <c r="T9" s="1" t="n"/>
      <c r="U9" s="1" t="n"/>
      <c r="V9" s="1" t="n"/>
      <c r="W9" s="1" t="n"/>
      <c r="X9" s="1" t="n"/>
      <c r="Y9" s="1" t="n"/>
    </row>
    <row r="10">
      <c r="A10" s="323" t="n">
        <v>1</v>
      </c>
      <c r="B10" s="352" t="inlineStr">
        <is>
          <t>Control Panel</t>
        </is>
      </c>
      <c r="C10" s="199" t="inlineStr">
        <is>
          <t>Control</t>
        </is>
      </c>
      <c r="D10" s="1275" t="inlineStr">
        <is>
          <t>Model settings and scenario selection</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c r="A11" s="323">
        <f>A10+1</f>
        <v/>
      </c>
      <c r="B11" s="352" t="inlineStr">
        <is>
          <t>Model Assumptions</t>
        </is>
      </c>
      <c r="C11" s="199" t="inlineStr">
        <is>
          <t>Input</t>
        </is>
      </c>
      <c r="D11" s="1275" t="inlineStr">
        <is>
          <t>Global modelling assumptions</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c r="A12" s="323">
        <f>A11+1</f>
        <v/>
      </c>
      <c r="B12" s="352" t="inlineStr">
        <is>
          <t>Model Calibration</t>
        </is>
      </c>
      <c r="C12" s="199" t="inlineStr">
        <is>
          <t>Input</t>
        </is>
      </c>
      <c r="D12" s="1275" t="inlineStr">
        <is>
          <t>Benchmark values and calibration variables</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c r="A13" s="1341" t="inlineStr">
        <is>
          <t>Core Industry Models</t>
        </is>
      </c>
      <c r="B13" s="1342" t="n"/>
      <c r="C13" s="1342" t="n"/>
      <c r="D13" s="1343"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c r="A14" s="323">
        <f>A12+1</f>
        <v/>
      </c>
      <c r="B14" s="353" t="inlineStr">
        <is>
          <t>Macroeconomic Model</t>
        </is>
      </c>
      <c r="C14" s="199" t="inlineStr">
        <is>
          <t>Model</t>
        </is>
      </c>
      <c r="D14" s="1275" t="inlineStr">
        <is>
          <t>Economic forecasts</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c r="A15" s="323">
        <f>A14+1</f>
        <v/>
      </c>
      <c r="B15" s="353" t="inlineStr">
        <is>
          <t>Steel Demand Model</t>
        </is>
      </c>
      <c r="C15" s="199" t="inlineStr">
        <is>
          <t>Model</t>
        </is>
      </c>
      <c r="D15" s="1275" t="inlineStr">
        <is>
          <t>Industry demand forecast</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c r="A16" s="323">
        <f>A15+1</f>
        <v/>
      </c>
      <c r="B16" s="353" t="inlineStr">
        <is>
          <t>Steel Supply Model</t>
        </is>
      </c>
      <c r="C16" s="199" t="inlineStr">
        <is>
          <t>Model</t>
        </is>
      </c>
      <c r="D16" s="1275" t="inlineStr">
        <is>
          <t>Industry supply forecast</t>
        </is>
      </c>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c r="A17" s="323">
        <f>A16+1</f>
        <v/>
      </c>
      <c r="B17" s="353" t="inlineStr">
        <is>
          <t>Capacity Forecast</t>
        </is>
      </c>
      <c r="C17" s="199" t="inlineStr">
        <is>
          <t>Model</t>
        </is>
      </c>
      <c r="D17" s="1275" t="inlineStr">
        <is>
          <t>Installed capacity forecast</t>
        </is>
      </c>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c r="A18" s="323">
        <f>A17+1</f>
        <v/>
      </c>
      <c r="B18" s="353" t="inlineStr">
        <is>
          <t>Capacity Expansion Tracker</t>
        </is>
      </c>
      <c r="C18" s="199" t="inlineStr">
        <is>
          <t>Input</t>
        </is>
      </c>
      <c r="D18" s="1275" t="inlineStr">
        <is>
          <t>Capacity additions</t>
        </is>
      </c>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c r="A19" s="323">
        <f>A18+1</f>
        <v/>
      </c>
      <c r="B19" s="353" t="inlineStr">
        <is>
          <t>Capacity Utilisation</t>
        </is>
      </c>
      <c r="C19" s="199" t="inlineStr">
        <is>
          <t>Model</t>
        </is>
      </c>
      <c r="D19" s="1275" t="inlineStr">
        <is>
          <t>Utilisation analysis</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c r="A20" s="323">
        <f>A19+1</f>
        <v/>
      </c>
      <c r="B20" s="353" t="inlineStr">
        <is>
          <t>Steel Price Forecast</t>
        </is>
      </c>
      <c r="C20" s="199" t="inlineStr">
        <is>
          <t>Model</t>
        </is>
      </c>
      <c r="D20" s="1275" t="inlineStr">
        <is>
          <t>Steel price forecast</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c r="A21" s="323">
        <f>A20+1</f>
        <v/>
      </c>
      <c r="B21" s="353" t="inlineStr">
        <is>
          <t>Raw Material Forecast</t>
        </is>
      </c>
      <c r="C21" s="199" t="inlineStr">
        <is>
          <t>Model</t>
        </is>
      </c>
      <c r="D21" s="1275" t="inlineStr">
        <is>
          <t>Raw material forecast</t>
        </is>
      </c>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c r="A22" s="323">
        <f>A21+1</f>
        <v/>
      </c>
      <c r="B22" s="353" t="inlineStr">
        <is>
          <t>Cost Curve</t>
        </is>
      </c>
      <c r="C22" s="199" t="inlineStr">
        <is>
          <t>Model</t>
        </is>
      </c>
      <c r="D22" s="1275" t="inlineStr">
        <is>
          <t>Industry cost position</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c r="A23" s="323">
        <f>A22+1</f>
        <v/>
      </c>
      <c r="B23" s="353" t="inlineStr">
        <is>
          <t>Revenue Forecast</t>
        </is>
      </c>
      <c r="C23" s="199" t="inlineStr">
        <is>
          <t>Model</t>
        </is>
      </c>
      <c r="D23" s="1275" t="inlineStr">
        <is>
          <t>Forecast Industry Revenue</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c r="A24" s="323">
        <f>A23+1</f>
        <v/>
      </c>
      <c r="B24" s="353" t="inlineStr">
        <is>
          <t>EBITDA Model</t>
        </is>
      </c>
      <c r="C24" s="199" t="inlineStr">
        <is>
          <t>Model</t>
        </is>
      </c>
      <c r="D24" s="1275" t="inlineStr">
        <is>
          <t>Forecast Profitability</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c r="A25" s="323">
        <f>A24+1</f>
        <v/>
      </c>
      <c r="B25" s="353" t="inlineStr">
        <is>
          <t>Margin Analysis</t>
        </is>
      </c>
      <c r="C25" s="199" t="inlineStr">
        <is>
          <t>Model</t>
        </is>
      </c>
      <c r="D25" s="1275" t="inlineStr">
        <is>
          <t>Margin analysis</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c r="A26" s="323">
        <f>A25+1</f>
        <v/>
      </c>
      <c r="B26" s="353" t="inlineStr">
        <is>
          <t>Working Capital Model</t>
        </is>
      </c>
      <c r="C26" s="199" t="inlineStr">
        <is>
          <t>Model</t>
        </is>
      </c>
      <c r="D26" s="1275" t="inlineStr">
        <is>
          <t>Working capital forecast</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c r="A27" s="323">
        <f>A26+1</f>
        <v/>
      </c>
      <c r="B27" s="353" t="inlineStr">
        <is>
          <t>Cash Flow Model</t>
        </is>
      </c>
      <c r="C27" s="199" t="inlineStr">
        <is>
          <t>Model</t>
        </is>
      </c>
      <c r="D27" s="1275" t="inlineStr">
        <is>
          <t>Industry cash flow</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c r="A28" s="323">
        <f>A27+1</f>
        <v/>
      </c>
      <c r="B28" s="353" t="inlineStr">
        <is>
          <t>Capital Allocation</t>
        </is>
      </c>
      <c r="C28" s="199" t="inlineStr">
        <is>
          <t>Model</t>
        </is>
      </c>
      <c r="D28" s="1275" t="inlineStr">
        <is>
          <t>Capital structure</t>
        </is>
      </c>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c r="A29" s="323">
        <f>A28+1</f>
        <v/>
      </c>
      <c r="B29" s="353" t="inlineStr">
        <is>
          <t>Industry Cycle Model</t>
        </is>
      </c>
      <c r="C29" s="199" t="inlineStr">
        <is>
          <t>Model</t>
        </is>
      </c>
      <c r="D29" s="1275" t="inlineStr">
        <is>
          <t>Steel cycle analysis</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c r="A30" s="323">
        <f>A29+1</f>
        <v/>
      </c>
      <c r="B30" s="353" t="inlineStr">
        <is>
          <t>Trade Model</t>
        </is>
      </c>
      <c r="C30" s="199" t="inlineStr">
        <is>
          <t>Model</t>
        </is>
      </c>
      <c r="D30" s="1275" t="inlineStr">
        <is>
          <t>Import/export analysis</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c r="A31" s="323">
        <f>A30+1</f>
        <v/>
      </c>
      <c r="B31" s="353" t="inlineStr">
        <is>
          <t>ESG Model</t>
        </is>
      </c>
      <c r="C31" s="199" t="inlineStr">
        <is>
          <t>Model</t>
        </is>
      </c>
      <c r="D31" s="1275" t="inlineStr">
        <is>
          <t>Sustainability analysis</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c r="A32" s="1341" t="inlineStr">
        <is>
          <t>Outputs</t>
        </is>
      </c>
      <c r="B32" s="1342" t="n"/>
      <c r="C32" s="1342" t="n"/>
      <c r="D32" s="1343"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c r="A33" s="323">
        <f>A31+1</f>
        <v/>
      </c>
      <c r="B33" s="353" t="inlineStr">
        <is>
          <t>Scenario Manager</t>
        </is>
      </c>
      <c r="C33" s="199" t="inlineStr">
        <is>
          <t>Output</t>
        </is>
      </c>
      <c r="D33" s="1275" t="inlineStr">
        <is>
          <t>Scenario comparison</t>
        </is>
      </c>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c r="A34" s="323">
        <f>A33+1</f>
        <v/>
      </c>
      <c r="B34" s="353" t="inlineStr">
        <is>
          <t>Sensitivity Analysis</t>
        </is>
      </c>
      <c r="C34" s="199" t="inlineStr">
        <is>
          <t>Output</t>
        </is>
      </c>
      <c r="D34" s="1275" t="inlineStr">
        <is>
          <t>Sensitivity testing</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c r="A35" s="323">
        <f>A34+1</f>
        <v/>
      </c>
      <c r="B35" s="353" t="inlineStr">
        <is>
          <t>Comparable Valuation</t>
        </is>
      </c>
      <c r="C35" s="199" t="inlineStr">
        <is>
          <t>Output</t>
        </is>
      </c>
      <c r="D35" s="1275" t="inlineStr">
        <is>
          <t>Sector valuation</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c r="A36" s="323">
        <f>A35+1</f>
        <v/>
      </c>
      <c r="B36" s="353" t="inlineStr">
        <is>
          <t>Industry Dashboard</t>
        </is>
      </c>
      <c r="C36" s="199" t="inlineStr">
        <is>
          <t>Output</t>
        </is>
      </c>
      <c r="D36" s="1275" t="inlineStr">
        <is>
          <t>Executive dashboard</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c r="A37" s="1341" t="inlineStr">
        <is>
          <t>Validation &amp; Documentation</t>
        </is>
      </c>
      <c r="B37" s="1342" t="n"/>
      <c r="C37" s="1342" t="n"/>
      <c r="D37" s="1343"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c r="A38" s="323">
        <f>A36+1</f>
        <v/>
      </c>
      <c r="B38" s="353" t="inlineStr">
        <is>
          <t>Audit Checks</t>
        </is>
      </c>
      <c r="C38" s="199" t="inlineStr">
        <is>
          <t>Audit</t>
        </is>
      </c>
      <c r="D38" s="1275" t="inlineStr">
        <is>
          <t>Model validation</t>
        </is>
      </c>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 customHeight="1" thickBot="1">
      <c r="A39" s="324">
        <f>A38+1</f>
        <v/>
      </c>
      <c r="B39" s="354" t="inlineStr">
        <is>
          <t>Sources</t>
        </is>
      </c>
      <c r="C39" s="279" t="inlineStr">
        <is>
          <t>Documentation</t>
        </is>
      </c>
      <c r="D39" s="1268" t="inlineStr">
        <is>
          <t>References and source log</t>
        </is>
      </c>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c r="B40" s="203" t="n"/>
      <c r="C40" s="1" t="n"/>
      <c r="D40" s="200"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c r="B41" s="203" t="n"/>
      <c r="C41" s="1" t="n"/>
      <c r="D41" s="200"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c r="A42" s="19" t="inlineStr">
        <is>
          <t>🟦 Input</t>
        </is>
      </c>
      <c r="B42" s="203" t="n"/>
      <c r="C42" s="1" t="n"/>
      <c r="D42" s="200"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c r="A43" s="19" t="inlineStr">
        <is>
          <t>⬛ Formula</t>
        </is>
      </c>
      <c r="B43" s="203" t="n"/>
      <c r="C43" s="1" t="n"/>
      <c r="D43" s="200"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c r="A44" s="19" t="inlineStr">
        <is>
          <t>🟩 External Link</t>
        </is>
      </c>
      <c r="B44" s="203" t="n"/>
      <c r="C44" s="1" t="n"/>
      <c r="D44" s="200"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c r="A45" s="19" t="inlineStr">
        <is>
          <t>🟥 External Workbook</t>
        </is>
      </c>
      <c r="B45" s="203" t="n"/>
      <c r="C45" s="1" t="n"/>
      <c r="D45" s="200"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c r="A46" s="19" t="inlineStr">
        <is>
          <t>🟧 Missing Data</t>
        </is>
      </c>
      <c r="B46" s="203" t="n"/>
      <c r="C46" s="1" t="n"/>
      <c r="D46" s="200"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c r="B47" s="203" t="n"/>
      <c r="C47" s="1" t="n"/>
      <c r="D47" s="200"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c r="B48" s="203" t="n"/>
      <c r="C48" s="1" t="n"/>
      <c r="D48" s="200"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c r="B49" s="203" t="n"/>
      <c r="C49" s="1" t="n"/>
      <c r="D49" s="200"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c r="B50" s="203" t="n"/>
      <c r="C50" s="1" t="n"/>
      <c r="D50" s="200"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c r="B51" s="203" t="n"/>
      <c r="C51" s="1" t="n"/>
      <c r="D51" s="200"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c r="B52" s="203" t="n"/>
      <c r="C52" s="1" t="n"/>
      <c r="D52" s="200"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c r="B53" s="203" t="n"/>
      <c r="C53" s="1" t="n"/>
      <c r="D53" s="200"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c r="B54" s="203" t="n"/>
      <c r="C54" s="1" t="n"/>
      <c r="D54" s="200"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c r="B55" s="203" t="n"/>
      <c r="C55" s="1" t="n"/>
      <c r="D55" s="200"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c r="B56" s="203" t="n"/>
      <c r="C56" s="1" t="n"/>
      <c r="D56" s="200"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c r="B57" s="203" t="n"/>
      <c r="C57" s="1" t="n"/>
      <c r="D57" s="200"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c r="B58" s="203" t="n"/>
      <c r="C58" s="1" t="n"/>
      <c r="D58" s="200"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c r="B59" s="203" t="n"/>
      <c r="C59" s="1" t="n"/>
      <c r="D59" s="200"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c r="B60" s="203" t="n"/>
      <c r="C60" s="1" t="n"/>
      <c r="D60" s="200"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c r="B61" s="203" t="n"/>
      <c r="C61" s="1" t="n"/>
      <c r="D61" s="200"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c r="B62" s="203" t="n"/>
      <c r="C62" s="1" t="n"/>
      <c r="D62" s="200"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c r="B63" s="203" t="n"/>
      <c r="C63" s="1" t="n"/>
      <c r="D63" s="200"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c r="B64" s="203" t="n"/>
      <c r="C64" s="1" t="n"/>
      <c r="D64" s="200"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c r="B65" s="203" t="n"/>
      <c r="C65" s="1" t="n"/>
      <c r="D65" s="200"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c r="B66" s="203" t="n"/>
      <c r="C66" s="1" t="n"/>
      <c r="D66" s="200"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c r="B67" s="203" t="n"/>
      <c r="C67" s="1" t="n"/>
      <c r="D67" s="200"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c r="B68" s="203" t="n"/>
      <c r="C68" s="1" t="n"/>
      <c r="D68" s="200"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c r="B69" s="203" t="n"/>
      <c r="C69" s="1" t="n"/>
      <c r="D69" s="200"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c r="B70" s="203" t="n"/>
      <c r="C70" s="1" t="n"/>
      <c r="D70" s="200"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c r="B71" s="203" t="n"/>
      <c r="C71" s="1" t="n"/>
      <c r="D71" s="200"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c r="B72" s="203" t="n"/>
      <c r="C72" s="1" t="n"/>
      <c r="D72" s="200"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c r="B73" s="203" t="n"/>
      <c r="C73" s="1" t="n"/>
      <c r="D73" s="200"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c r="B74" s="203" t="n"/>
      <c r="C74" s="1" t="n"/>
      <c r="D74" s="200"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c r="B75" s="203" t="n"/>
      <c r="C75" s="1" t="n"/>
      <c r="D75" s="200"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c r="B76" s="203" t="n"/>
      <c r="C76" s="1" t="n"/>
      <c r="D76" s="200"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c r="B77" s="203" t="n"/>
      <c r="C77" s="1" t="n"/>
      <c r="D77" s="200"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c r="B78" s="203" t="n"/>
      <c r="C78" s="1" t="n"/>
      <c r="D78" s="200"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c r="B79" s="203" t="n"/>
      <c r="C79" s="1" t="n"/>
      <c r="D79" s="200"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c r="B80" s="203" t="n"/>
      <c r="C80" s="1" t="n"/>
      <c r="D80" s="200"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c r="B81" s="203" t="n"/>
      <c r="C81" s="1" t="n"/>
      <c r="D81" s="200"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c r="B82" s="203" t="n"/>
      <c r="C82" s="1" t="n"/>
      <c r="D82" s="200"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c r="B83" s="203" t="n"/>
      <c r="C83" s="1" t="n"/>
      <c r="D83" s="200"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c r="B84" s="203" t="n"/>
      <c r="C84" s="1" t="n"/>
      <c r="D84" s="200"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c r="B85" s="203" t="n"/>
      <c r="C85" s="1" t="n"/>
      <c r="D85" s="200"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c r="B86" s="203" t="n"/>
      <c r="C86" s="1" t="n"/>
      <c r="D86" s="200"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c r="B87" s="203" t="n"/>
      <c r="C87" s="1" t="n"/>
      <c r="D87" s="200"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c r="B88" s="203" t="n"/>
      <c r="C88" s="1" t="n"/>
      <c r="D88" s="200"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c r="B89" s="203" t="n"/>
      <c r="C89" s="1" t="n"/>
      <c r="D89" s="200"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c r="B90" s="203" t="n"/>
      <c r="C90" s="1" t="n"/>
      <c r="D90" s="200"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c r="B91" s="203" t="n"/>
      <c r="C91" s="1" t="n"/>
      <c r="D91" s="200"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c r="B92" s="203" t="n"/>
      <c r="C92" s="1" t="n"/>
      <c r="D92" s="200"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c r="B93" s="203" t="n"/>
      <c r="C93" s="1" t="n"/>
      <c r="D93" s="200"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c r="B94" s="203" t="n"/>
      <c r="C94" s="1" t="n"/>
      <c r="D94" s="200"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c r="B95" s="203" t="n"/>
      <c r="C95" s="1" t="n"/>
      <c r="D95" s="200"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c r="B96" s="203" t="n"/>
      <c r="C96" s="1" t="n"/>
      <c r="D96" s="200"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c r="B97" s="203" t="n"/>
      <c r="C97" s="1" t="n"/>
      <c r="D97" s="200"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c r="B98" s="203" t="n"/>
      <c r="C98" s="1" t="n"/>
      <c r="D98" s="200"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c r="B99" s="203" t="n"/>
      <c r="C99" s="1" t="n"/>
      <c r="D99" s="200"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c r="B100" s="203" t="n"/>
      <c r="C100" s="1" t="n"/>
      <c r="D100" s="200"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c r="B101" s="203" t="n"/>
      <c r="C101" s="1" t="n"/>
      <c r="D101" s="200"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c r="B102" s="203" t="n"/>
      <c r="C102" s="1" t="n"/>
      <c r="D102" s="200"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c r="B103" s="203" t="n"/>
      <c r="C103" s="1" t="n"/>
      <c r="D103" s="200"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c r="B104" s="203" t="n"/>
      <c r="C104" s="1" t="n"/>
      <c r="D104" s="200"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c r="B105" s="203" t="n"/>
      <c r="C105" s="1" t="n"/>
      <c r="D105" s="200"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c r="B106" s="203" t="n"/>
      <c r="C106" s="1" t="n"/>
      <c r="D106" s="200"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c r="B107" s="203" t="n"/>
      <c r="C107" s="1" t="n"/>
      <c r="D107" s="200"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c r="B108" s="203" t="n"/>
      <c r="C108" s="1" t="n"/>
      <c r="D108" s="200"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c r="B109" s="203" t="n"/>
      <c r="C109" s="1" t="n"/>
      <c r="D109" s="200"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c r="B110" s="203" t="n"/>
      <c r="C110" s="1" t="n"/>
      <c r="D110" s="200"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c r="B111" s="203" t="n"/>
      <c r="C111" s="1" t="n"/>
      <c r="D111" s="200"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c r="B112" s="203" t="n"/>
      <c r="C112" s="1" t="n"/>
      <c r="D112" s="200"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c r="B113" s="203" t="n"/>
      <c r="C113" s="1" t="n"/>
      <c r="D113" s="200"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c r="B114" s="203" t="n"/>
      <c r="C114" s="1" t="n"/>
      <c r="D114" s="200"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c r="B115" s="203" t="n"/>
      <c r="C115" s="1" t="n"/>
      <c r="D115" s="200"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c r="B116" s="203" t="n"/>
      <c r="C116" s="1" t="n"/>
      <c r="D116" s="200"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c r="B117" s="203" t="n"/>
      <c r="C117" s="1" t="n"/>
      <c r="D117" s="200"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c r="B118" s="203" t="n"/>
      <c r="C118" s="1" t="n"/>
      <c r="D118" s="200"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c r="B119" s="203" t="n"/>
      <c r="C119" s="1" t="n"/>
      <c r="D119" s="200"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c r="B120" s="203" t="n"/>
      <c r="C120" s="1" t="n"/>
      <c r="D120" s="200"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c r="B121" s="203" t="n"/>
      <c r="C121" s="1" t="n"/>
      <c r="D121" s="200"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c r="B122" s="203" t="n"/>
      <c r="C122" s="1" t="n"/>
      <c r="D122" s="200"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c r="B123" s="203" t="n"/>
      <c r="C123" s="1" t="n"/>
      <c r="D123" s="200"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c r="B124" s="203" t="n"/>
      <c r="C124" s="1" t="n"/>
      <c r="D124" s="200"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c r="B125" s="203" t="n"/>
      <c r="C125" s="1" t="n"/>
      <c r="D125" s="200"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c r="B126" s="203" t="n"/>
      <c r="C126" s="1" t="n"/>
      <c r="D126" s="200"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c r="B127" s="203" t="n"/>
      <c r="C127" s="1" t="n"/>
      <c r="D127" s="200"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c r="B128" s="203" t="n"/>
      <c r="C128" s="1" t="n"/>
      <c r="D128" s="200"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c r="B129" s="203" t="n"/>
      <c r="C129" s="1" t="n"/>
      <c r="D129" s="200"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c r="B130" s="203" t="n"/>
      <c r="C130" s="1" t="n"/>
      <c r="D130" s="200"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c r="B131" s="203" t="n"/>
      <c r="C131" s="1" t="n"/>
      <c r="D131" s="200"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c r="B132" s="203" t="n"/>
      <c r="C132" s="1" t="n"/>
      <c r="D132" s="200"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c r="B133" s="203" t="n"/>
      <c r="C133" s="1" t="n"/>
      <c r="D133" s="200"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c r="B134" s="203" t="n"/>
      <c r="C134" s="1" t="n"/>
      <c r="D134" s="200"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c r="B135" s="203" t="n"/>
      <c r="C135" s="1" t="n"/>
      <c r="D135" s="200"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c r="B136" s="203" t="n"/>
      <c r="C136" s="1" t="n"/>
      <c r="D136" s="200"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c r="B137" s="203" t="n"/>
      <c r="C137" s="1" t="n"/>
      <c r="D137" s="200"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c r="B138" s="203" t="n"/>
      <c r="C138" s="1" t="n"/>
      <c r="D138" s="200"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c r="B139" s="203" t="n"/>
      <c r="C139" s="1" t="n"/>
      <c r="D139" s="200"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c r="B140" s="203" t="n"/>
      <c r="C140" s="1" t="n"/>
      <c r="D140" s="200"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c r="B141" s="203" t="n"/>
      <c r="C141" s="1" t="n"/>
      <c r="D141" s="200"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c r="B142" s="203" t="n"/>
      <c r="C142" s="1" t="n"/>
      <c r="D142" s="200"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c r="B143" s="203" t="n"/>
      <c r="C143" s="1" t="n"/>
      <c r="D143" s="200"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c r="B144" s="203" t="n"/>
      <c r="C144" s="1" t="n"/>
      <c r="D144" s="200"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c r="B145" s="203" t="n"/>
      <c r="C145" s="1" t="n"/>
      <c r="D145" s="200"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c r="B146" s="203" t="n"/>
      <c r="C146" s="1" t="n"/>
      <c r="D146" s="200"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c r="B147" s="203" t="n"/>
      <c r="C147" s="1" t="n"/>
      <c r="D147" s="200"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c r="B148" s="203" t="n"/>
      <c r="C148" s="1" t="n"/>
      <c r="D148" s="200"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c r="B149" s="203" t="n"/>
      <c r="C149" s="1" t="n"/>
      <c r="D149" s="200"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c r="B150" s="203" t="n"/>
      <c r="C150" s="1" t="n"/>
      <c r="D150" s="200"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c r="B151" s="203" t="n"/>
      <c r="C151" s="1" t="n"/>
      <c r="D151" s="200"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c r="B152" s="203" t="n"/>
      <c r="C152" s="1" t="n"/>
      <c r="D152" s="200"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c r="B153" s="203" t="n"/>
      <c r="C153" s="1" t="n"/>
      <c r="D153" s="200"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c r="B154" s="203" t="n"/>
      <c r="C154" s="1" t="n"/>
      <c r="D154" s="200"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c r="B155" s="203" t="n"/>
      <c r="C155" s="1" t="n"/>
      <c r="D155" s="200"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c r="B156" s="203" t="n"/>
      <c r="C156" s="1" t="n"/>
      <c r="D156" s="200"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c r="B157" s="203" t="n"/>
      <c r="C157" s="1" t="n"/>
      <c r="D157" s="200"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c r="B158" s="203" t="n"/>
      <c r="C158" s="1" t="n"/>
      <c r="D158" s="200"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c r="B159" s="203" t="n"/>
      <c r="C159" s="1" t="n"/>
      <c r="D159" s="200"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c r="B160" s="203" t="n"/>
      <c r="C160" s="1" t="n"/>
      <c r="D160" s="200"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c r="B161" s="203" t="n"/>
      <c r="C161" s="1" t="n"/>
      <c r="D161" s="200"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c r="B162" s="203" t="n"/>
      <c r="C162" s="1" t="n"/>
      <c r="D162" s="200"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c r="B163" s="203" t="n"/>
      <c r="C163" s="1" t="n"/>
      <c r="D163" s="200"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c r="B164" s="203" t="n"/>
      <c r="C164" s="1" t="n"/>
      <c r="D164" s="200"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c r="B165" s="203" t="n"/>
      <c r="C165" s="1" t="n"/>
      <c r="D165" s="200"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c r="B166" s="203" t="n"/>
      <c r="C166" s="1" t="n"/>
      <c r="D166" s="200"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c r="B167" s="203" t="n"/>
      <c r="C167" s="1" t="n"/>
      <c r="D167" s="200"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c r="B168" s="203" t="n"/>
      <c r="C168" s="1" t="n"/>
      <c r="D168" s="200"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c r="B169" s="203" t="n"/>
      <c r="C169" s="1" t="n"/>
      <c r="D169" s="200"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c r="B170" s="203" t="n"/>
      <c r="C170" s="1" t="n"/>
      <c r="D170" s="200"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c r="B171" s="203" t="n"/>
      <c r="C171" s="1" t="n"/>
      <c r="D171" s="200"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c r="B172" s="203" t="n"/>
      <c r="C172" s="1" t="n"/>
      <c r="D172" s="200"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c r="B173" s="203" t="n"/>
      <c r="C173" s="1" t="n"/>
      <c r="D173" s="200"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c r="B174" s="203" t="n"/>
      <c r="C174" s="1" t="n"/>
      <c r="D174" s="200"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c r="B175" s="203" t="n"/>
      <c r="C175" s="1" t="n"/>
      <c r="D175" s="200"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c r="B176" s="203" t="n"/>
      <c r="C176" s="1" t="n"/>
      <c r="D176" s="200"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c r="B177" s="203" t="n"/>
      <c r="C177" s="1" t="n"/>
      <c r="D177" s="200"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c r="B178" s="203" t="n"/>
      <c r="C178" s="1" t="n"/>
      <c r="D178" s="200"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c r="B179" s="203" t="n"/>
      <c r="C179" s="1" t="n"/>
      <c r="D179" s="200"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c r="B180" s="203" t="n"/>
      <c r="C180" s="1" t="n"/>
      <c r="D180" s="200"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c r="B181" s="203" t="n"/>
      <c r="C181" s="1" t="n"/>
      <c r="D181" s="200"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c r="B182" s="203" t="n"/>
      <c r="C182" s="1" t="n"/>
      <c r="D182" s="200"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c r="B183" s="203" t="n"/>
      <c r="C183" s="1" t="n"/>
      <c r="D183" s="200"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c r="B184" s="203" t="n"/>
      <c r="C184" s="1" t="n"/>
      <c r="D184" s="200"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c r="B185" s="203" t="n"/>
      <c r="C185" s="1" t="n"/>
      <c r="D185" s="200"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c r="B186" s="203" t="n"/>
      <c r="C186" s="1" t="n"/>
      <c r="D186" s="200"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c r="B187" s="203" t="n"/>
      <c r="C187" s="1" t="n"/>
      <c r="D187" s="200"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c r="B188" s="203" t="n"/>
      <c r="C188" s="1" t="n"/>
      <c r="D188" s="200"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c r="B189" s="203" t="n"/>
      <c r="C189" s="1" t="n"/>
      <c r="D189" s="200"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c r="B190" s="203" t="n"/>
      <c r="C190" s="1" t="n"/>
      <c r="D190" s="200"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c r="B191" s="203" t="n"/>
      <c r="C191" s="1" t="n"/>
      <c r="D191" s="200"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c r="B192" s="203" t="n"/>
      <c r="C192" s="1" t="n"/>
      <c r="D192" s="200"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c r="B193" s="203" t="n"/>
      <c r="C193" s="1" t="n"/>
      <c r="D193" s="200"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c r="B194" s="203" t="n"/>
      <c r="C194" s="1" t="n"/>
      <c r="D194" s="200"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c r="B195" s="203" t="n"/>
      <c r="C195" s="1" t="n"/>
      <c r="D195" s="200"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c r="B196" s="203" t="n"/>
      <c r="C196" s="1" t="n"/>
      <c r="D196" s="200"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c r="B197" s="203" t="n"/>
      <c r="C197" s="1" t="n"/>
      <c r="D197" s="200"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c r="B198" s="203" t="n"/>
      <c r="C198" s="1" t="n"/>
      <c r="D198" s="200"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c r="B199" s="203" t="n"/>
      <c r="C199" s="1" t="n"/>
      <c r="D199" s="200"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c r="B200" s="203" t="n"/>
      <c r="C200" s="1" t="n"/>
      <c r="D200" s="200"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c r="B201" s="203" t="n"/>
      <c r="C201" s="1" t="n"/>
      <c r="D201" s="200"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c r="B202" s="203" t="n"/>
      <c r="C202" s="1" t="n"/>
      <c r="D202" s="200"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c r="B203" s="203" t="n"/>
      <c r="C203" s="1" t="n"/>
      <c r="D203" s="200"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c r="B204" s="203" t="n"/>
      <c r="C204" s="1" t="n"/>
      <c r="D204" s="200"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c r="B205" s="203" t="n"/>
      <c r="C205" s="1" t="n"/>
      <c r="D205" s="200"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c r="B206" s="203" t="n"/>
      <c r="C206" s="1" t="n"/>
      <c r="D206" s="200"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c r="B207" s="203" t="n"/>
      <c r="C207" s="1" t="n"/>
      <c r="D207" s="200"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c r="B208" s="203" t="n"/>
      <c r="C208" s="1" t="n"/>
      <c r="D208" s="200"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c r="B209" s="203" t="n"/>
      <c r="C209" s="1" t="n"/>
      <c r="D209" s="200"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c r="B210" s="203" t="n"/>
      <c r="C210" s="1" t="n"/>
      <c r="D210" s="200"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c r="B211" s="203" t="n"/>
      <c r="C211" s="1" t="n"/>
      <c r="D211" s="200"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c r="B212" s="203" t="n"/>
      <c r="C212" s="1" t="n"/>
      <c r="D212" s="200"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c r="B213" s="203" t="n"/>
      <c r="C213" s="1" t="n"/>
      <c r="D213" s="200"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c r="B214" s="203" t="n"/>
      <c r="C214" s="1" t="n"/>
      <c r="D214" s="200"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c r="B215" s="203" t="n"/>
      <c r="C215" s="1" t="n"/>
      <c r="D215" s="200"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c r="B216" s="203" t="n"/>
      <c r="C216" s="1" t="n"/>
      <c r="D216" s="200"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c r="B217" s="203" t="n"/>
      <c r="C217" s="1" t="n"/>
      <c r="D217" s="200"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c r="B218" s="203" t="n"/>
      <c r="C218" s="1" t="n"/>
      <c r="D218" s="200"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c r="B219" s="203" t="n"/>
      <c r="C219" s="1" t="n"/>
      <c r="D219" s="200"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c r="B220" s="203" t="n"/>
      <c r="C220" s="1" t="n"/>
      <c r="D220" s="200"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c r="B221" s="203" t="n"/>
      <c r="C221" s="1" t="n"/>
      <c r="D221" s="200"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c r="B222" s="203" t="n"/>
      <c r="C222" s="1" t="n"/>
      <c r="D222" s="200"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c r="B223" s="203" t="n"/>
      <c r="C223" s="1" t="n"/>
      <c r="D223" s="200"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c r="B224" s="203" t="n"/>
      <c r="C224" s="1" t="n"/>
      <c r="D224" s="200"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c r="B225" s="203" t="n"/>
      <c r="C225" s="1" t="n"/>
      <c r="D225" s="200"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c r="B226" s="203" t="n"/>
      <c r="C226" s="1" t="n"/>
      <c r="D226" s="200"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c r="B227" s="203" t="n"/>
      <c r="C227" s="1" t="n"/>
      <c r="D227" s="200"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c r="B228" s="203" t="n"/>
      <c r="C228" s="1" t="n"/>
      <c r="D228" s="200"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c r="B229" s="203" t="n"/>
      <c r="C229" s="1" t="n"/>
      <c r="D229" s="200"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c r="B230" s="203" t="n"/>
      <c r="C230" s="1" t="n"/>
      <c r="D230" s="200"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c r="B231" s="203" t="n"/>
      <c r="C231" s="1" t="n"/>
      <c r="D231" s="200"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c r="B232" s="203" t="n"/>
      <c r="C232" s="1" t="n"/>
      <c r="D232" s="200"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c r="B233" s="203" t="n"/>
      <c r="C233" s="1" t="n"/>
      <c r="D233" s="200"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c r="B234" s="203" t="n"/>
      <c r="C234" s="1" t="n"/>
      <c r="D234" s="200"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c r="B235" s="203" t="n"/>
      <c r="C235" s="1" t="n"/>
      <c r="D235" s="200"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c r="B236" s="203" t="n"/>
      <c r="C236" s="1" t="n"/>
      <c r="D236" s="200"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c r="B237" s="203" t="n"/>
      <c r="C237" s="1" t="n"/>
      <c r="D237" s="200"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c r="B238" s="203" t="n"/>
      <c r="C238" s="1" t="n"/>
      <c r="D238" s="200"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c r="B239" s="203" t="n"/>
      <c r="C239" s="1" t="n"/>
      <c r="D239" s="200"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c r="B240" s="203" t="n"/>
      <c r="C240" s="1" t="n"/>
      <c r="D240" s="200"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c r="B241" s="203" t="n"/>
      <c r="C241" s="1" t="n"/>
      <c r="D241" s="200"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c r="B242" s="203" t="n"/>
      <c r="C242" s="1" t="n"/>
      <c r="D242" s="200"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c r="B243" s="203" t="n"/>
      <c r="C243" s="1" t="n"/>
      <c r="D243" s="200"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c r="B244" s="203" t="n"/>
      <c r="C244" s="1" t="n"/>
      <c r="D244" s="200"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c r="B245" s="203" t="n"/>
      <c r="C245" s="1" t="n"/>
      <c r="D245" s="200"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c r="B246" s="203" t="n"/>
      <c r="C246" s="1" t="n"/>
      <c r="D246" s="200"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c r="B247" s="203" t="n"/>
      <c r="C247" s="1" t="n"/>
      <c r="D247" s="200"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c r="B248" s="203" t="n"/>
      <c r="C248" s="1" t="n"/>
      <c r="D248" s="200"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c r="B249" s="203" t="n"/>
      <c r="C249" s="1" t="n"/>
      <c r="D249" s="200"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c r="B250" s="203" t="n"/>
      <c r="C250" s="1" t="n"/>
      <c r="D250" s="200"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c r="B251" s="203" t="n"/>
      <c r="C251" s="1" t="n"/>
      <c r="D251" s="200"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c r="B252" s="203" t="n"/>
      <c r="C252" s="1" t="n"/>
      <c r="D252" s="200"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c r="B253" s="203" t="n"/>
      <c r="C253" s="1" t="n"/>
      <c r="D253" s="200"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c r="B254" s="203" t="n"/>
      <c r="C254" s="1" t="n"/>
      <c r="D254" s="200"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c r="B255" s="203" t="n"/>
      <c r="C255" s="1" t="n"/>
      <c r="D255" s="200"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c r="B256" s="203" t="n"/>
      <c r="C256" s="1" t="n"/>
      <c r="D256" s="200"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c r="B257" s="203" t="n"/>
      <c r="C257" s="1" t="n"/>
      <c r="D257" s="200"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c r="B258" s="203" t="n"/>
      <c r="C258" s="1" t="n"/>
      <c r="D258" s="200"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c r="B259" s="203" t="n"/>
      <c r="C259" s="1" t="n"/>
      <c r="D259" s="200"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c r="B260" s="203" t="n"/>
      <c r="C260" s="1" t="n"/>
      <c r="D260" s="200"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c r="B261" s="203" t="n"/>
      <c r="C261" s="1" t="n"/>
      <c r="D261" s="200"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c r="B262" s="203" t="n"/>
      <c r="C262" s="1" t="n"/>
      <c r="D262" s="200"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c r="B263" s="203" t="n"/>
      <c r="C263" s="1" t="n"/>
      <c r="D263" s="200"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c r="B264" s="203" t="n"/>
      <c r="C264" s="1" t="n"/>
      <c r="D264" s="200"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c r="B265" s="203" t="n"/>
      <c r="C265" s="1" t="n"/>
      <c r="D265" s="200"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c r="B266" s="203" t="n"/>
      <c r="C266" s="1" t="n"/>
      <c r="D266" s="200"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c r="B267" s="203" t="n"/>
      <c r="C267" s="1" t="n"/>
      <c r="D267" s="200"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c r="B268" s="203" t="n"/>
      <c r="C268" s="1" t="n"/>
      <c r="D268" s="200"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c r="B269" s="203" t="n"/>
      <c r="C269" s="1" t="n"/>
      <c r="D269" s="200"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c r="B270" s="203" t="n"/>
      <c r="C270" s="1" t="n"/>
      <c r="D270" s="200"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c r="B271" s="203" t="n"/>
      <c r="C271" s="1" t="n"/>
      <c r="D271" s="200"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c r="B272" s="203" t="n"/>
      <c r="C272" s="1" t="n"/>
      <c r="D272" s="200"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c r="B273" s="203" t="n"/>
      <c r="C273" s="1" t="n"/>
      <c r="D273" s="200"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c r="B274" s="203" t="n"/>
      <c r="C274" s="1" t="n"/>
      <c r="D274" s="200"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c r="B275" s="203" t="n"/>
      <c r="C275" s="1" t="n"/>
      <c r="D275" s="200"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c r="B276" s="203" t="n"/>
      <c r="C276" s="1" t="n"/>
      <c r="D276" s="200"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c r="B277" s="203" t="n"/>
      <c r="C277" s="1" t="n"/>
      <c r="D277" s="200"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c r="B278" s="203" t="n"/>
      <c r="C278" s="1" t="n"/>
      <c r="D278" s="200"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c r="B279" s="203" t="n"/>
      <c r="C279" s="1" t="n"/>
      <c r="D279" s="200"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c r="B280" s="203" t="n"/>
      <c r="C280" s="1" t="n"/>
      <c r="D280" s="200"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c r="B281" s="203" t="n"/>
      <c r="C281" s="1" t="n"/>
      <c r="D281" s="200"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c r="B282" s="203" t="n"/>
      <c r="C282" s="1" t="n"/>
      <c r="D282" s="200"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c r="B283" s="203" t="n"/>
      <c r="C283" s="1" t="n"/>
      <c r="D283" s="200"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c r="B284" s="203" t="n"/>
      <c r="C284" s="1" t="n"/>
      <c r="D284" s="200"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c r="B285" s="203" t="n"/>
      <c r="C285" s="1" t="n"/>
      <c r="D285" s="200"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c r="B286" s="203" t="n"/>
      <c r="C286" s="1" t="n"/>
      <c r="D286" s="200"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c r="B287" s="203" t="n"/>
      <c r="C287" s="1" t="n"/>
      <c r="D287" s="200"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c r="B288" s="203" t="n"/>
      <c r="C288" s="1" t="n"/>
      <c r="D288" s="200"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c r="B289" s="203" t="n"/>
      <c r="C289" s="1" t="n"/>
      <c r="D289" s="200"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c r="B290" s="203" t="n"/>
      <c r="C290" s="1" t="n"/>
      <c r="D290" s="200"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c r="B291" s="203" t="n"/>
      <c r="C291" s="1" t="n"/>
      <c r="D291" s="200"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c r="B292" s="203" t="n"/>
      <c r="C292" s="1" t="n"/>
      <c r="D292" s="200"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c r="B293" s="203" t="n"/>
      <c r="C293" s="1" t="n"/>
      <c r="D293" s="200"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c r="B294" s="203" t="n"/>
      <c r="C294" s="1" t="n"/>
      <c r="D294" s="200"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c r="B295" s="203" t="n"/>
      <c r="C295" s="1" t="n"/>
      <c r="D295" s="200"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c r="B296" s="203" t="n"/>
      <c r="C296" s="1" t="n"/>
      <c r="D296" s="200"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c r="B297" s="203" t="n"/>
      <c r="C297" s="1" t="n"/>
      <c r="D297" s="200"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c r="B298" s="203" t="n"/>
      <c r="C298" s="1" t="n"/>
      <c r="D298" s="200"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c r="B299" s="203" t="n"/>
      <c r="C299" s="1" t="n"/>
      <c r="D299" s="200"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c r="B300" s="203" t="n"/>
      <c r="C300" s="1" t="n"/>
      <c r="D300" s="200"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c r="B301" s="203" t="n"/>
      <c r="C301" s="1" t="n"/>
      <c r="D301" s="200"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c r="B302" s="203" t="n"/>
      <c r="C302" s="1" t="n"/>
      <c r="D302" s="200"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c r="B303" s="203" t="n"/>
      <c r="C303" s="1" t="n"/>
      <c r="D303" s="200"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c r="B304" s="203" t="n"/>
      <c r="C304" s="1" t="n"/>
      <c r="D304" s="200"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c r="B305" s="203" t="n"/>
      <c r="C305" s="1" t="n"/>
      <c r="D305" s="200"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c r="B306" s="203" t="n"/>
      <c r="C306" s="1" t="n"/>
      <c r="D306" s="200"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c r="B307" s="203" t="n"/>
      <c r="C307" s="1" t="n"/>
      <c r="D307" s="200"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c r="B308" s="203" t="n"/>
      <c r="C308" s="1" t="n"/>
      <c r="D308" s="200"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c r="B309" s="203" t="n"/>
      <c r="C309" s="1" t="n"/>
      <c r="D309" s="200"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c r="B310" s="203" t="n"/>
      <c r="C310" s="1" t="n"/>
      <c r="D310" s="200"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c r="B311" s="203" t="n"/>
      <c r="C311" s="1" t="n"/>
      <c r="D311" s="200"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c r="B312" s="203" t="n"/>
      <c r="C312" s="1" t="n"/>
      <c r="D312" s="200"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c r="B313" s="203" t="n"/>
      <c r="C313" s="1" t="n"/>
      <c r="D313" s="200"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c r="B314" s="203" t="n"/>
      <c r="C314" s="1" t="n"/>
      <c r="D314" s="200"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c r="B315" s="203" t="n"/>
      <c r="C315" s="1" t="n"/>
      <c r="D315" s="200"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c r="B316" s="203" t="n"/>
      <c r="C316" s="1" t="n"/>
      <c r="D316" s="200"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c r="B317" s="203" t="n"/>
      <c r="C317" s="1" t="n"/>
      <c r="D317" s="200"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c r="B318" s="203" t="n"/>
      <c r="C318" s="1" t="n"/>
      <c r="D318" s="200"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c r="B319" s="203" t="n"/>
      <c r="C319" s="1" t="n"/>
      <c r="D319" s="200"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c r="B320" s="203" t="n"/>
      <c r="C320" s="1" t="n"/>
      <c r="D320" s="200"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c r="B321" s="203" t="n"/>
      <c r="C321" s="1" t="n"/>
      <c r="D321" s="200"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c r="B322" s="203" t="n"/>
      <c r="C322" s="1" t="n"/>
      <c r="D322" s="200"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c r="B323" s="203" t="n"/>
      <c r="C323" s="1" t="n"/>
      <c r="D323" s="200"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c r="B324" s="203" t="n"/>
      <c r="C324" s="1" t="n"/>
      <c r="D324" s="200"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c r="B325" s="203" t="n"/>
      <c r="C325" s="1" t="n"/>
      <c r="D325" s="200"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c r="B326" s="203" t="n"/>
      <c r="C326" s="1" t="n"/>
      <c r="D326" s="200"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c r="B327" s="203" t="n"/>
      <c r="C327" s="1" t="n"/>
      <c r="D327" s="200"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c r="B328" s="203" t="n"/>
      <c r="C328" s="1" t="n"/>
      <c r="D328" s="200"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c r="B329" s="203" t="n"/>
      <c r="C329" s="1" t="n"/>
      <c r="D329" s="200"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c r="B330" s="203" t="n"/>
      <c r="C330" s="1" t="n"/>
      <c r="D330" s="200"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c r="B331" s="203" t="n"/>
      <c r="C331" s="1" t="n"/>
      <c r="D331" s="200"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c r="B332" s="203" t="n"/>
      <c r="C332" s="1" t="n"/>
      <c r="D332" s="200"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c r="B333" s="203" t="n"/>
      <c r="C333" s="1" t="n"/>
      <c r="D333" s="200"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c r="B334" s="203" t="n"/>
      <c r="C334" s="1" t="n"/>
      <c r="D334" s="200"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c r="B335" s="203" t="n"/>
      <c r="C335" s="1" t="n"/>
      <c r="D335" s="200"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c r="B336" s="203" t="n"/>
      <c r="C336" s="1" t="n"/>
      <c r="D336" s="200"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c r="B337" s="203" t="n"/>
      <c r="C337" s="1" t="n"/>
      <c r="D337" s="200"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c r="B338" s="203" t="n"/>
      <c r="C338" s="1" t="n"/>
      <c r="D338" s="200"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c r="B339" s="203" t="n"/>
      <c r="C339" s="1" t="n"/>
      <c r="D339" s="200"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c r="B340" s="203" t="n"/>
      <c r="C340" s="1" t="n"/>
      <c r="D340" s="200"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c r="B341" s="203" t="n"/>
      <c r="C341" s="1" t="n"/>
      <c r="D341" s="200"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c r="B342" s="203" t="n"/>
      <c r="C342" s="1" t="n"/>
      <c r="D342" s="200"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c r="B343" s="203" t="n"/>
      <c r="C343" s="1" t="n"/>
      <c r="D343" s="200"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c r="B344" s="203" t="n"/>
      <c r="C344" s="1" t="n"/>
      <c r="D344" s="200"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c r="B345" s="203" t="n"/>
      <c r="C345" s="1" t="n"/>
      <c r="D345" s="200"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c r="B346" s="203" t="n"/>
      <c r="C346" s="1" t="n"/>
      <c r="D346" s="200"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c r="B347" s="203" t="n"/>
      <c r="C347" s="1" t="n"/>
      <c r="D347" s="200"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c r="B348" s="203" t="n"/>
      <c r="C348" s="1" t="n"/>
      <c r="D348" s="200"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c r="B349" s="203" t="n"/>
      <c r="C349" s="1" t="n"/>
      <c r="D349" s="200"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c r="B350" s="203" t="n"/>
      <c r="C350" s="1" t="n"/>
      <c r="D350" s="200"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c r="B351" s="203" t="n"/>
      <c r="C351" s="1" t="n"/>
      <c r="D351" s="200"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c r="B352" s="203" t="n"/>
      <c r="C352" s="1" t="n"/>
      <c r="D352" s="200"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c r="B353" s="203" t="n"/>
      <c r="C353" s="1" t="n"/>
      <c r="D353" s="200"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c r="B354" s="203" t="n"/>
      <c r="C354" s="1" t="n"/>
      <c r="D354" s="200"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c r="B355" s="203" t="n"/>
      <c r="C355" s="1" t="n"/>
      <c r="D355" s="200"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c r="B356" s="203" t="n"/>
      <c r="C356" s="1" t="n"/>
      <c r="D356" s="200"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c r="B357" s="203" t="n"/>
      <c r="C357" s="1" t="n"/>
      <c r="D357" s="200"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c r="B358" s="203" t="n"/>
      <c r="C358" s="1" t="n"/>
      <c r="D358" s="200"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c r="B359" s="203" t="n"/>
      <c r="C359" s="1" t="n"/>
      <c r="D359" s="200"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c r="B360" s="203" t="n"/>
      <c r="C360" s="1" t="n"/>
      <c r="D360" s="200"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c r="B361" s="203" t="n"/>
      <c r="C361" s="1" t="n"/>
      <c r="D361" s="200"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c r="B362" s="203" t="n"/>
      <c r="C362" s="1" t="n"/>
      <c r="D362" s="200"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c r="B363" s="203" t="n"/>
      <c r="C363" s="1" t="n"/>
      <c r="D363" s="200"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c r="B364" s="203" t="n"/>
      <c r="C364" s="1" t="n"/>
      <c r="D364" s="200"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c r="B365" s="203" t="n"/>
      <c r="C365" s="1" t="n"/>
      <c r="D365" s="200"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c r="B366" s="203" t="n"/>
      <c r="C366" s="1" t="n"/>
      <c r="D366" s="200"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c r="B367" s="203" t="n"/>
      <c r="C367" s="1" t="n"/>
      <c r="D367" s="200"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c r="B368" s="203" t="n"/>
      <c r="C368" s="1" t="n"/>
      <c r="D368" s="200"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c r="B369" s="203" t="n"/>
      <c r="C369" s="1" t="n"/>
      <c r="D369" s="200"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c r="B370" s="203" t="n"/>
      <c r="C370" s="1" t="n"/>
      <c r="D370" s="200"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c r="B371" s="203" t="n"/>
      <c r="C371" s="1" t="n"/>
      <c r="D371" s="200"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c r="B372" s="203" t="n"/>
      <c r="C372" s="1" t="n"/>
      <c r="D372" s="200"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c r="B373" s="203" t="n"/>
      <c r="C373" s="1" t="n"/>
      <c r="D373" s="200"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c r="B374" s="203" t="n"/>
      <c r="C374" s="1" t="n"/>
      <c r="D374" s="200"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c r="B375" s="203" t="n"/>
      <c r="C375" s="1" t="n"/>
      <c r="D375" s="200"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c r="B376" s="203" t="n"/>
      <c r="C376" s="1" t="n"/>
      <c r="D376" s="200"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c r="B377" s="203" t="n"/>
      <c r="C377" s="1" t="n"/>
      <c r="D377" s="200"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c r="B378" s="203" t="n"/>
      <c r="C378" s="1" t="n"/>
      <c r="D378" s="200"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c r="B379" s="203" t="n"/>
      <c r="C379" s="1" t="n"/>
      <c r="D379" s="200"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c r="B380" s="203" t="n"/>
      <c r="C380" s="1" t="n"/>
      <c r="D380" s="200"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c r="B381" s="203" t="n"/>
      <c r="C381" s="1" t="n"/>
      <c r="D381" s="200"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c r="B382" s="203" t="n"/>
      <c r="C382" s="1" t="n"/>
      <c r="D382" s="200"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c r="B383" s="203" t="n"/>
      <c r="C383" s="1" t="n"/>
      <c r="D383" s="200"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c r="B384" s="203" t="n"/>
      <c r="C384" s="1" t="n"/>
      <c r="D384" s="200"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c r="B385" s="203" t="n"/>
      <c r="C385" s="1" t="n"/>
      <c r="D385" s="200"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c r="B386" s="203" t="n"/>
      <c r="C386" s="1" t="n"/>
      <c r="D386" s="200"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c r="B387" s="203" t="n"/>
      <c r="C387" s="1" t="n"/>
      <c r="D387" s="200"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c r="B388" s="203" t="n"/>
      <c r="C388" s="1" t="n"/>
      <c r="D388" s="200"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c r="B389" s="203" t="n"/>
      <c r="C389" s="1" t="n"/>
      <c r="D389" s="200"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c r="B390" s="203" t="n"/>
      <c r="C390" s="1" t="n"/>
      <c r="D390" s="200"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c r="B391" s="203" t="n"/>
      <c r="C391" s="1" t="n"/>
      <c r="D391" s="200"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c r="B392" s="203" t="n"/>
      <c r="C392" s="1" t="n"/>
      <c r="D392" s="200"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c r="B393" s="203" t="n"/>
      <c r="C393" s="1" t="n"/>
      <c r="D393" s="200"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c r="B394" s="203" t="n"/>
      <c r="C394" s="1" t="n"/>
      <c r="D394" s="200"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c r="B395" s="203" t="n"/>
      <c r="C395" s="1" t="n"/>
      <c r="D395" s="200"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c r="B396" s="203" t="n"/>
      <c r="C396" s="1" t="n"/>
      <c r="D396" s="200"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c r="B397" s="203" t="n"/>
      <c r="C397" s="1" t="n"/>
      <c r="D397" s="200"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c r="B398" s="203" t="n"/>
      <c r="C398" s="1" t="n"/>
      <c r="D398" s="200"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c r="B399" s="203" t="n"/>
      <c r="C399" s="1" t="n"/>
      <c r="D399" s="200"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c r="B400" s="203" t="n"/>
      <c r="C400" s="1" t="n"/>
      <c r="D400" s="200"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c r="B401" s="203" t="n"/>
      <c r="C401" s="1" t="n"/>
      <c r="D401" s="200"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c r="B402" s="203" t="n"/>
      <c r="C402" s="1" t="n"/>
      <c r="D402" s="200"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c r="B403" s="203" t="n"/>
      <c r="C403" s="1" t="n"/>
      <c r="D403" s="200"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c r="B404" s="203" t="n"/>
      <c r="C404" s="1" t="n"/>
      <c r="D404" s="200"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c r="B405" s="203" t="n"/>
      <c r="C405" s="1" t="n"/>
      <c r="D405" s="200"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c r="B406" s="203" t="n"/>
      <c r="C406" s="1" t="n"/>
      <c r="D406" s="200"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c r="B407" s="203" t="n"/>
      <c r="C407" s="1" t="n"/>
      <c r="D407" s="200"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c r="B408" s="203" t="n"/>
      <c r="C408" s="1" t="n"/>
      <c r="D408" s="200"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c r="B409" s="203" t="n"/>
      <c r="C409" s="1" t="n"/>
      <c r="D409" s="200"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c r="B410" s="203" t="n"/>
      <c r="C410" s="1" t="n"/>
      <c r="D410" s="200"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c r="B411" s="203" t="n"/>
      <c r="C411" s="1" t="n"/>
      <c r="D411" s="200"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c r="B412" s="203" t="n"/>
      <c r="C412" s="1" t="n"/>
      <c r="D412" s="200"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c r="B413" s="203" t="n"/>
      <c r="C413" s="1" t="n"/>
      <c r="D413" s="200"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c r="B414" s="203" t="n"/>
      <c r="C414" s="1" t="n"/>
      <c r="D414" s="200"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c r="B415" s="203" t="n"/>
      <c r="C415" s="1" t="n"/>
      <c r="D415" s="200"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c r="B416" s="203" t="n"/>
      <c r="C416" s="1" t="n"/>
      <c r="D416" s="200"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c r="B417" s="203" t="n"/>
      <c r="C417" s="1" t="n"/>
      <c r="D417" s="200"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c r="B418" s="203" t="n"/>
      <c r="C418" s="1" t="n"/>
      <c r="D418" s="200"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c r="B419" s="203" t="n"/>
      <c r="C419" s="1" t="n"/>
      <c r="D419" s="200"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c r="B420" s="203" t="n"/>
      <c r="C420" s="1" t="n"/>
      <c r="D420" s="200"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c r="B421" s="203" t="n"/>
      <c r="C421" s="1" t="n"/>
      <c r="D421" s="200"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c r="B422" s="203" t="n"/>
      <c r="C422" s="1" t="n"/>
      <c r="D422" s="200"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c r="B423" s="203" t="n"/>
      <c r="C423" s="1" t="n"/>
      <c r="D423" s="200"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c r="B424" s="203" t="n"/>
      <c r="C424" s="1" t="n"/>
      <c r="D424" s="200"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c r="B425" s="203" t="n"/>
      <c r="C425" s="1" t="n"/>
      <c r="D425" s="200"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c r="B426" s="203" t="n"/>
      <c r="C426" s="1" t="n"/>
      <c r="D426" s="200"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c r="B427" s="203" t="n"/>
      <c r="C427" s="1" t="n"/>
      <c r="D427" s="200"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c r="B428" s="203" t="n"/>
      <c r="C428" s="1" t="n"/>
      <c r="D428" s="200"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c r="B429" s="203" t="n"/>
      <c r="C429" s="1" t="n"/>
      <c r="D429" s="200"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c r="B430" s="203" t="n"/>
      <c r="C430" s="1" t="n"/>
      <c r="D430" s="200"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c r="B431" s="203" t="n"/>
      <c r="C431" s="1" t="n"/>
      <c r="D431" s="200"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c r="B432" s="203" t="n"/>
      <c r="C432" s="1" t="n"/>
      <c r="D432" s="200"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c r="B433" s="203" t="n"/>
      <c r="C433" s="1" t="n"/>
      <c r="D433" s="200"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c r="B434" s="203" t="n"/>
      <c r="C434" s="1" t="n"/>
      <c r="D434" s="200"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c r="B435" s="203" t="n"/>
      <c r="C435" s="1" t="n"/>
      <c r="D435" s="200"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c r="B436" s="203" t="n"/>
      <c r="C436" s="1" t="n"/>
      <c r="D436" s="200"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c r="B437" s="203" t="n"/>
      <c r="C437" s="1" t="n"/>
      <c r="D437" s="200"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c r="B438" s="203" t="n"/>
      <c r="C438" s="1" t="n"/>
      <c r="D438" s="200"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c r="B439" s="203" t="n"/>
      <c r="C439" s="1" t="n"/>
      <c r="D439" s="200"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c r="B440" s="203" t="n"/>
      <c r="C440" s="1" t="n"/>
      <c r="D440" s="200"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c r="B441" s="203" t="n"/>
      <c r="C441" s="1" t="n"/>
      <c r="D441" s="200"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c r="B442" s="203" t="n"/>
      <c r="C442" s="1" t="n"/>
      <c r="D442" s="200"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c r="B443" s="203" t="n"/>
      <c r="C443" s="1" t="n"/>
      <c r="D443" s="200"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c r="B444" s="203" t="n"/>
      <c r="C444" s="1" t="n"/>
      <c r="D444" s="200"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c r="B445" s="203" t="n"/>
      <c r="C445" s="1" t="n"/>
      <c r="D445" s="200"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c r="B446" s="203" t="n"/>
      <c r="C446" s="1" t="n"/>
      <c r="D446" s="200"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c r="B447" s="203" t="n"/>
      <c r="C447" s="1" t="n"/>
      <c r="D447" s="200"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c r="B448" s="203" t="n"/>
      <c r="C448" s="1" t="n"/>
      <c r="D448" s="200"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c r="B449" s="203" t="n"/>
      <c r="C449" s="1" t="n"/>
      <c r="D449" s="200"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c r="B450" s="203" t="n"/>
      <c r="C450" s="1" t="n"/>
      <c r="D450" s="200"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c r="B451" s="203" t="n"/>
      <c r="C451" s="1" t="n"/>
      <c r="D451" s="200"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c r="B452" s="203" t="n"/>
      <c r="C452" s="1" t="n"/>
      <c r="D452" s="200"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c r="B453" s="203" t="n"/>
      <c r="C453" s="1" t="n"/>
      <c r="D453" s="200"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c r="B454" s="203" t="n"/>
      <c r="C454" s="1" t="n"/>
      <c r="D454" s="200"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c r="B455" s="203" t="n"/>
      <c r="C455" s="1" t="n"/>
      <c r="D455" s="200"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c r="B456" s="203" t="n"/>
      <c r="C456" s="1" t="n"/>
      <c r="D456" s="200"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c r="B457" s="203" t="n"/>
      <c r="C457" s="1" t="n"/>
      <c r="D457" s="200"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c r="B458" s="203" t="n"/>
      <c r="C458" s="1" t="n"/>
      <c r="D458" s="200"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c r="B459" s="203" t="n"/>
      <c r="C459" s="1" t="n"/>
      <c r="D459" s="200"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c r="B460" s="203" t="n"/>
      <c r="C460" s="1" t="n"/>
      <c r="D460" s="200"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c r="B461" s="203" t="n"/>
      <c r="C461" s="1" t="n"/>
      <c r="D461" s="200"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c r="B462" s="203" t="n"/>
      <c r="C462" s="1" t="n"/>
      <c r="D462" s="200"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c r="B463" s="203" t="n"/>
      <c r="C463" s="1" t="n"/>
      <c r="D463" s="200"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c r="B464" s="203" t="n"/>
      <c r="C464" s="1" t="n"/>
      <c r="D464" s="200"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c r="B465" s="203" t="n"/>
      <c r="C465" s="1" t="n"/>
      <c r="D465" s="200"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c r="B466" s="203" t="n"/>
      <c r="C466" s="1" t="n"/>
      <c r="D466" s="200"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c r="B467" s="203" t="n"/>
      <c r="C467" s="1" t="n"/>
      <c r="D467" s="200"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c r="B468" s="203" t="n"/>
      <c r="C468" s="1" t="n"/>
      <c r="D468" s="200"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c r="B469" s="203" t="n"/>
      <c r="C469" s="1" t="n"/>
      <c r="D469" s="200"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c r="B470" s="203" t="n"/>
      <c r="C470" s="1" t="n"/>
      <c r="D470" s="200"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c r="B471" s="203" t="n"/>
      <c r="C471" s="1" t="n"/>
      <c r="D471" s="200"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c r="B472" s="203" t="n"/>
      <c r="C472" s="1" t="n"/>
      <c r="D472" s="200"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c r="B473" s="203" t="n"/>
      <c r="C473" s="1" t="n"/>
      <c r="D473" s="200"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c r="B474" s="203" t="n"/>
      <c r="C474" s="1" t="n"/>
      <c r="D474" s="200"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c r="B475" s="203" t="n"/>
      <c r="C475" s="1" t="n"/>
      <c r="D475" s="200"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c r="B476" s="203" t="n"/>
      <c r="C476" s="1" t="n"/>
      <c r="D476" s="200"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c r="B477" s="203" t="n"/>
      <c r="C477" s="1" t="n"/>
      <c r="D477" s="200"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c r="B478" s="203" t="n"/>
      <c r="C478" s="1" t="n"/>
      <c r="D478" s="200"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c r="B479" s="203" t="n"/>
      <c r="C479" s="1" t="n"/>
      <c r="D479" s="200"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c r="B480" s="203" t="n"/>
      <c r="C480" s="1" t="n"/>
      <c r="D480" s="200"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c r="B481" s="203" t="n"/>
      <c r="C481" s="1" t="n"/>
      <c r="D481" s="200"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c r="B482" s="203" t="n"/>
      <c r="C482" s="1" t="n"/>
      <c r="D482" s="200"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c r="B483" s="203" t="n"/>
      <c r="C483" s="1" t="n"/>
      <c r="D483" s="200"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c r="B484" s="203" t="n"/>
      <c r="C484" s="1" t="n"/>
      <c r="D484" s="200"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c r="B485" s="203" t="n"/>
      <c r="C485" s="1" t="n"/>
      <c r="D485" s="200"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c r="B486" s="203" t="n"/>
      <c r="C486" s="1" t="n"/>
      <c r="D486" s="200"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c r="B487" s="203" t="n"/>
      <c r="C487" s="1" t="n"/>
      <c r="D487" s="200"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c r="B488" s="203" t="n"/>
      <c r="C488" s="1" t="n"/>
      <c r="D488" s="200"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c r="B489" s="203" t="n"/>
      <c r="C489" s="1" t="n"/>
      <c r="D489" s="200"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c r="B490" s="203" t="n"/>
      <c r="C490" s="1" t="n"/>
      <c r="D490" s="200"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c r="B491" s="203" t="n"/>
      <c r="C491" s="1" t="n"/>
      <c r="D491" s="200"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c r="B492" s="203" t="n"/>
      <c r="C492" s="1" t="n"/>
      <c r="D492" s="200"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c r="B493" s="203" t="n"/>
      <c r="C493" s="1" t="n"/>
      <c r="D493" s="200"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c r="B494" s="203" t="n"/>
      <c r="C494" s="1" t="n"/>
      <c r="D494" s="200"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c r="B495" s="203" t="n"/>
      <c r="C495" s="1" t="n"/>
      <c r="D495" s="200"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c r="B496" s="203" t="n"/>
      <c r="C496" s="1" t="n"/>
      <c r="D496" s="200"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c r="B497" s="203" t="n"/>
      <c r="C497" s="1" t="n"/>
      <c r="D497" s="200"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c r="B498" s="203" t="n"/>
      <c r="C498" s="1" t="n"/>
      <c r="D498" s="200"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c r="B499" s="203" t="n"/>
      <c r="C499" s="1" t="n"/>
      <c r="D499" s="200"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c r="B500" s="203" t="n"/>
      <c r="C500" s="1" t="n"/>
      <c r="D500" s="200"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c r="B501" s="203" t="n"/>
      <c r="C501" s="1" t="n"/>
      <c r="D501" s="200"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c r="B502" s="203" t="n"/>
      <c r="C502" s="1" t="n"/>
      <c r="D502" s="200"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c r="B503" s="203" t="n"/>
      <c r="C503" s="1" t="n"/>
      <c r="D503" s="200"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c r="B504" s="203" t="n"/>
      <c r="C504" s="1" t="n"/>
      <c r="D504" s="200"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c r="B505" s="203" t="n"/>
      <c r="C505" s="1" t="n"/>
      <c r="D505" s="200"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c r="B506" s="203" t="n"/>
      <c r="C506" s="1" t="n"/>
      <c r="D506" s="200"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c r="B507" s="203" t="n"/>
      <c r="C507" s="1" t="n"/>
      <c r="D507" s="200"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c r="B508" s="203" t="n"/>
      <c r="C508" s="1" t="n"/>
      <c r="D508" s="200"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c r="B509" s="203" t="n"/>
      <c r="C509" s="1" t="n"/>
      <c r="D509" s="200"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c r="B510" s="203" t="n"/>
      <c r="C510" s="1" t="n"/>
      <c r="D510" s="200"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c r="B511" s="203" t="n"/>
      <c r="C511" s="1" t="n"/>
      <c r="D511" s="200"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c r="B512" s="203" t="n"/>
      <c r="C512" s="1" t="n"/>
      <c r="D512" s="200"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c r="B513" s="203" t="n"/>
      <c r="C513" s="1" t="n"/>
      <c r="D513" s="200"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c r="B514" s="203" t="n"/>
      <c r="C514" s="1" t="n"/>
      <c r="D514" s="200"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c r="B515" s="203" t="n"/>
      <c r="C515" s="1" t="n"/>
      <c r="D515" s="200"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c r="B516" s="203" t="n"/>
      <c r="C516" s="1" t="n"/>
      <c r="D516" s="200"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c r="B517" s="203" t="n"/>
      <c r="C517" s="1" t="n"/>
      <c r="D517" s="200"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c r="B518" s="203" t="n"/>
      <c r="C518" s="1" t="n"/>
      <c r="D518" s="200"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c r="B519" s="203" t="n"/>
      <c r="C519" s="1" t="n"/>
      <c r="D519" s="200"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c r="B520" s="203" t="n"/>
      <c r="C520" s="1" t="n"/>
      <c r="D520" s="200"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c r="B521" s="203" t="n"/>
      <c r="C521" s="1" t="n"/>
      <c r="D521" s="200"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c r="B522" s="203" t="n"/>
      <c r="C522" s="1" t="n"/>
      <c r="D522" s="200"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c r="B523" s="203" t="n"/>
      <c r="C523" s="1" t="n"/>
      <c r="D523" s="200"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c r="B524" s="203" t="n"/>
      <c r="C524" s="1" t="n"/>
      <c r="D524" s="200"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c r="B525" s="203" t="n"/>
      <c r="C525" s="1" t="n"/>
      <c r="D525" s="200"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c r="B526" s="203" t="n"/>
      <c r="C526" s="1" t="n"/>
      <c r="D526" s="200"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c r="B527" s="203" t="n"/>
      <c r="C527" s="1" t="n"/>
      <c r="D527" s="200"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c r="B528" s="203" t="n"/>
      <c r="C528" s="1" t="n"/>
      <c r="D528" s="200"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c r="B529" s="203" t="n"/>
      <c r="C529" s="1" t="n"/>
      <c r="D529" s="200"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c r="B530" s="203" t="n"/>
      <c r="C530" s="1" t="n"/>
      <c r="D530" s="200"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c r="B531" s="203" t="n"/>
      <c r="C531" s="1" t="n"/>
      <c r="D531" s="200"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c r="B532" s="203" t="n"/>
      <c r="C532" s="1" t="n"/>
      <c r="D532" s="200"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c r="B533" s="203" t="n"/>
      <c r="C533" s="1" t="n"/>
      <c r="D533" s="200"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c r="B534" s="203" t="n"/>
      <c r="C534" s="1" t="n"/>
      <c r="D534" s="200"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c r="B535" s="203" t="n"/>
      <c r="C535" s="1" t="n"/>
      <c r="D535" s="200"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c r="B536" s="203" t="n"/>
      <c r="C536" s="1" t="n"/>
      <c r="D536" s="200"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c r="B537" s="203" t="n"/>
      <c r="C537" s="1" t="n"/>
      <c r="D537" s="200"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c r="B538" s="203" t="n"/>
      <c r="C538" s="1" t="n"/>
      <c r="D538" s="200"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c r="B539" s="203" t="n"/>
      <c r="C539" s="1" t="n"/>
      <c r="D539" s="200"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c r="B540" s="203" t="n"/>
      <c r="C540" s="1" t="n"/>
      <c r="D540" s="200"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c r="B541" s="203" t="n"/>
      <c r="C541" s="1" t="n"/>
      <c r="D541" s="200"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c r="B542" s="203" t="n"/>
      <c r="C542" s="1" t="n"/>
      <c r="D542" s="200"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c r="B543" s="203" t="n"/>
      <c r="C543" s="1" t="n"/>
      <c r="D543" s="200"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c r="B544" s="203" t="n"/>
      <c r="C544" s="1" t="n"/>
      <c r="D544" s="200"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c r="B545" s="203" t="n"/>
      <c r="C545" s="1" t="n"/>
      <c r="D545" s="200"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c r="B546" s="203" t="n"/>
      <c r="C546" s="1" t="n"/>
      <c r="D546" s="200"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c r="B547" s="203" t="n"/>
      <c r="C547" s="1" t="n"/>
      <c r="D547" s="200"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c r="B548" s="203" t="n"/>
      <c r="C548" s="1" t="n"/>
      <c r="D548" s="200"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c r="B549" s="203" t="n"/>
      <c r="C549" s="1" t="n"/>
      <c r="D549" s="200"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c r="B550" s="203" t="n"/>
      <c r="C550" s="1" t="n"/>
      <c r="D550" s="200"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c r="B551" s="203" t="n"/>
      <c r="C551" s="1" t="n"/>
      <c r="D551" s="200"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c r="B552" s="203" t="n"/>
      <c r="C552" s="1" t="n"/>
      <c r="D552" s="200"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c r="B553" s="203" t="n"/>
      <c r="C553" s="1" t="n"/>
      <c r="D553" s="200"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c r="B554" s="203" t="n"/>
      <c r="C554" s="1" t="n"/>
      <c r="D554" s="200"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c r="B555" s="203" t="n"/>
      <c r="C555" s="1" t="n"/>
      <c r="D555" s="200"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c r="B556" s="203" t="n"/>
      <c r="C556" s="1" t="n"/>
      <c r="D556" s="200"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c r="B557" s="203" t="n"/>
      <c r="C557" s="1" t="n"/>
      <c r="D557" s="200"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c r="B558" s="203" t="n"/>
      <c r="C558" s="1" t="n"/>
      <c r="D558" s="200"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c r="B559" s="203" t="n"/>
      <c r="C559" s="1" t="n"/>
      <c r="D559" s="200"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c r="B560" s="203" t="n"/>
      <c r="C560" s="1" t="n"/>
      <c r="D560" s="200"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c r="B561" s="203" t="n"/>
      <c r="C561" s="1" t="n"/>
      <c r="D561" s="200"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c r="B562" s="203" t="n"/>
      <c r="C562" s="1" t="n"/>
      <c r="D562" s="200"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c r="B563" s="203" t="n"/>
      <c r="C563" s="1" t="n"/>
      <c r="D563" s="200"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c r="B564" s="203" t="n"/>
      <c r="C564" s="1" t="n"/>
      <c r="D564" s="200"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c r="B565" s="203" t="n"/>
      <c r="C565" s="1" t="n"/>
      <c r="D565" s="200"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c r="B566" s="203" t="n"/>
      <c r="C566" s="1" t="n"/>
      <c r="D566" s="200"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c r="B567" s="203" t="n"/>
      <c r="C567" s="1" t="n"/>
      <c r="D567" s="200"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c r="B568" s="203" t="n"/>
      <c r="C568" s="1" t="n"/>
      <c r="D568" s="200"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c r="B569" s="203" t="n"/>
      <c r="C569" s="1" t="n"/>
      <c r="D569" s="200"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c r="B570" s="203" t="n"/>
      <c r="C570" s="1" t="n"/>
      <c r="D570" s="200"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c r="B571" s="203" t="n"/>
      <c r="C571" s="1" t="n"/>
      <c r="D571" s="200"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c r="B572" s="203" t="n"/>
      <c r="C572" s="1" t="n"/>
      <c r="D572" s="200"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c r="B573" s="203" t="n"/>
      <c r="C573" s="1" t="n"/>
      <c r="D573" s="200"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c r="B574" s="203" t="n"/>
      <c r="C574" s="1" t="n"/>
      <c r="D574" s="200"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c r="B575" s="203" t="n"/>
      <c r="C575" s="1" t="n"/>
      <c r="D575" s="200"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c r="B576" s="203" t="n"/>
      <c r="C576" s="1" t="n"/>
      <c r="D576" s="200"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c r="B577" s="203" t="n"/>
      <c r="C577" s="1" t="n"/>
      <c r="D577" s="200"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c r="B578" s="203" t="n"/>
      <c r="C578" s="1" t="n"/>
      <c r="D578" s="200"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c r="B579" s="203" t="n"/>
      <c r="C579" s="1" t="n"/>
      <c r="D579" s="200"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c r="B580" s="203" t="n"/>
      <c r="C580" s="1" t="n"/>
      <c r="D580" s="200"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c r="B581" s="203" t="n"/>
      <c r="C581" s="1" t="n"/>
      <c r="D581" s="200"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c r="B582" s="203" t="n"/>
      <c r="C582" s="1" t="n"/>
      <c r="D582" s="200"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c r="B583" s="203" t="n"/>
      <c r="C583" s="1" t="n"/>
      <c r="D583" s="200"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c r="B584" s="203" t="n"/>
      <c r="C584" s="1" t="n"/>
      <c r="D584" s="200"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c r="B585" s="203" t="n"/>
      <c r="C585" s="1" t="n"/>
      <c r="D585" s="200"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c r="B586" s="203" t="n"/>
      <c r="C586" s="1" t="n"/>
      <c r="D586" s="200"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c r="B587" s="203" t="n"/>
      <c r="C587" s="1" t="n"/>
      <c r="D587" s="200"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c r="B588" s="203" t="n"/>
      <c r="C588" s="1" t="n"/>
      <c r="D588" s="200"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c r="B589" s="203" t="n"/>
      <c r="C589" s="1" t="n"/>
      <c r="D589" s="200"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c r="B590" s="203" t="n"/>
      <c r="C590" s="1" t="n"/>
      <c r="D590" s="200"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c r="B591" s="203" t="n"/>
      <c r="C591" s="1" t="n"/>
      <c r="D591" s="200"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c r="B592" s="203" t="n"/>
      <c r="C592" s="1" t="n"/>
      <c r="D592" s="200"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c r="B593" s="203" t="n"/>
      <c r="C593" s="1" t="n"/>
      <c r="D593" s="200"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c r="B594" s="203" t="n"/>
      <c r="C594" s="1" t="n"/>
      <c r="D594" s="200"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c r="B595" s="203" t="n"/>
      <c r="C595" s="1" t="n"/>
      <c r="D595" s="200"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c r="B596" s="203" t="n"/>
      <c r="C596" s="1" t="n"/>
      <c r="D596" s="200"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c r="B597" s="203" t="n"/>
      <c r="C597" s="1" t="n"/>
      <c r="D597" s="200"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c r="B598" s="203" t="n"/>
      <c r="C598" s="1" t="n"/>
      <c r="D598" s="200"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c r="B599" s="203" t="n"/>
      <c r="C599" s="1" t="n"/>
      <c r="D599" s="200"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c r="B600" s="203" t="n"/>
      <c r="C600" s="1" t="n"/>
      <c r="D600" s="200"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c r="B601" s="203" t="n"/>
      <c r="C601" s="1" t="n"/>
      <c r="D601" s="200"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c r="B602" s="203" t="n"/>
      <c r="C602" s="1" t="n"/>
      <c r="D602" s="200"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c r="B603" s="203" t="n"/>
      <c r="C603" s="1" t="n"/>
      <c r="D603" s="200"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c r="B604" s="203" t="n"/>
      <c r="C604" s="1" t="n"/>
      <c r="D604" s="200"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c r="B605" s="203" t="n"/>
      <c r="C605" s="1" t="n"/>
      <c r="D605" s="200"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c r="B606" s="203" t="n"/>
      <c r="C606" s="1" t="n"/>
      <c r="D606" s="200"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c r="B607" s="203" t="n"/>
      <c r="C607" s="1" t="n"/>
      <c r="D607" s="200"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c r="B608" s="203" t="n"/>
      <c r="C608" s="1" t="n"/>
      <c r="D608" s="200"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c r="B609" s="203" t="n"/>
      <c r="C609" s="1" t="n"/>
      <c r="D609" s="200"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c r="B610" s="203" t="n"/>
      <c r="C610" s="1" t="n"/>
      <c r="D610" s="200"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c r="B611" s="203" t="n"/>
      <c r="C611" s="1" t="n"/>
      <c r="D611" s="200"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c r="B612" s="203" t="n"/>
      <c r="C612" s="1" t="n"/>
      <c r="D612" s="200"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c r="B613" s="203" t="n"/>
      <c r="C613" s="1" t="n"/>
      <c r="D613" s="200"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c r="B614" s="203" t="n"/>
      <c r="C614" s="1" t="n"/>
      <c r="D614" s="200"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c r="B615" s="203" t="n"/>
      <c r="C615" s="1" t="n"/>
      <c r="D615" s="200"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c r="B616" s="203" t="n"/>
      <c r="C616" s="1" t="n"/>
      <c r="D616" s="200"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c r="B617" s="203" t="n"/>
      <c r="C617" s="1" t="n"/>
      <c r="D617" s="200"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c r="B618" s="203" t="n"/>
      <c r="C618" s="1" t="n"/>
      <c r="D618" s="200"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c r="B619" s="203" t="n"/>
      <c r="C619" s="1" t="n"/>
      <c r="D619" s="200"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c r="B620" s="203" t="n"/>
      <c r="C620" s="1" t="n"/>
      <c r="D620" s="200"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c r="B621" s="203" t="n"/>
      <c r="C621" s="1" t="n"/>
      <c r="D621" s="200"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c r="B622" s="203" t="n"/>
      <c r="C622" s="1" t="n"/>
      <c r="D622" s="200"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c r="B623" s="203" t="n"/>
      <c r="C623" s="1" t="n"/>
      <c r="D623" s="200"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c r="B624" s="203" t="n"/>
      <c r="C624" s="1" t="n"/>
      <c r="D624" s="200"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c r="B625" s="203" t="n"/>
      <c r="C625" s="1" t="n"/>
      <c r="D625" s="200"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c r="B626" s="203" t="n"/>
      <c r="C626" s="1" t="n"/>
      <c r="D626" s="200"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c r="B627" s="203" t="n"/>
      <c r="C627" s="1" t="n"/>
      <c r="D627" s="200"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c r="B628" s="203" t="n"/>
      <c r="C628" s="1" t="n"/>
      <c r="D628" s="200"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c r="B629" s="203" t="n"/>
      <c r="C629" s="1" t="n"/>
      <c r="D629" s="200"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c r="B630" s="203" t="n"/>
      <c r="C630" s="1" t="n"/>
      <c r="D630" s="200"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c r="B631" s="203" t="n"/>
      <c r="C631" s="1" t="n"/>
      <c r="D631" s="200"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c r="B632" s="203" t="n"/>
      <c r="C632" s="1" t="n"/>
      <c r="D632" s="200"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c r="B633" s="203" t="n"/>
      <c r="C633" s="1" t="n"/>
      <c r="D633" s="200"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c r="B634" s="203" t="n"/>
      <c r="C634" s="1" t="n"/>
      <c r="D634" s="200"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c r="B635" s="203" t="n"/>
      <c r="C635" s="1" t="n"/>
      <c r="D635" s="200"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c r="B636" s="203" t="n"/>
      <c r="C636" s="1" t="n"/>
      <c r="D636" s="200"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c r="B637" s="203" t="n"/>
      <c r="C637" s="1" t="n"/>
      <c r="D637" s="200"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c r="B638" s="203" t="n"/>
      <c r="C638" s="1" t="n"/>
      <c r="D638" s="200"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c r="B639" s="203" t="n"/>
      <c r="C639" s="1" t="n"/>
      <c r="D639" s="200"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c r="B640" s="203" t="n"/>
      <c r="C640" s="1" t="n"/>
      <c r="D640" s="200"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c r="B641" s="203" t="n"/>
      <c r="C641" s="1" t="n"/>
      <c r="D641" s="200"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c r="B642" s="203" t="n"/>
      <c r="C642" s="1" t="n"/>
      <c r="D642" s="200"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c r="B643" s="203" t="n"/>
      <c r="C643" s="1" t="n"/>
      <c r="D643" s="200"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c r="B644" s="203" t="n"/>
      <c r="C644" s="1" t="n"/>
      <c r="D644" s="200"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c r="B645" s="203" t="n"/>
      <c r="C645" s="1" t="n"/>
      <c r="D645" s="200"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c r="B646" s="203" t="n"/>
      <c r="C646" s="1" t="n"/>
      <c r="D646" s="200"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c r="B647" s="203" t="n"/>
      <c r="C647" s="1" t="n"/>
      <c r="D647" s="200"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c r="B648" s="203" t="n"/>
      <c r="C648" s="1" t="n"/>
      <c r="D648" s="200"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c r="B649" s="203" t="n"/>
      <c r="C649" s="1" t="n"/>
      <c r="D649" s="200"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c r="B650" s="203" t="n"/>
      <c r="C650" s="1" t="n"/>
      <c r="D650" s="200"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c r="B651" s="203" t="n"/>
      <c r="C651" s="1" t="n"/>
      <c r="D651" s="200"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c r="B652" s="203" t="n"/>
      <c r="C652" s="1" t="n"/>
      <c r="D652" s="200"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c r="B653" s="203" t="n"/>
      <c r="C653" s="1" t="n"/>
      <c r="D653" s="200"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c r="B654" s="203" t="n"/>
      <c r="C654" s="1" t="n"/>
      <c r="D654" s="200"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c r="B655" s="203" t="n"/>
      <c r="C655" s="1" t="n"/>
      <c r="D655" s="200"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c r="B656" s="203" t="n"/>
      <c r="C656" s="1" t="n"/>
      <c r="D656" s="200"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c r="B657" s="203" t="n"/>
      <c r="C657" s="1" t="n"/>
      <c r="D657" s="200"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c r="B658" s="203" t="n"/>
      <c r="C658" s="1" t="n"/>
      <c r="D658" s="200"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c r="B659" s="203" t="n"/>
      <c r="C659" s="1" t="n"/>
      <c r="D659" s="200"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c r="B660" s="203" t="n"/>
      <c r="C660" s="1" t="n"/>
      <c r="D660" s="200"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c r="B661" s="203" t="n"/>
      <c r="C661" s="1" t="n"/>
      <c r="D661" s="200"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c r="B662" s="203" t="n"/>
      <c r="C662" s="1" t="n"/>
      <c r="D662" s="200"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c r="B663" s="203" t="n"/>
      <c r="C663" s="1" t="n"/>
      <c r="D663" s="200"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c r="B664" s="203" t="n"/>
      <c r="C664" s="1" t="n"/>
      <c r="D664" s="200"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c r="B665" s="203" t="n"/>
      <c r="C665" s="1" t="n"/>
      <c r="D665" s="200"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c r="B666" s="203" t="n"/>
      <c r="C666" s="1" t="n"/>
      <c r="D666" s="200"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c r="B667" s="203" t="n"/>
      <c r="C667" s="1" t="n"/>
      <c r="D667" s="200"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c r="B668" s="203" t="n"/>
      <c r="C668" s="1" t="n"/>
      <c r="D668" s="200"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c r="B669" s="203" t="n"/>
      <c r="C669" s="1" t="n"/>
      <c r="D669" s="200"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c r="B670" s="203" t="n"/>
      <c r="C670" s="1" t="n"/>
      <c r="D670" s="200"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c r="B671" s="203" t="n"/>
      <c r="C671" s="1" t="n"/>
      <c r="D671" s="200"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c r="B672" s="203" t="n"/>
      <c r="C672" s="1" t="n"/>
      <c r="D672" s="200"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c r="B673" s="203" t="n"/>
      <c r="C673" s="1" t="n"/>
      <c r="D673" s="200"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c r="B674" s="203" t="n"/>
      <c r="C674" s="1" t="n"/>
      <c r="D674" s="200"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c r="B675" s="203" t="n"/>
      <c r="C675" s="1" t="n"/>
      <c r="D675" s="200"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c r="B676" s="203" t="n"/>
      <c r="C676" s="1" t="n"/>
      <c r="D676" s="200"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c r="B677" s="203" t="n"/>
      <c r="C677" s="1" t="n"/>
      <c r="D677" s="200"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c r="B678" s="203" t="n"/>
      <c r="C678" s="1" t="n"/>
      <c r="D678" s="200"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c r="B679" s="203" t="n"/>
      <c r="C679" s="1" t="n"/>
      <c r="D679" s="200"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c r="B680" s="203" t="n"/>
      <c r="C680" s="1" t="n"/>
      <c r="D680" s="200"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c r="B681" s="203" t="n"/>
      <c r="C681" s="1" t="n"/>
      <c r="D681" s="200"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c r="B682" s="203" t="n"/>
      <c r="C682" s="1" t="n"/>
      <c r="D682" s="200"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c r="B683" s="203" t="n"/>
      <c r="C683" s="1" t="n"/>
      <c r="D683" s="200"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c r="B684" s="203" t="n"/>
      <c r="C684" s="1" t="n"/>
      <c r="D684" s="200"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c r="B685" s="203" t="n"/>
      <c r="C685" s="1" t="n"/>
      <c r="D685" s="200"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c r="B686" s="203" t="n"/>
      <c r="C686" s="1" t="n"/>
      <c r="D686" s="200"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c r="B687" s="203" t="n"/>
      <c r="C687" s="1" t="n"/>
      <c r="D687" s="200"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c r="B688" s="203" t="n"/>
      <c r="C688" s="1" t="n"/>
      <c r="D688" s="200"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c r="B689" s="203" t="n"/>
      <c r="C689" s="1" t="n"/>
      <c r="D689" s="200"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c r="B690" s="203" t="n"/>
      <c r="C690" s="1" t="n"/>
      <c r="D690" s="200"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c r="B691" s="203" t="n"/>
      <c r="C691" s="1" t="n"/>
      <c r="D691" s="200"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c r="B692" s="203" t="n"/>
      <c r="C692" s="1" t="n"/>
      <c r="D692" s="200"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c r="B693" s="203" t="n"/>
      <c r="C693" s="1" t="n"/>
      <c r="D693" s="200"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c r="B694" s="203" t="n"/>
      <c r="C694" s="1" t="n"/>
      <c r="D694" s="200"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c r="B695" s="203" t="n"/>
      <c r="C695" s="1" t="n"/>
      <c r="D695" s="200"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c r="B696" s="203" t="n"/>
      <c r="C696" s="1" t="n"/>
      <c r="D696" s="200"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c r="B697" s="203" t="n"/>
      <c r="C697" s="1" t="n"/>
      <c r="D697" s="200"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c r="B698" s="203" t="n"/>
      <c r="C698" s="1" t="n"/>
      <c r="D698" s="200"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c r="B699" s="203" t="n"/>
      <c r="C699" s="1" t="n"/>
      <c r="D699" s="200"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c r="B700" s="203" t="n"/>
      <c r="C700" s="1" t="n"/>
      <c r="D700" s="200"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c r="B701" s="203" t="n"/>
      <c r="C701" s="1" t="n"/>
      <c r="D701" s="200"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c r="B702" s="203" t="n"/>
      <c r="C702" s="1" t="n"/>
      <c r="D702" s="200"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c r="B703" s="203" t="n"/>
      <c r="C703" s="1" t="n"/>
      <c r="D703" s="200"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c r="B704" s="203" t="n"/>
      <c r="C704" s="1" t="n"/>
      <c r="D704" s="200"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c r="B705" s="203" t="n"/>
      <c r="C705" s="1" t="n"/>
      <c r="D705" s="200"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c r="B706" s="203" t="n"/>
      <c r="C706" s="1" t="n"/>
      <c r="D706" s="200"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c r="B707" s="203" t="n"/>
      <c r="C707" s="1" t="n"/>
      <c r="D707" s="200"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c r="B708" s="203" t="n"/>
      <c r="C708" s="1" t="n"/>
      <c r="D708" s="200"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c r="B709" s="203" t="n"/>
      <c r="C709" s="1" t="n"/>
      <c r="D709" s="200"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c r="B710" s="203" t="n"/>
      <c r="C710" s="1" t="n"/>
      <c r="D710" s="200"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c r="B711" s="203" t="n"/>
      <c r="C711" s="1" t="n"/>
      <c r="D711" s="200"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c r="B712" s="203" t="n"/>
      <c r="C712" s="1" t="n"/>
      <c r="D712" s="200"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c r="B713" s="203" t="n"/>
      <c r="C713" s="1" t="n"/>
      <c r="D713" s="200"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c r="B714" s="203" t="n"/>
      <c r="C714" s="1" t="n"/>
      <c r="D714" s="200"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c r="B715" s="203" t="n"/>
      <c r="C715" s="1" t="n"/>
      <c r="D715" s="200"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c r="B716" s="203" t="n"/>
      <c r="C716" s="1" t="n"/>
      <c r="D716" s="200"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c r="B717" s="203" t="n"/>
      <c r="C717" s="1" t="n"/>
      <c r="D717" s="200"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c r="B718" s="203" t="n"/>
      <c r="C718" s="1" t="n"/>
      <c r="D718" s="200"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c r="B719" s="203" t="n"/>
      <c r="C719" s="1" t="n"/>
      <c r="D719" s="200"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c r="B720" s="203" t="n"/>
      <c r="C720" s="1" t="n"/>
      <c r="D720" s="200"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c r="B721" s="203" t="n"/>
      <c r="C721" s="1" t="n"/>
      <c r="D721" s="200"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c r="B722" s="203" t="n"/>
      <c r="C722" s="1" t="n"/>
      <c r="D722" s="200"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c r="B723" s="203" t="n"/>
      <c r="C723" s="1" t="n"/>
      <c r="D723" s="200"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c r="B724" s="203" t="n"/>
      <c r="C724" s="1" t="n"/>
      <c r="D724" s="200"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c r="B725" s="203" t="n"/>
      <c r="C725" s="1" t="n"/>
      <c r="D725" s="200"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c r="B726" s="203" t="n"/>
      <c r="C726" s="1" t="n"/>
      <c r="D726" s="200"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c r="B727" s="203" t="n"/>
      <c r="C727" s="1" t="n"/>
      <c r="D727" s="200"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c r="B728" s="203" t="n"/>
      <c r="C728" s="1" t="n"/>
      <c r="D728" s="200"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c r="B729" s="203" t="n"/>
      <c r="C729" s="1" t="n"/>
      <c r="D729" s="200"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c r="B730" s="203" t="n"/>
      <c r="C730" s="1" t="n"/>
      <c r="D730" s="200"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c r="B731" s="203" t="n"/>
      <c r="C731" s="1" t="n"/>
      <c r="D731" s="200"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c r="B732" s="203" t="n"/>
      <c r="C732" s="1" t="n"/>
      <c r="D732" s="200"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c r="B733" s="203" t="n"/>
      <c r="C733" s="1" t="n"/>
      <c r="D733" s="200"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c r="B734" s="203" t="n"/>
      <c r="C734" s="1" t="n"/>
      <c r="D734" s="200"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c r="B735" s="203" t="n"/>
      <c r="C735" s="1" t="n"/>
      <c r="D735" s="200"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c r="B736" s="203" t="n"/>
      <c r="C736" s="1" t="n"/>
      <c r="D736" s="200"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c r="B737" s="203" t="n"/>
      <c r="C737" s="1" t="n"/>
      <c r="D737" s="200"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c r="B738" s="203" t="n"/>
      <c r="C738" s="1" t="n"/>
      <c r="D738" s="200"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c r="B739" s="203" t="n"/>
      <c r="C739" s="1" t="n"/>
      <c r="D739" s="200"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c r="B740" s="203" t="n"/>
      <c r="C740" s="1" t="n"/>
      <c r="D740" s="200"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c r="B741" s="203" t="n"/>
      <c r="C741" s="1" t="n"/>
      <c r="D741" s="200"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c r="B742" s="203" t="n"/>
      <c r="C742" s="1" t="n"/>
      <c r="D742" s="200"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c r="B743" s="203" t="n"/>
      <c r="C743" s="1" t="n"/>
      <c r="D743" s="200"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c r="B744" s="203" t="n"/>
      <c r="C744" s="1" t="n"/>
      <c r="D744" s="200"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c r="B745" s="203" t="n"/>
      <c r="C745" s="1" t="n"/>
      <c r="D745" s="200"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c r="B746" s="203" t="n"/>
      <c r="C746" s="1" t="n"/>
      <c r="D746" s="200"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c r="B747" s="203" t="n"/>
      <c r="C747" s="1" t="n"/>
      <c r="D747" s="200"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c r="B748" s="203" t="n"/>
      <c r="C748" s="1" t="n"/>
      <c r="D748" s="200"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c r="B749" s="203" t="n"/>
      <c r="C749" s="1" t="n"/>
      <c r="D749" s="200"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c r="B750" s="203" t="n"/>
      <c r="C750" s="1" t="n"/>
      <c r="D750" s="200"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c r="B751" s="203" t="n"/>
      <c r="C751" s="1" t="n"/>
      <c r="D751" s="200"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c r="B752" s="203" t="n"/>
      <c r="C752" s="1" t="n"/>
      <c r="D752" s="200"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c r="B753" s="203" t="n"/>
      <c r="C753" s="1" t="n"/>
      <c r="D753" s="200"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c r="B754" s="203" t="n"/>
      <c r="C754" s="1" t="n"/>
      <c r="D754" s="200"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c r="B755" s="203" t="n"/>
      <c r="C755" s="1" t="n"/>
      <c r="D755" s="200"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c r="B756" s="203" t="n"/>
      <c r="C756" s="1" t="n"/>
      <c r="D756" s="200"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c r="B757" s="203" t="n"/>
      <c r="C757" s="1" t="n"/>
      <c r="D757" s="200"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c r="B758" s="203" t="n"/>
      <c r="C758" s="1" t="n"/>
      <c r="D758" s="200"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c r="B759" s="203" t="n"/>
      <c r="C759" s="1" t="n"/>
      <c r="D759" s="200"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c r="B760" s="203" t="n"/>
      <c r="C760" s="1" t="n"/>
      <c r="D760" s="200"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c r="B761" s="203" t="n"/>
      <c r="C761" s="1" t="n"/>
      <c r="D761" s="200"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c r="B762" s="203" t="n"/>
      <c r="C762" s="1" t="n"/>
      <c r="D762" s="200"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c r="B763" s="203" t="n"/>
      <c r="C763" s="1" t="n"/>
      <c r="D763" s="200"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c r="B764" s="203" t="n"/>
      <c r="C764" s="1" t="n"/>
      <c r="D764" s="200"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c r="B765" s="203" t="n"/>
      <c r="C765" s="1" t="n"/>
      <c r="D765" s="200"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c r="B766" s="203" t="n"/>
      <c r="C766" s="1" t="n"/>
      <c r="D766" s="200"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c r="B767" s="203" t="n"/>
      <c r="C767" s="1" t="n"/>
      <c r="D767" s="200"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c r="B768" s="203" t="n"/>
      <c r="C768" s="1" t="n"/>
      <c r="D768" s="200"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c r="B769" s="203" t="n"/>
      <c r="C769" s="1" t="n"/>
      <c r="D769" s="200"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c r="B770" s="203" t="n"/>
      <c r="C770" s="1" t="n"/>
      <c r="D770" s="200"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c r="B771" s="203" t="n"/>
      <c r="C771" s="1" t="n"/>
      <c r="D771" s="200"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c r="B772" s="203" t="n"/>
      <c r="C772" s="1" t="n"/>
      <c r="D772" s="200"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c r="B773" s="203" t="n"/>
      <c r="C773" s="1" t="n"/>
      <c r="D773" s="200"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c r="B774" s="203" t="n"/>
      <c r="C774" s="1" t="n"/>
      <c r="D774" s="200"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c r="B775" s="203" t="n"/>
      <c r="C775" s="1" t="n"/>
      <c r="D775" s="200"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c r="B776" s="203" t="n"/>
      <c r="C776" s="1" t="n"/>
      <c r="D776" s="200"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c r="B777" s="203" t="n"/>
      <c r="C777" s="1" t="n"/>
      <c r="D777" s="200"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c r="B778" s="203" t="n"/>
      <c r="C778" s="1" t="n"/>
      <c r="D778" s="200"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c r="B779" s="203" t="n"/>
      <c r="C779" s="1" t="n"/>
      <c r="D779" s="200"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c r="B780" s="203" t="n"/>
      <c r="C780" s="1" t="n"/>
      <c r="D780" s="200"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c r="B781" s="203" t="n"/>
      <c r="C781" s="1" t="n"/>
      <c r="D781" s="200"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c r="B782" s="203" t="n"/>
      <c r="C782" s="1" t="n"/>
      <c r="D782" s="200"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c r="B783" s="203" t="n"/>
      <c r="C783" s="1" t="n"/>
      <c r="D783" s="200"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c r="B784" s="203" t="n"/>
      <c r="C784" s="1" t="n"/>
      <c r="D784" s="200"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c r="B785" s="203" t="n"/>
      <c r="C785" s="1" t="n"/>
      <c r="D785" s="200"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c r="B786" s="203" t="n"/>
      <c r="C786" s="1" t="n"/>
      <c r="D786" s="200"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c r="B787" s="203" t="n"/>
      <c r="C787" s="1" t="n"/>
      <c r="D787" s="200"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c r="B788" s="203" t="n"/>
      <c r="C788" s="1" t="n"/>
      <c r="D788" s="200"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c r="B789" s="203" t="n"/>
      <c r="C789" s="1" t="n"/>
      <c r="D789" s="200"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c r="B790" s="203" t="n"/>
      <c r="C790" s="1" t="n"/>
      <c r="D790" s="200"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c r="B791" s="203" t="n"/>
      <c r="C791" s="1" t="n"/>
      <c r="D791" s="200"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c r="B792" s="203" t="n"/>
      <c r="C792" s="1" t="n"/>
      <c r="D792" s="200"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c r="B793" s="203" t="n"/>
      <c r="C793" s="1" t="n"/>
      <c r="D793" s="200"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c r="B794" s="203" t="n"/>
      <c r="C794" s="1" t="n"/>
      <c r="D794" s="200"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c r="B795" s="203" t="n"/>
      <c r="C795" s="1" t="n"/>
      <c r="D795" s="200"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c r="B796" s="203" t="n"/>
      <c r="C796" s="1" t="n"/>
      <c r="D796" s="200"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c r="B797" s="203" t="n"/>
      <c r="C797" s="1" t="n"/>
      <c r="D797" s="200"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c r="B798" s="203" t="n"/>
      <c r="C798" s="1" t="n"/>
      <c r="D798" s="200"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c r="B799" s="203" t="n"/>
      <c r="C799" s="1" t="n"/>
      <c r="D799" s="200"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c r="B800" s="203" t="n"/>
      <c r="C800" s="1" t="n"/>
      <c r="D800" s="200"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c r="B801" s="203" t="n"/>
      <c r="C801" s="1" t="n"/>
      <c r="D801" s="200"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c r="B802" s="203" t="n"/>
      <c r="C802" s="1" t="n"/>
      <c r="D802" s="200"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c r="B803" s="203" t="n"/>
      <c r="C803" s="1" t="n"/>
      <c r="D803" s="200"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c r="B804" s="203" t="n"/>
      <c r="C804" s="1" t="n"/>
      <c r="D804" s="200"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c r="B805" s="203" t="n"/>
      <c r="C805" s="1" t="n"/>
      <c r="D805" s="200"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c r="B806" s="203" t="n"/>
      <c r="C806" s="1" t="n"/>
      <c r="D806" s="200"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c r="B807" s="203" t="n"/>
      <c r="C807" s="1" t="n"/>
      <c r="D807" s="200"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c r="B808" s="203" t="n"/>
      <c r="C808" s="1" t="n"/>
      <c r="D808" s="200"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c r="B809" s="203" t="n"/>
      <c r="C809" s="1" t="n"/>
      <c r="D809" s="200"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c r="B810" s="203" t="n"/>
      <c r="C810" s="1" t="n"/>
      <c r="D810" s="200"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c r="B811" s="203" t="n"/>
      <c r="C811" s="1" t="n"/>
      <c r="D811" s="200"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c r="B812" s="203" t="n"/>
      <c r="C812" s="1" t="n"/>
      <c r="D812" s="200"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c r="B813" s="203" t="n"/>
      <c r="C813" s="1" t="n"/>
      <c r="D813" s="200"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c r="B814" s="203" t="n"/>
      <c r="C814" s="1" t="n"/>
      <c r="D814" s="200"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c r="B815" s="203" t="n"/>
      <c r="C815" s="1" t="n"/>
      <c r="D815" s="200"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c r="B816" s="203" t="n"/>
      <c r="C816" s="1" t="n"/>
      <c r="D816" s="200"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c r="B817" s="203" t="n"/>
      <c r="C817" s="1" t="n"/>
      <c r="D817" s="200"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c r="B818" s="203" t="n"/>
      <c r="C818" s="1" t="n"/>
      <c r="D818" s="200"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c r="B819" s="203" t="n"/>
      <c r="C819" s="1" t="n"/>
      <c r="D819" s="200"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c r="B820" s="203" t="n"/>
      <c r="C820" s="1" t="n"/>
      <c r="D820" s="200"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c r="B821" s="203" t="n"/>
      <c r="C821" s="1" t="n"/>
      <c r="D821" s="200"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c r="B822" s="203" t="n"/>
      <c r="C822" s="1" t="n"/>
      <c r="D822" s="200"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c r="B823" s="203" t="n"/>
      <c r="C823" s="1" t="n"/>
      <c r="D823" s="200"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c r="B824" s="203" t="n"/>
      <c r="C824" s="1" t="n"/>
      <c r="D824" s="200"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c r="B825" s="203" t="n"/>
      <c r="C825" s="1" t="n"/>
      <c r="D825" s="200"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c r="B826" s="203" t="n"/>
      <c r="C826" s="1" t="n"/>
      <c r="D826" s="200"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c r="B827" s="203" t="n"/>
      <c r="C827" s="1" t="n"/>
      <c r="D827" s="200"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c r="B828" s="203" t="n"/>
      <c r="C828" s="1" t="n"/>
      <c r="D828" s="200"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c r="B829" s="203" t="n"/>
      <c r="C829" s="1" t="n"/>
      <c r="D829" s="200"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c r="B830" s="203" t="n"/>
      <c r="C830" s="1" t="n"/>
      <c r="D830" s="200"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c r="B831" s="203" t="n"/>
      <c r="C831" s="1" t="n"/>
      <c r="D831" s="200"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c r="B832" s="203" t="n"/>
      <c r="C832" s="1" t="n"/>
      <c r="D832" s="200"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c r="B833" s="203" t="n"/>
      <c r="C833" s="1" t="n"/>
      <c r="D833" s="200"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c r="B834" s="203" t="n"/>
      <c r="C834" s="1" t="n"/>
      <c r="D834" s="200"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c r="B835" s="203" t="n"/>
      <c r="C835" s="1" t="n"/>
      <c r="D835" s="200"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c r="B836" s="203" t="n"/>
      <c r="C836" s="1" t="n"/>
      <c r="D836" s="200"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c r="B837" s="203" t="n"/>
      <c r="C837" s="1" t="n"/>
      <c r="D837" s="200"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c r="B838" s="203" t="n"/>
      <c r="C838" s="1" t="n"/>
      <c r="D838" s="200"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c r="B839" s="203" t="n"/>
      <c r="C839" s="1" t="n"/>
      <c r="D839" s="200"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c r="B840" s="203" t="n"/>
      <c r="C840" s="1" t="n"/>
      <c r="D840" s="200"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c r="B841" s="203" t="n"/>
      <c r="C841" s="1" t="n"/>
      <c r="D841" s="200"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c r="B842" s="203" t="n"/>
      <c r="C842" s="1" t="n"/>
      <c r="D842" s="200"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c r="B843" s="203" t="n"/>
      <c r="C843" s="1" t="n"/>
      <c r="D843" s="200"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c r="B844" s="203" t="n"/>
      <c r="C844" s="1" t="n"/>
      <c r="D844" s="200"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c r="B845" s="203" t="n"/>
      <c r="C845" s="1" t="n"/>
      <c r="D845" s="200"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c r="B846" s="203" t="n"/>
      <c r="C846" s="1" t="n"/>
      <c r="D846" s="200"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c r="B847" s="203" t="n"/>
      <c r="C847" s="1" t="n"/>
      <c r="D847" s="200"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c r="B848" s="203" t="n"/>
      <c r="C848" s="1" t="n"/>
      <c r="D848" s="200"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c r="B849" s="203" t="n"/>
      <c r="C849" s="1" t="n"/>
      <c r="D849" s="200"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c r="B850" s="203" t="n"/>
      <c r="C850" s="1" t="n"/>
      <c r="D850" s="200"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c r="B851" s="203" t="n"/>
      <c r="C851" s="1" t="n"/>
      <c r="D851" s="200"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c r="B852" s="203" t="n"/>
      <c r="C852" s="1" t="n"/>
      <c r="D852" s="200"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c r="B853" s="203" t="n"/>
      <c r="C853" s="1" t="n"/>
      <c r="D853" s="200"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c r="B854" s="203" t="n"/>
      <c r="C854" s="1" t="n"/>
      <c r="D854" s="200"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c r="B855" s="203" t="n"/>
      <c r="C855" s="1" t="n"/>
      <c r="D855" s="200"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c r="B856" s="203" t="n"/>
      <c r="C856" s="1" t="n"/>
      <c r="D856" s="200"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c r="B857" s="203" t="n"/>
      <c r="C857" s="1" t="n"/>
      <c r="D857" s="200"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c r="B858" s="203" t="n"/>
      <c r="C858" s="1" t="n"/>
      <c r="D858" s="200"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c r="B859" s="203" t="n"/>
      <c r="C859" s="1" t="n"/>
      <c r="D859" s="200"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c r="B860" s="203" t="n"/>
      <c r="C860" s="1" t="n"/>
      <c r="D860" s="200"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c r="B861" s="203" t="n"/>
      <c r="C861" s="1" t="n"/>
      <c r="D861" s="200"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c r="B862" s="203" t="n"/>
      <c r="C862" s="1" t="n"/>
      <c r="D862" s="200"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c r="B863" s="203" t="n"/>
      <c r="C863" s="1" t="n"/>
      <c r="D863" s="200"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c r="B864" s="203" t="n"/>
      <c r="C864" s="1" t="n"/>
      <c r="D864" s="200"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c r="B865" s="203" t="n"/>
      <c r="C865" s="1" t="n"/>
      <c r="D865" s="200"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c r="B866" s="203" t="n"/>
      <c r="C866" s="1" t="n"/>
      <c r="D866" s="200"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c r="B867" s="203" t="n"/>
      <c r="C867" s="1" t="n"/>
      <c r="D867" s="200"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c r="B868" s="203" t="n"/>
      <c r="C868" s="1" t="n"/>
      <c r="D868" s="200"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c r="B869" s="203" t="n"/>
      <c r="C869" s="1" t="n"/>
      <c r="D869" s="200"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c r="B870" s="203" t="n"/>
      <c r="C870" s="1" t="n"/>
      <c r="D870" s="200"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c r="B871" s="203" t="n"/>
      <c r="C871" s="1" t="n"/>
      <c r="D871" s="200"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c r="B872" s="203" t="n"/>
      <c r="C872" s="1" t="n"/>
      <c r="D872" s="200"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c r="B873" s="203" t="n"/>
      <c r="C873" s="1" t="n"/>
      <c r="D873" s="200"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c r="B874" s="203" t="n"/>
      <c r="C874" s="1" t="n"/>
      <c r="D874" s="200"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c r="B875" s="203" t="n"/>
      <c r="C875" s="1" t="n"/>
      <c r="D875" s="200"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c r="B876" s="203" t="n"/>
      <c r="C876" s="1" t="n"/>
      <c r="D876" s="200"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c r="B877" s="203" t="n"/>
      <c r="C877" s="1" t="n"/>
      <c r="D877" s="200"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c r="B878" s="203" t="n"/>
      <c r="C878" s="1" t="n"/>
      <c r="D878" s="200"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c r="B879" s="203" t="n"/>
      <c r="C879" s="1" t="n"/>
      <c r="D879" s="200"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c r="B880" s="203" t="n"/>
      <c r="C880" s="1" t="n"/>
      <c r="D880" s="200"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c r="B881" s="203" t="n"/>
      <c r="C881" s="1" t="n"/>
      <c r="D881" s="200"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c r="B882" s="203" t="n"/>
      <c r="C882" s="1" t="n"/>
      <c r="D882" s="200"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c r="B883" s="203" t="n"/>
      <c r="C883" s="1" t="n"/>
      <c r="D883" s="200"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c r="B884" s="203" t="n"/>
      <c r="C884" s="1" t="n"/>
      <c r="D884" s="200"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c r="B885" s="203" t="n"/>
      <c r="C885" s="1" t="n"/>
      <c r="D885" s="200"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c r="B886" s="203" t="n"/>
      <c r="C886" s="1" t="n"/>
      <c r="D886" s="200"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c r="B887" s="203" t="n"/>
      <c r="C887" s="1" t="n"/>
      <c r="D887" s="200"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c r="B888" s="203" t="n"/>
      <c r="C888" s="1" t="n"/>
      <c r="D888" s="200"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c r="B889" s="203" t="n"/>
      <c r="C889" s="1" t="n"/>
      <c r="D889" s="200"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c r="B890" s="203" t="n"/>
      <c r="C890" s="1" t="n"/>
      <c r="D890" s="200"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c r="B891" s="203" t="n"/>
      <c r="C891" s="1" t="n"/>
      <c r="D891" s="200"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c r="B892" s="203" t="n"/>
      <c r="C892" s="1" t="n"/>
      <c r="D892" s="200"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c r="B893" s="203" t="n"/>
      <c r="C893" s="1" t="n"/>
      <c r="D893" s="200"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c r="B894" s="203" t="n"/>
      <c r="C894" s="1" t="n"/>
      <c r="D894" s="200"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c r="B895" s="203" t="n"/>
      <c r="C895" s="1" t="n"/>
      <c r="D895" s="200"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c r="B896" s="203" t="n"/>
      <c r="C896" s="1" t="n"/>
      <c r="D896" s="200"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c r="B897" s="203" t="n"/>
      <c r="C897" s="1" t="n"/>
      <c r="D897" s="200"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c r="B898" s="203" t="n"/>
      <c r="C898" s="1" t="n"/>
      <c r="D898" s="200"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c r="B899" s="203" t="n"/>
      <c r="C899" s="1" t="n"/>
      <c r="D899" s="200"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c r="B900" s="203" t="n"/>
      <c r="C900" s="1" t="n"/>
      <c r="D900" s="200"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c r="B901" s="203" t="n"/>
      <c r="C901" s="1" t="n"/>
      <c r="D901" s="200"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c r="B902" s="203" t="n"/>
      <c r="C902" s="1" t="n"/>
      <c r="D902" s="200"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c r="B903" s="203" t="n"/>
      <c r="C903" s="1" t="n"/>
      <c r="D903" s="200"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c r="B904" s="203" t="n"/>
      <c r="C904" s="1" t="n"/>
      <c r="D904" s="200"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c r="B905" s="203" t="n"/>
      <c r="C905" s="1" t="n"/>
      <c r="D905" s="200"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c r="B906" s="203" t="n"/>
      <c r="C906" s="1" t="n"/>
      <c r="D906" s="200"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c r="B907" s="203" t="n"/>
      <c r="C907" s="1" t="n"/>
      <c r="D907" s="200"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c r="B908" s="203" t="n"/>
      <c r="C908" s="1" t="n"/>
      <c r="D908" s="200"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c r="B909" s="203" t="n"/>
      <c r="C909" s="1" t="n"/>
      <c r="D909" s="200"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c r="B910" s="203" t="n"/>
      <c r="C910" s="1" t="n"/>
      <c r="D910" s="200"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c r="B911" s="203" t="n"/>
      <c r="C911" s="1" t="n"/>
      <c r="D911" s="200"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c r="B912" s="203" t="n"/>
      <c r="C912" s="1" t="n"/>
      <c r="D912" s="200"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c r="B913" s="203" t="n"/>
      <c r="C913" s="1" t="n"/>
      <c r="D913" s="200"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c r="B914" s="203" t="n"/>
      <c r="C914" s="1" t="n"/>
      <c r="D914" s="200"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c r="B915" s="203" t="n"/>
      <c r="C915" s="1" t="n"/>
      <c r="D915" s="200"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c r="B916" s="203" t="n"/>
      <c r="C916" s="1" t="n"/>
      <c r="D916" s="200"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c r="B917" s="203" t="n"/>
      <c r="C917" s="1" t="n"/>
      <c r="D917" s="200"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c r="B918" s="203" t="n"/>
      <c r="C918" s="1" t="n"/>
      <c r="D918" s="200"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c r="B919" s="203" t="n"/>
      <c r="C919" s="1" t="n"/>
      <c r="D919" s="200"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c r="B920" s="203" t="n"/>
      <c r="C920" s="1" t="n"/>
      <c r="D920" s="200"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c r="B921" s="203" t="n"/>
      <c r="C921" s="1" t="n"/>
      <c r="D921" s="200"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c r="B922" s="203" t="n"/>
      <c r="C922" s="1" t="n"/>
      <c r="D922" s="200"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c r="B923" s="203" t="n"/>
      <c r="C923" s="1" t="n"/>
      <c r="D923" s="200"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c r="B924" s="203" t="n"/>
      <c r="C924" s="1" t="n"/>
      <c r="D924" s="200"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c r="B925" s="203" t="n"/>
      <c r="C925" s="1" t="n"/>
      <c r="D925" s="200"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c r="B926" s="203" t="n"/>
      <c r="C926" s="1" t="n"/>
      <c r="D926" s="200"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c r="B927" s="203" t="n"/>
      <c r="C927" s="1" t="n"/>
      <c r="D927" s="200"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c r="B928" s="203" t="n"/>
      <c r="C928" s="1" t="n"/>
      <c r="D928" s="200"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c r="B929" s="203" t="n"/>
      <c r="C929" s="1" t="n"/>
      <c r="D929" s="200"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c r="B930" s="203" t="n"/>
      <c r="C930" s="1" t="n"/>
      <c r="D930" s="200"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c r="B931" s="203" t="n"/>
      <c r="C931" s="1" t="n"/>
      <c r="D931" s="200"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c r="B932" s="203" t="n"/>
      <c r="C932" s="1" t="n"/>
      <c r="D932" s="200"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c r="B933" s="203" t="n"/>
      <c r="C933" s="1" t="n"/>
      <c r="D933" s="200"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c r="B934" s="203" t="n"/>
      <c r="C934" s="1" t="n"/>
      <c r="D934" s="200"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c r="B935" s="203" t="n"/>
      <c r="C935" s="1" t="n"/>
      <c r="D935" s="200"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c r="B936" s="203" t="n"/>
      <c r="C936" s="1" t="n"/>
      <c r="D936" s="200"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c r="B937" s="203" t="n"/>
      <c r="C937" s="1" t="n"/>
      <c r="D937" s="200"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c r="B938" s="203" t="n"/>
      <c r="C938" s="1" t="n"/>
      <c r="D938" s="200"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c r="B939" s="203" t="n"/>
      <c r="C939" s="1" t="n"/>
      <c r="D939" s="200"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c r="B940" s="203" t="n"/>
      <c r="C940" s="1" t="n"/>
      <c r="D940" s="200"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c r="B941" s="203" t="n"/>
      <c r="C941" s="1" t="n"/>
      <c r="D941" s="200"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c r="B942" s="203" t="n"/>
      <c r="C942" s="1" t="n"/>
      <c r="D942" s="200"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c r="B943" s="203" t="n"/>
      <c r="C943" s="1" t="n"/>
      <c r="D943" s="200"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c r="B944" s="203" t="n"/>
      <c r="C944" s="1" t="n"/>
      <c r="D944" s="200"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c r="B945" s="203" t="n"/>
      <c r="C945" s="1" t="n"/>
      <c r="D945" s="200"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c r="B946" s="203" t="n"/>
      <c r="C946" s="1" t="n"/>
      <c r="D946" s="200"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c r="B947" s="203" t="n"/>
      <c r="C947" s="1" t="n"/>
      <c r="D947" s="200"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c r="B948" s="203" t="n"/>
      <c r="C948" s="1" t="n"/>
      <c r="D948" s="200"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c r="B949" s="203" t="n"/>
      <c r="C949" s="1" t="n"/>
      <c r="D949" s="200"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c r="B950" s="203" t="n"/>
      <c r="C950" s="1" t="n"/>
      <c r="D950" s="200"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c r="B951" s="203" t="n"/>
      <c r="C951" s="1" t="n"/>
      <c r="D951" s="200"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c r="B952" s="203" t="n"/>
      <c r="C952" s="1" t="n"/>
      <c r="D952" s="200"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c r="B953" s="203" t="n"/>
      <c r="C953" s="1" t="n"/>
      <c r="D953" s="200"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c r="B954" s="203" t="n"/>
      <c r="C954" s="1" t="n"/>
      <c r="D954" s="200"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c r="B955" s="203" t="n"/>
      <c r="C955" s="1" t="n"/>
      <c r="D955" s="200"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c r="B956" s="203" t="n"/>
      <c r="C956" s="1" t="n"/>
      <c r="D956" s="200"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c r="B957" s="203" t="n"/>
      <c r="C957" s="1" t="n"/>
      <c r="D957" s="200"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c r="B958" s="203" t="n"/>
      <c r="C958" s="1" t="n"/>
      <c r="D958" s="200"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c r="B959" s="203" t="n"/>
      <c r="C959" s="1" t="n"/>
      <c r="D959" s="200"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c r="B960" s="203" t="n"/>
      <c r="C960" s="1" t="n"/>
      <c r="D960" s="200"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c r="B961" s="203" t="n"/>
      <c r="C961" s="1" t="n"/>
      <c r="D961" s="200"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c r="B962" s="203" t="n"/>
      <c r="C962" s="1" t="n"/>
      <c r="D962" s="200"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c r="B963" s="203" t="n"/>
      <c r="C963" s="1" t="n"/>
      <c r="D963" s="200"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c r="B964" s="203" t="n"/>
      <c r="C964" s="1" t="n"/>
      <c r="D964" s="200"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c r="B965" s="203" t="n"/>
      <c r="C965" s="1" t="n"/>
      <c r="D965" s="200"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c r="B966" s="203" t="n"/>
      <c r="C966" s="1" t="n"/>
      <c r="D966" s="200"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c r="B967" s="203" t="n"/>
      <c r="C967" s="1" t="n"/>
      <c r="D967" s="200"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c r="B968" s="203" t="n"/>
      <c r="C968" s="1" t="n"/>
      <c r="D968" s="200"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c r="B969" s="203" t="n"/>
      <c r="C969" s="1" t="n"/>
      <c r="D969" s="200"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c r="B970" s="203" t="n"/>
      <c r="C970" s="1" t="n"/>
      <c r="D970" s="200"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c r="B971" s="203" t="n"/>
      <c r="C971" s="1" t="n"/>
      <c r="D971" s="200"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c r="B972" s="203" t="n"/>
      <c r="C972" s="1" t="n"/>
      <c r="D972" s="200"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c r="B973" s="203" t="n"/>
      <c r="C973" s="1" t="n"/>
      <c r="D973" s="200"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c r="B974" s="203" t="n"/>
      <c r="C974" s="1" t="n"/>
      <c r="D974" s="200"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c r="B975" s="203" t="n"/>
      <c r="C975" s="1" t="n"/>
      <c r="D975" s="200"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c r="B976" s="203" t="n"/>
      <c r="C976" s="1" t="n"/>
      <c r="D976" s="200"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c r="B977" s="203" t="n"/>
      <c r="C977" s="1" t="n"/>
      <c r="D977" s="200"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c r="B978" s="203" t="n"/>
      <c r="C978" s="1" t="n"/>
      <c r="D978" s="200"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c r="B979" s="203" t="n"/>
      <c r="C979" s="1" t="n"/>
      <c r="D979" s="200"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c r="B980" s="203" t="n"/>
      <c r="C980" s="1" t="n"/>
      <c r="D980" s="200"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c r="B981" s="203" t="n"/>
      <c r="C981" s="1" t="n"/>
      <c r="D981" s="200"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c r="B982" s="203" t="n"/>
      <c r="C982" s="1" t="n"/>
      <c r="D982" s="200"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c r="B983" s="203" t="n"/>
      <c r="C983" s="1" t="n"/>
      <c r="D983" s="200"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c r="B984" s="203" t="n"/>
      <c r="C984" s="1" t="n"/>
      <c r="D984" s="200"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c r="B985" s="203" t="n"/>
      <c r="C985" s="1" t="n"/>
      <c r="D985" s="200"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c r="B986" s="203" t="n"/>
      <c r="C986" s="1" t="n"/>
      <c r="D986" s="200"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c r="B987" s="203" t="n"/>
      <c r="C987" s="1" t="n"/>
      <c r="D987" s="200"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c r="B988" s="203" t="n"/>
      <c r="C988" s="1" t="n"/>
      <c r="D988" s="200"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c r="B989" s="203" t="n"/>
      <c r="C989" s="1" t="n"/>
      <c r="D989" s="200"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c r="B990" s="203" t="n"/>
      <c r="C990" s="1" t="n"/>
      <c r="D990" s="200"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c r="B991" s="203" t="n"/>
      <c r="C991" s="1" t="n"/>
      <c r="D991" s="200"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c r="B992" s="203" t="n"/>
      <c r="C992" s="1" t="n"/>
      <c r="D992" s="200"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c r="B993" s="203" t="n"/>
      <c r="C993" s="1" t="n"/>
      <c r="D993" s="200"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c r="B994" s="203" t="n"/>
      <c r="C994" s="1" t="n"/>
      <c r="D994" s="200"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c r="B995" s="203" t="n"/>
      <c r="C995" s="1" t="n"/>
      <c r="D995" s="200"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c r="B996" s="203" t="n"/>
      <c r="C996" s="1" t="n"/>
      <c r="D996" s="200"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c r="B997" s="203" t="n"/>
      <c r="C997" s="1" t="n"/>
      <c r="D997" s="200"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c r="B998" s="203" t="n"/>
      <c r="C998" s="1" t="n"/>
      <c r="D998" s="200"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c r="B999" s="203" t="n"/>
      <c r="C999" s="1" t="n"/>
      <c r="D999" s="200"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c r="B1000" s="203" t="n"/>
      <c r="C1000" s="1" t="n"/>
      <c r="D1000" s="200"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7">
    <mergeCell ref="A1:D1"/>
    <mergeCell ref="A37:D37"/>
    <mergeCell ref="A9:D9"/>
    <mergeCell ref="A2:B2"/>
    <mergeCell ref="A5:D5"/>
    <mergeCell ref="A32:D32"/>
    <mergeCell ref="A13:D13"/>
  </mergeCells>
  <hyperlinks>
    <hyperlink ref="B6" location="Cover!A1" display="Cover"/>
    <hyperlink ref="B7" location="'Database Import'!A1" display="Database Import"/>
    <hyperlink ref="B8" location="'Forecast Horizon'!A1" display="Forecast Horizon"/>
    <hyperlink ref="B10" location="'Control Panel'!A1" display="Control Panel"/>
    <hyperlink ref="B11" location="'Model Assumptions'!A1" display="Model Assumptions"/>
    <hyperlink ref="B12" location="'Model Calibration'!A1" display="Model Calibration"/>
    <hyperlink ref="B14" location="'Macroeconomic Model'!A1" display="Macroeconomic Model"/>
    <hyperlink ref="B15" location="'Steel Demand Model'!A1" display="Steel Demand Model"/>
    <hyperlink ref="B16" location="'Steel Supply Model'!A1" display="Steel Supply Model"/>
    <hyperlink ref="B17" location="'Capacity Forecast'!A1" display="Capacity Forecast"/>
    <hyperlink ref="B18" location="'Capacity Expansion Tracker'!A1" display="Capacity Expansion Tracker"/>
    <hyperlink ref="B19" location="'Capacity Utilisation'!A1" display="Capacity Utilisation"/>
    <hyperlink ref="B20" location="'Steel Price Forecast'!A1" display="Steel Price Forecast"/>
    <hyperlink ref="B21" location="'Raw Material Forecast'!A1" display="Raw Material Forecast"/>
    <hyperlink ref="B22" location="'Cost Curve'!A1" display="Cost Curve"/>
    <hyperlink ref="B23" location="'Revenue Forecast'!A1" display="Revenue Forecast"/>
    <hyperlink ref="B24" location="'EBITDA Model'!A1" display="EBITDA Model"/>
    <hyperlink ref="B25" location="'Margin Analysis'!A1" display="Margin Analysis"/>
    <hyperlink ref="B26" location="'Working Capital Model'!A1" display="Working Capital Model"/>
    <hyperlink ref="B27" location="'Cash Flow Model'!A1" display="Cash Flow Model"/>
    <hyperlink ref="B28" location="'Capital Allocation'!A1" display="Capital Allocation"/>
    <hyperlink ref="B29" location="'Industry Cycle Model'!A1" display="Industry Cycle Model"/>
    <hyperlink ref="B30" location="'Trade Model'!A1" display="Trade Model"/>
    <hyperlink ref="B31" location="'ESG Model'!A1" display="ESG Model"/>
    <hyperlink ref="B33" location="'Scenario Manager'!A1" display="Scenario Manager"/>
    <hyperlink ref="B34" location="'Sensitivity Analysis'!A1" display="Sensitivity Analysis"/>
    <hyperlink ref="B35" location="'Comparable Valuation'!A1" display="Comparable Valuation"/>
    <hyperlink ref="B36" location="'Industry Dashboard'!A1" display="Industry Dashboard"/>
    <hyperlink ref="B38" location="'Audit Checks'!A1" display="Audit Checks"/>
    <hyperlink ref="B39" location="Sources!A1" display="Sources"/>
  </hyperlinks>
  <pageMargins left="0.7" right="0.7" top="0.75" bottom="0.75" header="0.3" footer="0.3"/>
</worksheet>
</file>

<file path=xl/worksheets/sheet3.xml><?xml version="1.0" encoding="utf-8"?>
<worksheet xmlns="http://schemas.openxmlformats.org/spreadsheetml/2006/main">
  <sheetPr codeName="Sheet3">
    <tabColor rgb="FF002060"/>
    <outlinePr summaryBelow="1" summaryRight="1"/>
    <pageSetUpPr/>
  </sheetPr>
  <dimension ref="A1:J58"/>
  <sheetViews>
    <sheetView showGridLines="0" zoomScaleNormal="100" workbookViewId="0">
      <selection activeCell="B22" sqref="B22"/>
    </sheetView>
  </sheetViews>
  <sheetFormatPr baseColWidth="8" defaultColWidth="10" defaultRowHeight="14.4"/>
  <cols>
    <col width="24.77734375" customWidth="1" style="1262" min="1" max="1"/>
    <col width="29.109375" customWidth="1" style="1262" min="2" max="2"/>
    <col width="10" customWidth="1" style="1262" min="3" max="3"/>
    <col width="16.88671875" customWidth="1" style="1262" min="4" max="4"/>
    <col width="17.5546875" customWidth="1" style="1262" min="5" max="5"/>
    <col width="10" customWidth="1" style="1262" min="6" max="16384"/>
  </cols>
  <sheetData>
    <row r="1" ht="25.8" customHeight="1">
      <c r="A1" s="1133" t="inlineStr">
        <is>
          <t>DATABASE IMPORT</t>
        </is>
      </c>
    </row>
    <row r="2">
      <c r="A2" s="1136" t="inlineStr">
        <is>
          <t>Industry Financial Model  |  Indian Steel Industry  |  Horizon FY2027E-FY2033E  |  Base year FY2026A</t>
        </is>
      </c>
    </row>
    <row r="3">
      <c r="A3" s="1136" t="n"/>
      <c r="B3" s="1136" t="n"/>
      <c r="C3" s="1136" t="n"/>
      <c r="D3" s="1136" t="n"/>
      <c r="E3" s="1136" t="n"/>
      <c r="F3" s="1136" t="n"/>
      <c r="G3" s="1136" t="n"/>
    </row>
    <row r="4" ht="15.6" customHeight="1">
      <c r="A4" s="210" t="inlineStr">
        <is>
          <t>Workbook Information</t>
        </is>
      </c>
      <c r="B4" s="1136" t="n"/>
      <c r="C4" s="1136" t="n"/>
      <c r="D4" s="1136" t="n"/>
      <c r="E4" s="1136" t="n"/>
      <c r="F4" s="1136" t="n"/>
      <c r="G4" s="1136" t="n"/>
    </row>
    <row r="5" ht="15" customHeight="1" thickBot="1">
      <c r="A5" s="248" t="inlineStr">
        <is>
          <t>Field</t>
        </is>
      </c>
      <c r="B5" s="248" t="inlineStr">
        <is>
          <t>Value</t>
        </is>
      </c>
      <c r="D5" s="1136" t="n"/>
      <c r="E5" s="1136" t="n"/>
      <c r="F5" s="1136" t="n"/>
      <c r="G5" s="1136" t="n"/>
    </row>
    <row r="6" ht="15" customHeight="1" thickTop="1">
      <c r="A6" s="206" t="inlineStr">
        <is>
          <t>Source Workbook</t>
        </is>
      </c>
      <c r="B6" s="222" t="inlineStr">
        <is>
          <t>Master Industry Database.xlsx</t>
        </is>
      </c>
      <c r="D6" s="1136" t="n"/>
      <c r="E6" s="1136" t="n"/>
      <c r="F6" s="1136" t="n"/>
      <c r="G6" s="1136" t="n"/>
    </row>
    <row r="7">
      <c r="A7" s="207" t="inlineStr">
        <is>
          <t>Workbook Version</t>
        </is>
      </c>
      <c r="B7" s="1344" t="n">
        <v>1</v>
      </c>
      <c r="D7" s="1136" t="n"/>
      <c r="E7" s="1136" t="n"/>
      <c r="F7" s="1136" t="n"/>
      <c r="G7" s="1136" t="n"/>
    </row>
    <row r="8">
      <c r="A8" s="207" t="inlineStr">
        <is>
          <t>Last Updated</t>
        </is>
      </c>
      <c r="B8" s="216" t="inlineStr">
        <is>
          <t>Linked</t>
        </is>
      </c>
      <c r="D8" s="1136" t="n"/>
      <c r="E8" s="1136" t="n"/>
      <c r="F8" s="1136" t="n"/>
      <c r="G8" s="1136" t="n"/>
    </row>
    <row r="9">
      <c r="A9" s="207" t="inlineStr">
        <is>
          <t>Reporting Basis</t>
        </is>
      </c>
      <c r="B9" s="216" t="inlineStr">
        <is>
          <t>Consolidated</t>
        </is>
      </c>
      <c r="D9" s="1136" t="n"/>
      <c r="E9" s="1136" t="n"/>
      <c r="F9" s="1136" t="n"/>
      <c r="G9" s="1136" t="n"/>
    </row>
    <row r="10">
      <c r="A10" s="207" t="inlineStr">
        <is>
          <t>Currency</t>
        </is>
      </c>
      <c r="B10" s="216" t="inlineStr">
        <is>
          <t>INR</t>
        </is>
      </c>
      <c r="D10" s="1136" t="n"/>
      <c r="E10" s="1136" t="n"/>
      <c r="F10" s="1136" t="n"/>
      <c r="G10" s="1136" t="n"/>
    </row>
    <row r="11">
      <c r="A11" s="207" t="inlineStr">
        <is>
          <t>Coverage Universe</t>
        </is>
      </c>
      <c r="B11" s="216" t="inlineStr">
        <is>
          <t>5 Companies</t>
        </is>
      </c>
      <c r="D11" s="1136" t="n"/>
      <c r="E11" s="1136" t="n"/>
      <c r="F11" s="1136" t="n"/>
      <c r="G11" s="1136" t="n"/>
    </row>
    <row r="12">
      <c r="A12" s="207" t="inlineStr">
        <is>
          <t>Historical Period</t>
        </is>
      </c>
      <c r="B12" s="216" t="inlineStr">
        <is>
          <t>FY2021–FY2026</t>
        </is>
      </c>
      <c r="D12" s="1136" t="n"/>
      <c r="E12" s="1136" t="n"/>
      <c r="F12" s="1136" t="n"/>
      <c r="G12" s="1136" t="n"/>
    </row>
    <row r="13" ht="15" customHeight="1" thickBot="1">
      <c r="A13" s="208" t="inlineStr">
        <is>
          <t>Import Status</t>
        </is>
      </c>
      <c r="B13" s="217" t="inlineStr">
        <is>
          <t xml:space="preserve">✅ Connected </t>
        </is>
      </c>
      <c r="D13" s="1136" t="n"/>
      <c r="E13" s="1136" t="n"/>
      <c r="F13" s="1136" t="n"/>
      <c r="G13" s="1136" t="n"/>
    </row>
    <row r="14">
      <c r="A14" s="177" t="n"/>
      <c r="B14" s="211" t="n"/>
      <c r="D14" s="1136" t="n"/>
      <c r="E14" s="1136" t="n"/>
      <c r="F14" s="1136" t="n"/>
      <c r="G14" s="1136" t="n"/>
    </row>
    <row r="15">
      <c r="C15" s="155" t="n"/>
    </row>
    <row r="16" ht="15.6" customHeight="1">
      <c r="A16" s="210" t="inlineStr">
        <is>
          <t>Data Quality Checks</t>
        </is>
      </c>
    </row>
    <row r="17" ht="15" customHeight="1" thickBot="1">
      <c r="A17" s="248" t="inlineStr">
        <is>
          <t>Dataset</t>
        </is>
      </c>
      <c r="B17" s="249" t="inlineStr">
        <is>
          <t>Dataset</t>
        </is>
      </c>
    </row>
    <row r="18" ht="15" customHeight="1" thickTop="1">
      <c r="A18" s="206" t="inlineStr">
        <is>
          <t>Duplicate Companies</t>
        </is>
      </c>
      <c r="B18" s="215" t="inlineStr">
        <is>
          <t>✅</t>
        </is>
      </c>
    </row>
    <row r="19">
      <c r="A19" s="207" t="inlineStr">
        <is>
          <t>Missing Financial Years</t>
        </is>
      </c>
      <c r="B19" s="212" t="inlineStr">
        <is>
          <t>✅</t>
        </is>
      </c>
    </row>
    <row r="20">
      <c r="A20" s="207" t="inlineStr">
        <is>
          <t>Missing Capacity Data</t>
        </is>
      </c>
      <c r="B20" s="212" t="inlineStr">
        <is>
          <t>✅</t>
        </is>
      </c>
    </row>
    <row r="21">
      <c r="A21" s="207" t="inlineStr">
        <is>
          <t>Missing Revenue Data</t>
        </is>
      </c>
      <c r="B21" s="212" t="inlineStr">
        <is>
          <t>✅</t>
        </is>
      </c>
    </row>
    <row r="22">
      <c r="A22" s="207" t="inlineStr">
        <is>
          <t>Missing EBITDA Data</t>
        </is>
      </c>
      <c r="B22" s="212" t="inlineStr">
        <is>
          <t>✅</t>
        </is>
      </c>
    </row>
    <row r="23">
      <c r="A23" s="207" t="inlineStr">
        <is>
          <t>Missing Price Series</t>
        </is>
      </c>
      <c r="B23" s="212" t="inlineStr">
        <is>
          <t>✅</t>
        </is>
      </c>
    </row>
    <row r="24">
      <c r="A24" s="207" t="inlineStr">
        <is>
          <t>Currency Consistent</t>
        </is>
      </c>
      <c r="B24" s="212" t="inlineStr">
        <is>
          <t>✅</t>
        </is>
      </c>
    </row>
    <row r="25" ht="15" customHeight="1" thickBot="1">
      <c r="A25" s="208" t="inlineStr">
        <is>
          <t>Units Consistent</t>
        </is>
      </c>
      <c r="B25" s="214" t="inlineStr">
        <is>
          <t>✅</t>
        </is>
      </c>
    </row>
    <row r="29" ht="16.2" customHeight="1" thickBot="1">
      <c r="A29" s="210" t="inlineStr">
        <is>
          <t>Data Flow Diagram</t>
        </is>
      </c>
    </row>
    <row r="30">
      <c r="A30" s="218" t="inlineStr">
        <is>
          <t>Master Industry Database</t>
        </is>
      </c>
    </row>
    <row r="31">
      <c r="A31" s="219" t="inlineStr">
        <is>
          <t xml:space="preserve">           │</t>
        </is>
      </c>
    </row>
    <row r="32">
      <c r="A32" s="219" t="inlineStr">
        <is>
          <t xml:space="preserve">          ▼</t>
        </is>
      </c>
    </row>
    <row r="33">
      <c r="A33" s="220" t="inlineStr">
        <is>
          <t>Database Import</t>
        </is>
      </c>
    </row>
    <row r="34">
      <c r="A34" s="219" t="inlineStr">
        <is>
          <t xml:space="preserve">           │</t>
        </is>
      </c>
    </row>
    <row r="35">
      <c r="A35" s="219" t="inlineStr">
        <is>
          <t xml:space="preserve">          ▼</t>
        </is>
      </c>
    </row>
    <row r="36">
      <c r="A36" s="220" t="inlineStr">
        <is>
          <t>Model Assumptions</t>
        </is>
      </c>
    </row>
    <row r="37">
      <c r="A37" s="219" t="inlineStr">
        <is>
          <t xml:space="preserve">           │</t>
        </is>
      </c>
    </row>
    <row r="38">
      <c r="A38" s="219" t="inlineStr">
        <is>
          <t xml:space="preserve">          ▼</t>
        </is>
      </c>
    </row>
    <row r="39">
      <c r="A39" s="220" t="inlineStr">
        <is>
          <t>Industry Models</t>
        </is>
      </c>
    </row>
    <row r="40">
      <c r="A40" s="219" t="inlineStr">
        <is>
          <t xml:space="preserve">           │</t>
        </is>
      </c>
    </row>
    <row r="41">
      <c r="A41" s="219" t="inlineStr">
        <is>
          <t xml:space="preserve">          ▼</t>
        </is>
      </c>
    </row>
    <row r="42">
      <c r="A42" s="220" t="inlineStr">
        <is>
          <t>Valuation</t>
        </is>
      </c>
    </row>
    <row r="43">
      <c r="A43" s="219" t="inlineStr">
        <is>
          <t xml:space="preserve">           │</t>
        </is>
      </c>
    </row>
    <row r="44">
      <c r="A44" s="219" t="inlineStr">
        <is>
          <t xml:space="preserve">          ▼</t>
        </is>
      </c>
    </row>
    <row r="45" ht="15" customHeight="1" thickBot="1">
      <c r="A45" s="221" t="inlineStr">
        <is>
          <t>Dashboard</t>
        </is>
      </c>
    </row>
    <row r="48">
      <c r="A48" s="209" t="inlineStr">
        <is>
          <t>Note</t>
        </is>
      </c>
    </row>
    <row r="49" ht="32.4" customHeight="1">
      <c r="A49" s="1154" t="inlineStr">
        <is>
          <t>Purpose: This worksheet serves as the controlled interface between the Master Industry Database and the Industry Financial Model. No manual analytical inputs or calculations should be performed on this sheet. All imported datasets are validated before being used by downstream models.</t>
        </is>
      </c>
    </row>
    <row r="50">
      <c r="A50" s="256" t="n"/>
      <c r="B50" s="256" t="n"/>
      <c r="C50" s="256" t="n"/>
      <c r="D50" s="256" t="n"/>
      <c r="E50" s="256" t="n"/>
      <c r="F50" s="256" t="n"/>
      <c r="G50" s="256" t="n"/>
      <c r="H50" s="256" t="n"/>
      <c r="I50" s="256" t="n"/>
      <c r="J50" s="256" t="n"/>
    </row>
    <row r="51">
      <c r="A51" s="256" t="n"/>
      <c r="B51" s="256" t="n"/>
      <c r="C51" s="256" t="n"/>
      <c r="D51" s="256" t="n"/>
      <c r="E51" s="256" t="n"/>
      <c r="F51" s="256" t="n"/>
      <c r="G51" s="256" t="n"/>
      <c r="H51" s="256" t="n"/>
      <c r="I51" s="256" t="n"/>
      <c r="J51" s="256" t="n"/>
    </row>
    <row r="52">
      <c r="A52" s="256" t="n"/>
      <c r="B52" s="256" t="n"/>
      <c r="C52" s="256" t="n"/>
      <c r="D52" s="256" t="n"/>
      <c r="E52" s="256" t="n"/>
      <c r="F52" s="256" t="n"/>
      <c r="G52" s="256" t="n"/>
      <c r="H52" s="256" t="n"/>
      <c r="I52" s="256" t="n"/>
      <c r="J52" s="256" t="n"/>
    </row>
    <row r="53">
      <c r="A53" s="256" t="n"/>
      <c r="B53" s="256" t="n"/>
      <c r="C53" s="256" t="n"/>
      <c r="D53" s="256" t="n"/>
      <c r="E53" s="256" t="n"/>
      <c r="F53" s="256" t="n"/>
      <c r="G53" s="256" t="n"/>
      <c r="H53" s="256" t="n"/>
      <c r="I53" s="256" t="n"/>
      <c r="J53" s="256" t="n"/>
    </row>
    <row r="54">
      <c r="A54" s="256" t="n"/>
      <c r="B54" s="256" t="n"/>
      <c r="C54" s="256" t="n"/>
      <c r="D54" s="256" t="n"/>
      <c r="E54" s="256" t="n"/>
      <c r="F54" s="256" t="n"/>
      <c r="G54" s="256" t="n"/>
      <c r="H54" s="256" t="n"/>
      <c r="I54" s="256" t="n"/>
      <c r="J54" s="256" t="n"/>
    </row>
    <row r="55">
      <c r="A55" s="256" t="n"/>
      <c r="B55" s="256" t="n"/>
      <c r="C55" s="256" t="n"/>
      <c r="D55" s="256" t="n"/>
      <c r="E55" s="256" t="n"/>
      <c r="F55" s="256" t="n"/>
      <c r="G55" s="256" t="n"/>
      <c r="H55" s="256" t="n"/>
      <c r="I55" s="256" t="n"/>
      <c r="J55" s="256" t="n"/>
    </row>
    <row r="56">
      <c r="A56" s="256" t="n"/>
      <c r="B56" s="256" t="n"/>
      <c r="C56" s="256" t="n"/>
      <c r="D56" s="256" t="n"/>
      <c r="E56" s="256" t="n"/>
      <c r="F56" s="256" t="n"/>
      <c r="G56" s="256" t="n"/>
      <c r="H56" s="256" t="n"/>
      <c r="I56" s="256" t="n"/>
      <c r="J56" s="256" t="n"/>
    </row>
    <row r="57">
      <c r="A57" s="256" t="n"/>
      <c r="B57" s="256" t="n"/>
      <c r="C57" s="256" t="n"/>
      <c r="D57" s="256" t="n"/>
      <c r="E57" s="256" t="n"/>
      <c r="F57" s="256" t="n"/>
      <c r="G57" s="256" t="n"/>
      <c r="H57" s="256" t="n"/>
      <c r="I57" s="256" t="n"/>
      <c r="J57" s="256" t="n"/>
    </row>
    <row r="58">
      <c r="A58" s="256" t="n"/>
      <c r="B58" s="256" t="n"/>
      <c r="C58" s="256" t="n"/>
      <c r="D58" s="256" t="n"/>
      <c r="E58" s="256" t="n"/>
      <c r="F58" s="256" t="n"/>
      <c r="G58" s="256" t="n"/>
      <c r="H58" s="256" t="n"/>
      <c r="I58" s="256" t="n"/>
      <c r="J58" s="256" t="n"/>
    </row>
  </sheetData>
  <mergeCells count="3">
    <mergeCell ref="A1:J1"/>
    <mergeCell ref="A2:G2"/>
    <mergeCell ref="A49:J49"/>
  </mergeCells>
  <hyperlinks>
    <hyperlink xmlns:r="http://schemas.openxmlformats.org/officeDocument/2006/relationships" ref="B6" r:id="rId1"/>
  </hyperlinks>
  <pageMargins left="0.7" right="0.7" top="0.75" bottom="0.75" header="0.3" footer="0.3"/>
</worksheet>
</file>

<file path=xl/worksheets/sheet4.xml><?xml version="1.0" encoding="utf-8"?>
<worksheet xmlns="http://schemas.openxmlformats.org/spreadsheetml/2006/main">
  <sheetPr codeName="Sheet4">
    <tabColor rgb="FF002060"/>
    <outlinePr summaryBelow="1" summaryRight="1"/>
    <pageSetUpPr/>
  </sheetPr>
  <dimension ref="A1:J53"/>
  <sheetViews>
    <sheetView showGridLines="0" workbookViewId="0">
      <selection activeCell="D9" sqref="D9"/>
    </sheetView>
  </sheetViews>
  <sheetFormatPr baseColWidth="8" defaultRowHeight="14.4"/>
  <cols>
    <col width="31.44140625" customWidth="1" style="1262" min="1" max="1"/>
    <col width="17.6640625" customWidth="1" style="1262" min="2" max="2"/>
    <col width="29.21875" customWidth="1" style="1262" min="3" max="3"/>
    <col width="30.77734375" customWidth="1" style="1262" min="4" max="4"/>
    <col width="27.88671875" customWidth="1" style="1262" min="5" max="5"/>
    <col width="8.88671875" customWidth="1" style="1262" min="6" max="8"/>
    <col width="42" customWidth="1" style="1262" min="9" max="9"/>
    <col width="10.33203125" bestFit="1" customWidth="1" style="1262" min="10" max="10"/>
    <col width="8.88671875" customWidth="1" style="1262" min="11" max="16384"/>
  </cols>
  <sheetData>
    <row r="1" ht="25.8" customHeight="1">
      <c r="A1" s="1133" t="inlineStr">
        <is>
          <t>FORECAST HORIZON</t>
        </is>
      </c>
    </row>
    <row r="2">
      <c r="A2" s="1136" t="inlineStr">
        <is>
          <t>Industry Financial Model  |  Indian Steel Industry  |  Horizon FY2027E-FY2033E  |  Base year FY2026A</t>
        </is>
      </c>
    </row>
    <row r="3" ht="13.8" customFormat="1" customHeight="1" s="114">
      <c r="A3" s="174" t="n"/>
      <c r="B3" s="174" t="n"/>
      <c r="C3" s="174" t="n"/>
      <c r="D3" s="174" t="n"/>
      <c r="E3" s="174" t="n"/>
      <c r="F3" s="174" t="n"/>
    </row>
    <row r="4" ht="16.2" customFormat="1" customHeight="1" s="114" thickBot="1">
      <c r="A4" s="1157" t="inlineStr">
        <is>
          <t>Forecast Horizon Decision</t>
        </is>
      </c>
      <c r="B4" s="444" t="n"/>
      <c r="C4" s="174" t="n"/>
      <c r="D4" s="174" t="n"/>
      <c r="E4" s="174" t="n"/>
      <c r="F4" s="174" t="n"/>
    </row>
    <row r="5" ht="15.6" customFormat="1" customHeight="1" s="114" thickBot="1" thickTop="1">
      <c r="A5" s="438" t="inlineStr">
        <is>
          <t>Field</t>
        </is>
      </c>
      <c r="B5" s="439" t="inlineStr">
        <is>
          <t>Value</t>
        </is>
      </c>
      <c r="C5" s="174" t="n"/>
      <c r="D5" s="174" t="n"/>
      <c r="E5" s="174" t="n"/>
      <c r="F5" s="174" t="n"/>
    </row>
    <row r="6" ht="15" customFormat="1" customHeight="1" s="114" thickTop="1">
      <c r="A6" s="206" t="inlineStr">
        <is>
          <t>Historical Period</t>
        </is>
      </c>
      <c r="B6" s="227" t="inlineStr">
        <is>
          <t>FY2021A – FY2026A</t>
        </is>
      </c>
      <c r="C6" s="174" t="n"/>
      <c r="D6" s="174" t="n"/>
      <c r="E6" s="174" t="n"/>
      <c r="F6" s="174" t="n"/>
    </row>
    <row r="7" customFormat="1" s="114">
      <c r="A7" s="207" t="inlineStr">
        <is>
          <t>Forecast Period</t>
        </is>
      </c>
      <c r="B7" s="228" t="inlineStr">
        <is>
          <t>FY2027E – FY2033E</t>
        </is>
      </c>
      <c r="C7" s="174" t="n"/>
      <c r="D7" s="174" t="n"/>
      <c r="E7" s="174" t="n"/>
      <c r="F7" s="174" t="n"/>
    </row>
    <row r="8" customFormat="1" s="114">
      <c r="A8" s="207" t="inlineStr">
        <is>
          <t>Forecast Horizon</t>
        </is>
      </c>
      <c r="B8" s="228" t="inlineStr">
        <is>
          <t>7 Years</t>
        </is>
      </c>
      <c r="C8" s="174" t="n"/>
      <c r="D8" s="174" t="n"/>
      <c r="E8" s="174" t="n"/>
      <c r="F8" s="174" t="n"/>
    </row>
    <row r="9" customFormat="1" s="114">
      <c r="A9" s="207" t="inlineStr">
        <is>
          <t>Base Year</t>
        </is>
      </c>
      <c r="B9" s="228" t="inlineStr">
        <is>
          <t>FY2026A</t>
        </is>
      </c>
      <c r="C9" s="174" t="n"/>
      <c r="D9" s="174" t="n"/>
      <c r="E9" s="174" t="n"/>
      <c r="F9" s="174" t="n"/>
    </row>
    <row r="10" ht="15" customFormat="1" customHeight="1" s="114" thickBot="1">
      <c r="A10" s="208" t="inlineStr">
        <is>
          <t>Terminal Year</t>
        </is>
      </c>
      <c r="B10" s="229" t="inlineStr">
        <is>
          <t>FY2033E</t>
        </is>
      </c>
      <c r="C10" s="174" t="n"/>
      <c r="D10" s="174" t="n"/>
      <c r="E10" s="174" t="n"/>
      <c r="F10" s="174" t="n"/>
    </row>
    <row r="11" ht="13.8" customFormat="1" customHeight="1" s="114">
      <c r="A11" s="174" t="n"/>
      <c r="B11" s="174" t="n"/>
      <c r="C11" s="174" t="n"/>
      <c r="D11" s="174" t="n"/>
      <c r="E11" s="174" t="n"/>
      <c r="F11" s="174" t="n"/>
    </row>
    <row r="12" ht="13.8" customFormat="1" customHeight="1" s="114">
      <c r="A12" s="174" t="n"/>
    </row>
    <row r="13" ht="16.2" customHeight="1" thickBot="1">
      <c r="A13" s="1157" t="inlineStr">
        <is>
          <t>Horizon Comparison</t>
        </is>
      </c>
      <c r="B13" s="444" t="n"/>
      <c r="C13" s="444" t="n"/>
      <c r="D13" s="444" t="n"/>
      <c r="E13" s="444" t="n"/>
      <c r="F13" s="444" t="n"/>
      <c r="G13" s="444" t="n"/>
      <c r="H13" s="444" t="n"/>
      <c r="I13" s="444" t="n"/>
      <c r="J13" s="444" t="n"/>
    </row>
    <row r="14" ht="20.4" customHeight="1" thickBot="1" thickTop="1">
      <c r="A14" s="326" t="inlineStr">
        <is>
          <t>Criterion</t>
        </is>
      </c>
      <c r="B14" s="1273" t="inlineStr">
        <is>
          <t>Weight</t>
        </is>
      </c>
      <c r="C14" s="1278" t="inlineStr">
        <is>
          <t>5-Year (FY2027-FY2031)</t>
        </is>
      </c>
      <c r="D14" s="1278" t="inlineStr">
        <is>
          <t>7-Year (FY2027-FY2033)</t>
        </is>
      </c>
      <c r="E14" s="1278" t="inlineStr">
        <is>
          <t>10-Year (FY2027-FY2036)</t>
        </is>
      </c>
      <c r="F14" s="1278" t="inlineStr">
        <is>
          <t>Score 5Y</t>
        </is>
      </c>
      <c r="G14" s="1273" t="inlineStr">
        <is>
          <t>Score 7Y</t>
        </is>
      </c>
      <c r="H14" s="1273" t="inlineStr">
        <is>
          <t>Score 10Y</t>
        </is>
      </c>
      <c r="I14" s="1278" t="inlineStr">
        <is>
          <t>Basis of assessment / evidence</t>
        </is>
      </c>
      <c r="J14" s="1274" t="inlineStr">
        <is>
          <t>Audit Code</t>
        </is>
      </c>
    </row>
    <row r="15" ht="60.6" customHeight="1" thickTop="1">
      <c r="A15" s="429" t="inlineStr">
        <is>
          <t>Coverage of the announced capacity pipeline</t>
        </is>
      </c>
      <c r="B15" s="1345" t="n">
        <v>0.25</v>
      </c>
      <c r="C15" s="430" t="inlineStr">
        <is>
          <t>Ends FY2031, exactly the terminal year of the announced pipeline. Captures 100% of commissioning but 0 years of post-commissioning ramp.</t>
        </is>
      </c>
      <c r="D15" s="430" t="inlineStr">
        <is>
          <t>Ends FY2033. Captures 100% of commissioning PLUS a 2-year ramp tail, so the terminal year reflects normalised rather than ramping utilisation.</t>
        </is>
      </c>
      <c r="E15" s="430" t="inlineStr">
        <is>
          <t>Ends FY2036, five years beyond the last dated project. Years 8-10 have no project-level visibility and become pure extrapolation.</t>
        </is>
      </c>
      <c r="F15" s="1346" t="n">
        <v>3</v>
      </c>
      <c r="G15" s="1346" t="n">
        <v>5</v>
      </c>
      <c r="H15" s="1346" t="n">
        <v>2</v>
      </c>
      <c r="I15" s="430" t="inlineStr">
        <is>
          <t>Dated pipeline in the Master Database terminates FY2031: POSCO-JSW 6 Mtpa greenfield by 2031, SAIL ~35 Mt ambition by FY2031, PLI 1.2 capacity 8.7 Mt by FY2031, National Steel Policy 2017 target year FY2031. No credible dated project extends beyond FY2031.</t>
        </is>
      </c>
      <c r="J15" s="432" t="n"/>
    </row>
    <row r="16" ht="72" customHeight="1">
      <c r="A16" s="423" t="inlineStr">
        <is>
          <t>Terminal year is a normalised, valuation-usable year</t>
        </is>
      </c>
      <c r="B16" s="1347" t="n">
        <v>0.25</v>
      </c>
      <c r="C16" s="1187" t="inlineStr">
        <is>
          <t>NO. Capacity commissioned FY2030-FY2031 is still ramping in FY2031, so terminal-year utilisation is artificially depressed and a terminal value struck there is understated.</t>
        </is>
      </c>
      <c r="D16" s="1187" t="inlineStr">
        <is>
          <t>YES. The FY2030-FY2031 capacity cohort reaches normalised utilisation by FY2033 on a 2-3 year ramp, so the terminal year is a fair steady state.</t>
        </is>
      </c>
      <c r="E16" s="1187" t="inlineStr">
        <is>
          <t>YES but redundant - steady state is already reached by FY2033, so FY2034-FY2036 add extrapolation risk without adding information.</t>
        </is>
      </c>
      <c r="F16" s="1348" t="n">
        <v>1</v>
      </c>
      <c r="G16" s="1348" t="n">
        <v>5</v>
      </c>
      <c r="H16" s="1348" t="n">
        <v>4</v>
      </c>
      <c r="I16" s="1187" t="inlineStr">
        <is>
          <t>Greenfield and large brownfield Indian steel capacity historically takes 2-3 years from commissioning to normalised utilisation. Observed in the database: NMDC Steel Nagarnar (3 Mtpa) produced 1.471 Mt in FY2025 and 2.382 Mt in FY2026, i.e. ~79% of nameplate in year 3+; RINL required a full year to recover to 5.43 Mt.</t>
        </is>
      </c>
      <c r="J16" s="424" t="n"/>
    </row>
    <row r="17" ht="96" customHeight="1">
      <c r="A17" s="423" t="inlineStr">
        <is>
          <t>Coverage of a complete industry cycle</t>
        </is>
      </c>
      <c r="B17" s="1347" t="n">
        <v>0.2</v>
      </c>
      <c r="C17" s="1187" t="inlineStr">
        <is>
          <t>~0.7 cycles. Truncates the cycle, so the average forecast year is not cycle-neutral and the result is highly sensitive to where the start point sits in the cycle.</t>
        </is>
      </c>
      <c r="D17" s="1187" t="inlineStr">
        <is>
          <t>~1.0 cycle. The forecast average is approximately cycle-neutral, which is the property a mid-cycle valuation requires.</t>
        </is>
      </c>
      <c r="E17" s="1187" t="inlineStr">
        <is>
          <t>~1.4 cycles. Cycle-neutral but the second partial cycle is unforecastable in its timing.</t>
        </is>
      </c>
      <c r="F17" s="1348" t="n">
        <v>2</v>
      </c>
      <c r="G17" s="1348" t="n">
        <v>5</v>
      </c>
      <c r="H17" s="1348" t="n">
        <v>3</v>
      </c>
      <c r="I17" s="1187" t="inlineStr">
        <is>
          <t>Observed cycle length in the database: standardised EBITDA margin for Tata Steel peaked at 26% in FY2022, troughed at 10% in FY2024 and recovered to 15% in FY2026 - a 4-year peak-to-trough leg implying a ~7-8 year full cycle. Coking coal peaked at US$354/t in Oct-2023 and troughed at ~US$175/t in Mar-2025; iron ore peaked at US$155.52/dmt in FY2022 and troughed at US$100.52/dmt in FY2026.</t>
        </is>
      </c>
      <c r="J17" s="424" t="n"/>
    </row>
    <row r="18" ht="48" customHeight="1">
      <c r="A18" s="423" t="inlineStr">
        <is>
          <t>Reliability of the macro anchor</t>
        </is>
      </c>
      <c r="B18" s="1347" t="n">
        <v>0.15</v>
      </c>
      <c r="C18" s="1187" t="inlineStr">
        <is>
          <t>Strong. RBI publishes an explicit FY2027 projection and the IMF medium-term path is credible to roughly 5 years.</t>
        </is>
      </c>
      <c r="D18" s="1187" t="inlineStr">
        <is>
          <t>Adequate. Years 6-7 rely on a converging steady-state growth assumption rather than a published projection, which is disclosed and sensitised.</t>
        </is>
      </c>
      <c r="E18" s="1187" t="inlineStr">
        <is>
          <t>Weak. Years 8-10 require a GDP path with no institutional publisher support at all.</t>
        </is>
      </c>
      <c r="F18" s="1348" t="n">
        <v>5</v>
      </c>
      <c r="G18" s="1348" t="n">
        <v>4</v>
      </c>
      <c r="H18" s="1348" t="n">
        <v>2</v>
      </c>
      <c r="I18" s="1187" t="inlineStr">
        <is>
          <t>RBI's June-2026 MPC projects FY2027 real GDP growth at 6.6%. No official Indian source publishes a real GDP path beyond roughly 5 years, so any year past FY2031 is the modeller's own convergence assumption.</t>
        </is>
      </c>
      <c r="J18" s="424" t="n"/>
    </row>
    <row r="19" ht="48" customHeight="1">
      <c r="A19" s="423" t="inlineStr">
        <is>
          <t>Usability for DCF terminal value</t>
        </is>
      </c>
      <c r="B19" s="1347" t="n">
        <v>0.15</v>
      </c>
      <c r="C19" s="1187" t="inlineStr">
        <is>
          <t>Poor. A terminal value struck on a non-normalised year requires a manual mid-cycle adjustment, which defeats the purpose of an explicit forecast period.</t>
        </is>
      </c>
      <c r="D19" s="1187" t="inlineStr">
        <is>
          <t>Good. Terminal value can be struck directly off FY2033 with no manual normalisation.</t>
        </is>
      </c>
      <c r="E19" s="1187" t="inlineStr">
        <is>
          <t>Good but the incremental years add estimation error to the discounted stub, where their present-value weight is small.</t>
        </is>
      </c>
      <c r="F19" s="1348" t="n">
        <v>2</v>
      </c>
      <c r="G19" s="1348" t="n">
        <v>5</v>
      </c>
      <c r="H19" s="1348" t="n">
        <v>3</v>
      </c>
      <c r="I19" s="1187" t="inlineStr">
        <is>
          <t>At a ~12% nominal WACC the present-value weight of forecast years 8-10 is under 12% of total enterprise value, so extending the horizon adds materially more estimation error than valuation information.</t>
        </is>
      </c>
      <c r="J19" s="424" t="n"/>
    </row>
    <row r="20" ht="36.6" customHeight="1" thickBot="1">
      <c r="A20" s="425" t="inlineStr">
        <is>
          <t>WEIGHTED TOTAL</t>
        </is>
      </c>
      <c r="B20" s="1349">
        <f>SUM(B15:B19)</f>
        <v/>
      </c>
      <c r="C20" s="1201" t="n"/>
      <c r="D20" s="1201" t="n"/>
      <c r="E20" s="1201" t="n"/>
      <c r="F20" s="1350">
        <f>SUMPRODUCT($B$15:$B$19,F15:F19)</f>
        <v/>
      </c>
      <c r="G20" s="1350">
        <f>SUMPRODUCT($B$15:$B$19,G15:G19)</f>
        <v/>
      </c>
      <c r="H20" s="1350">
        <f>SUMPRODUCT($B$15:$B$19,H15:H19)</f>
        <v/>
      </c>
      <c r="I20" s="427" t="inlineStr">
        <is>
          <t>Live formula. The 7-year option wins on four of five criteria and ties on none; it loses only on macro-anchor reliability, where the 5-year option is stronger.</t>
        </is>
      </c>
      <c r="J20" s="428" t="inlineStr">
        <is>
          <t>FH01</t>
        </is>
      </c>
    </row>
    <row r="23" ht="15.6" customHeight="1">
      <c r="A23" s="1184" t="inlineStr">
        <is>
          <t>Scope</t>
        </is>
      </c>
    </row>
    <row r="24">
      <c r="A24" s="180" t="inlineStr">
        <is>
          <t>This model forecasts:</t>
        </is>
      </c>
    </row>
    <row r="25">
      <c r="A25" s="230" t="inlineStr">
        <is>
          <t>Steel demand</t>
        </is>
      </c>
    </row>
    <row r="26">
      <c r="A26" s="230" t="inlineStr">
        <is>
          <t>Steel supply</t>
        </is>
      </c>
    </row>
    <row r="27">
      <c r="A27" s="230" t="inlineStr">
        <is>
          <t>Installed capacity</t>
        </is>
      </c>
    </row>
    <row r="28">
      <c r="A28" s="230" t="inlineStr">
        <is>
          <t>Capacity utilisation</t>
        </is>
      </c>
    </row>
    <row r="29">
      <c r="A29" s="230" t="inlineStr">
        <is>
          <t>Steel prices</t>
        </is>
      </c>
    </row>
    <row r="30">
      <c r="A30" s="230" t="inlineStr">
        <is>
          <t>Raw material prices</t>
        </is>
      </c>
    </row>
    <row r="31">
      <c r="A31" s="230" t="inlineStr">
        <is>
          <t>Revenue</t>
        </is>
      </c>
    </row>
    <row r="32">
      <c r="A32" s="230" t="inlineStr">
        <is>
          <t>EBITDA</t>
        </is>
      </c>
    </row>
    <row r="33">
      <c r="A33" s="230" t="inlineStr">
        <is>
          <t>Margins</t>
        </is>
      </c>
    </row>
    <row r="34">
      <c r="A34" s="230" t="inlineStr">
        <is>
          <t>Working capital</t>
        </is>
      </c>
    </row>
    <row r="35">
      <c r="A35" s="230" t="inlineStr">
        <is>
          <t>Cash flow</t>
        </is>
      </c>
    </row>
    <row r="36">
      <c r="A36" s="230" t="inlineStr">
        <is>
          <t>Sector valuation metrics</t>
        </is>
      </c>
    </row>
    <row r="39" ht="16.2" customHeight="1" thickBot="1">
      <c r="A39" s="1157" t="inlineStr">
        <is>
          <t>Review Policy</t>
        </is>
      </c>
      <c r="B39" s="444" t="n"/>
    </row>
    <row r="40" ht="15.6" customHeight="1" thickBot="1" thickTop="1">
      <c r="A40" s="436" t="inlineStr">
        <is>
          <t>Item</t>
        </is>
      </c>
      <c r="B40" s="437" t="inlineStr">
        <is>
          <t>Frequency</t>
        </is>
      </c>
    </row>
    <row r="41" ht="15" customHeight="1" thickTop="1">
      <c r="A41" s="207" t="inlineStr">
        <is>
          <t>Forecast Horizon</t>
        </is>
      </c>
      <c r="B41" s="1200" t="inlineStr">
        <is>
          <t>Annual</t>
        </is>
      </c>
    </row>
    <row r="42">
      <c r="A42" s="207" t="inlineStr">
        <is>
          <t>Base Year Roll Forward</t>
        </is>
      </c>
      <c r="B42" s="1200" t="inlineStr">
        <is>
          <t>Annual</t>
        </is>
      </c>
    </row>
    <row r="43">
      <c r="A43" s="207" t="inlineStr">
        <is>
          <t>Historical Data Update</t>
        </is>
      </c>
      <c r="B43" s="1200" t="inlineStr">
        <is>
          <t>Quarterly</t>
        </is>
      </c>
    </row>
    <row r="44">
      <c r="A44" s="207" t="inlineStr">
        <is>
          <t>Assumption Review</t>
        </is>
      </c>
      <c r="B44" s="1200" t="inlineStr">
        <is>
          <t>Quarterly</t>
        </is>
      </c>
    </row>
    <row r="45" ht="15" customHeight="1" thickBot="1">
      <c r="A45" s="208" t="inlineStr">
        <is>
          <t>Full Model Review</t>
        </is>
      </c>
      <c r="B45" s="1202" t="inlineStr">
        <is>
          <t>Annual</t>
        </is>
      </c>
    </row>
    <row r="48">
      <c r="A48" s="1155" t="inlineStr">
        <is>
          <t>FY21A  FY22A  FY23A  FY24A  FY25A  FY26A | FY27E  FY28E  FY29E  FY30E  FY31E  FY32E  FY33E</t>
        </is>
      </c>
    </row>
    <row r="49">
      <c r="A49" s="1156" t="inlineStr">
        <is>
          <t>Historical (Actual)                    |                                      Forecast</t>
        </is>
      </c>
    </row>
    <row r="50">
      <c r="A50" s="1156" t="n"/>
      <c r="B50" s="1156" t="n"/>
      <c r="C50" s="1156" t="n"/>
      <c r="D50" s="1156" t="n"/>
      <c r="E50" s="1156" t="n"/>
    </row>
    <row r="51">
      <c r="A51" s="1156" t="n"/>
      <c r="B51" s="1156" t="n"/>
      <c r="C51" s="1156" t="n"/>
      <c r="D51" s="1156" t="n"/>
      <c r="E51" s="1156" t="n"/>
    </row>
    <row r="52">
      <c r="A52" s="1156" t="n"/>
      <c r="B52" s="1156" t="n"/>
      <c r="C52" s="1156" t="n"/>
      <c r="D52" s="1156" t="n"/>
      <c r="E52" s="1156" t="n"/>
    </row>
    <row r="53">
      <c r="A53" s="1156" t="n"/>
      <c r="B53" s="1156" t="n"/>
      <c r="C53" s="1156" t="n"/>
      <c r="D53" s="1156" t="n"/>
      <c r="E53" s="1156" t="n"/>
    </row>
  </sheetData>
  <mergeCells count="7">
    <mergeCell ref="A4:B4"/>
    <mergeCell ref="A2:F2"/>
    <mergeCell ref="A48:E48"/>
    <mergeCell ref="A1:I1"/>
    <mergeCell ref="A49:E49"/>
    <mergeCell ref="A39:B39"/>
    <mergeCell ref="A13:J13"/>
  </mergeCells>
  <pageMargins left="0.7" right="0.7" top="0.75" bottom="0.75" header="0.3" footer="0.3"/>
</worksheet>
</file>

<file path=xl/worksheets/sheet5.xml><?xml version="1.0" encoding="utf-8"?>
<worksheet xmlns="http://schemas.openxmlformats.org/spreadsheetml/2006/main">
  <sheetPr codeName="Sheet5">
    <tabColor rgb="FF002060"/>
    <outlinePr summaryBelow="1" summaryRight="1"/>
    <pageSetUpPr/>
  </sheetPr>
  <dimension ref="A1:M55"/>
  <sheetViews>
    <sheetView showGridLines="0" workbookViewId="0">
      <selection activeCell="E17" sqref="E17"/>
    </sheetView>
  </sheetViews>
  <sheetFormatPr baseColWidth="8" defaultRowHeight="14.4"/>
  <cols>
    <col width="45.109375" customWidth="1" min="1" max="1"/>
    <col width="26.77734375" customWidth="1" min="2" max="2"/>
    <col width="13" customWidth="1" min="3" max="3"/>
    <col width="16" customWidth="1" min="4" max="4"/>
    <col width="18.88671875" customWidth="1" min="5" max="5"/>
    <col width="13" customWidth="1" min="6" max="6"/>
    <col width="20.44140625" customWidth="1" min="7" max="7"/>
    <col width="15.21875" customWidth="1" min="8" max="8"/>
    <col width="13" customWidth="1" min="9" max="10"/>
    <col width="12" customWidth="1" min="11" max="11"/>
    <col width="10.44140625" customWidth="1" min="12" max="12"/>
  </cols>
  <sheetData>
    <row r="1" ht="25.8" customHeight="1">
      <c r="A1" s="1133" t="inlineStr">
        <is>
          <t>CONTROL PANEL</t>
        </is>
      </c>
    </row>
    <row r="2">
      <c r="A2" s="1159" t="inlineStr">
        <is>
          <t>Industry Financial Model  |  Indian Steel Industry  |  Horizon FY2027E-FY2033E  |  Base year FY2026A</t>
        </is>
      </c>
    </row>
    <row r="3">
      <c r="A3" s="1159" t="n"/>
      <c r="B3" s="1159" t="n"/>
      <c r="C3" s="1159" t="n"/>
    </row>
    <row r="4" ht="16.2" customHeight="1" thickBot="1">
      <c r="A4" s="1164" t="inlineStr">
        <is>
          <t>Model Information</t>
        </is>
      </c>
      <c r="B4" s="444" t="n"/>
      <c r="D4" s="1164" t="inlineStr">
        <is>
          <t>Global Controls</t>
        </is>
      </c>
      <c r="E4" s="444" t="n"/>
      <c r="G4" s="1164" t="inlineStr">
        <is>
          <t>Workbook Status</t>
        </is>
      </c>
      <c r="H4" s="444" t="n"/>
    </row>
    <row r="5" ht="15.6" customHeight="1" thickBot="1" thickTop="1">
      <c r="A5" s="440" t="inlineStr">
        <is>
          <t>Parameter</t>
        </is>
      </c>
      <c r="B5" s="441" t="inlineStr">
        <is>
          <t>Value</t>
        </is>
      </c>
      <c r="D5" s="440" t="inlineStr">
        <is>
          <t>Settings</t>
        </is>
      </c>
      <c r="E5" s="443" t="inlineStr">
        <is>
          <t>Value</t>
        </is>
      </c>
      <c r="G5" s="440" t="inlineStr">
        <is>
          <t>Check</t>
        </is>
      </c>
      <c r="H5" s="443" t="inlineStr">
        <is>
          <t>Status</t>
        </is>
      </c>
    </row>
    <row r="6" ht="15" customHeight="1" thickTop="1">
      <c r="A6" s="233" t="inlineStr">
        <is>
          <t>Model Name</t>
        </is>
      </c>
      <c r="B6" s="234" t="inlineStr">
        <is>
          <t>Indian Steel Industry Financial Model</t>
        </is>
      </c>
      <c r="D6" s="233" t="inlineStr">
        <is>
          <t>Scenario</t>
        </is>
      </c>
      <c r="E6" s="240">
        <f>E17</f>
        <v/>
      </c>
      <c r="G6" s="245" t="inlineStr">
        <is>
          <t>Database Connected</t>
        </is>
      </c>
      <c r="H6" s="449">
        <f>IF(COUNT('Model Calibration'!$D$10:$D$14)=5,"OK","CHECK")</f>
        <v/>
      </c>
    </row>
    <row r="7" ht="13.8" customHeight="1">
      <c r="A7" s="231" t="inlineStr">
        <is>
          <t>Version</t>
        </is>
      </c>
      <c r="B7" s="1351" t="n">
        <v>1</v>
      </c>
      <c r="D7" s="231" t="inlineStr">
        <is>
          <t>Currency Display</t>
        </is>
      </c>
      <c r="E7" s="1352" t="inlineStr">
        <is>
          <t>INR</t>
        </is>
      </c>
      <c r="G7" s="246" t="inlineStr">
        <is>
          <t>Assumptions Complete</t>
        </is>
      </c>
      <c r="H7" s="450">
        <f>IF(COUNT('Model Assumptions'!$E$8:$K$33)=182,"OK","CHECK")</f>
        <v/>
      </c>
    </row>
    <row r="8">
      <c r="A8" s="231" t="inlineStr">
        <is>
          <t>Status</t>
        </is>
      </c>
      <c r="B8" s="236" t="inlineStr">
        <is>
          <t>Final</t>
        </is>
      </c>
      <c r="D8" s="231" t="inlineStr">
        <is>
          <t>Number Format</t>
        </is>
      </c>
      <c r="E8" s="242" t="inlineStr">
        <is>
          <t>Crore</t>
        </is>
      </c>
      <c r="G8" s="246" t="inlineStr">
        <is>
          <t>Calibration Complete</t>
        </is>
      </c>
      <c r="H8" s="450">
        <f>IF(AND(ISNUMBER('Model Calibration'!$D$19),ISNUMBER('Model Calibration'!$D$21),ABS('Model Calibration'!$D$19-'Model Calibration'!$D$21-'Model Calibration'!$D$20)&lt;1),"OK","CHECK")</f>
        <v/>
      </c>
    </row>
    <row r="9">
      <c r="A9" s="231" t="inlineStr">
        <is>
          <t>Last Uploaded</t>
        </is>
      </c>
      <c r="B9" s="237">
        <f>TODAY()</f>
        <v/>
      </c>
      <c r="D9" s="231" t="inlineStr">
        <is>
          <t>Forecast Year</t>
        </is>
      </c>
      <c r="E9" s="243" t="n">
        <v>7</v>
      </c>
      <c r="G9" s="246" t="inlineStr">
        <is>
          <t>Forecast Built</t>
        </is>
      </c>
      <c r="H9" s="450">
        <f>IF(COUNT('EBITDA Model'!$D$103:$J$103)=7,"OK","CHECK")</f>
        <v/>
      </c>
    </row>
    <row r="10" ht="15" customHeight="1" thickBot="1">
      <c r="A10" s="231" t="inlineStr">
        <is>
          <t>Base Year</t>
        </is>
      </c>
      <c r="B10" s="236" t="inlineStr">
        <is>
          <t>FY2026A</t>
        </is>
      </c>
      <c r="D10" s="231" t="inlineStr">
        <is>
          <t>Steel Price Basis</t>
        </is>
      </c>
      <c r="E10" s="242" t="inlineStr">
        <is>
          <t>Domestic</t>
        </is>
      </c>
      <c r="G10" s="247" t="inlineStr">
        <is>
          <t>Dashboard Updated</t>
        </is>
      </c>
      <c r="H10" s="451">
        <f>IF(COUNT('Industry Dashboard'!$D$32:$J$32)=7,"OK","CHECK")</f>
        <v/>
      </c>
    </row>
    <row r="11" ht="15" customHeight="1" thickBot="1">
      <c r="A11" s="231" t="inlineStr">
        <is>
          <t>Forecast Horizon</t>
        </is>
      </c>
      <c r="B11" s="236" t="inlineStr">
        <is>
          <t>FY2027E-FY2033E</t>
        </is>
      </c>
      <c r="D11" s="232" t="inlineStr">
        <is>
          <t>Inflation Basis</t>
        </is>
      </c>
      <c r="E11" s="244" t="inlineStr">
        <is>
          <t>CPI</t>
        </is>
      </c>
    </row>
    <row r="12">
      <c r="A12" s="231" t="inlineStr">
        <is>
          <t>Currency</t>
        </is>
      </c>
      <c r="B12" s="236" t="inlineStr">
        <is>
          <t>INR</t>
        </is>
      </c>
    </row>
    <row r="13" ht="15" customHeight="1" thickBot="1">
      <c r="A13" s="232" t="inlineStr">
        <is>
          <t>Reporting Basis</t>
        </is>
      </c>
      <c r="B13" s="238" t="inlineStr">
        <is>
          <t>Consolidated</t>
        </is>
      </c>
    </row>
    <row r="14">
      <c r="A14" s="1149" t="n"/>
    </row>
    <row r="15" ht="15" customHeight="1" thickBot="1">
      <c r="A15" s="1149" t="n"/>
    </row>
    <row r="16" ht="16.2" customHeight="1" thickBot="1">
      <c r="A16" s="1164" t="inlineStr">
        <is>
          <t>Quick Navigation</t>
        </is>
      </c>
      <c r="B16" s="444" t="n"/>
      <c r="D16" s="1353" t="inlineStr">
        <is>
          <t>SCENARIO SELECTOR</t>
        </is>
      </c>
      <c r="E16" s="1354" t="n"/>
    </row>
    <row r="17" ht="15.6" customHeight="1" thickBot="1" thickTop="1">
      <c r="A17" s="440" t="inlineStr">
        <is>
          <t>Module</t>
        </is>
      </c>
      <c r="B17" s="445" t="inlineStr">
        <is>
          <t>Link</t>
        </is>
      </c>
      <c r="D17" s="252" t="inlineStr">
        <is>
          <t>Active scenario</t>
        </is>
      </c>
      <c r="E17" s="255" t="inlineStr">
        <is>
          <t>Base Case</t>
        </is>
      </c>
      <c r="F17" s="1159" t="n"/>
    </row>
    <row r="18" ht="15.6" customHeight="1" thickBot="1" thickTop="1">
      <c r="A18" s="206" t="inlineStr">
        <is>
          <t>Database Import</t>
        </is>
      </c>
      <c r="B18" s="446" t="inlineStr">
        <is>
          <t>Go →</t>
        </is>
      </c>
      <c r="D18" s="253" t="inlineStr">
        <is>
          <t>Scenario Index</t>
        </is>
      </c>
      <c r="E18" s="1355">
        <f>MATCH(E$17,E$20:E$23,0)</f>
        <v/>
      </c>
      <c r="F18" s="1159" t="n"/>
    </row>
    <row r="19">
      <c r="A19" s="207" t="inlineStr">
        <is>
          <t>Model Assumptions</t>
        </is>
      </c>
      <c r="B19" s="447" t="inlineStr">
        <is>
          <t>Go →</t>
        </is>
      </c>
    </row>
    <row r="20">
      <c r="A20" s="207" t="inlineStr">
        <is>
          <t>Model Calibration</t>
        </is>
      </c>
      <c r="B20" s="447" t="inlineStr">
        <is>
          <t>Go →</t>
        </is>
      </c>
      <c r="D20" s="17" t="inlineStr">
        <is>
          <t xml:space="preserve">  1.</t>
        </is>
      </c>
      <c r="E20" s="11" t="inlineStr">
        <is>
          <t>Base Case</t>
        </is>
      </c>
      <c r="F20" s="1158" t="inlineStr">
        <is>
          <t>Central case. RBI FY2027 GDP of 6.6%, realisation calibrated to a FY2033 industry margin of 16.8%.</t>
        </is>
      </c>
    </row>
    <row r="21">
      <c r="A21" s="207" t="inlineStr">
        <is>
          <t>Macro Model</t>
        </is>
      </c>
      <c r="B21" s="447" t="inlineStr">
        <is>
          <t>Go →</t>
        </is>
      </c>
      <c r="D21" s="17" t="inlineStr">
        <is>
          <t xml:space="preserve">  2.</t>
        </is>
      </c>
      <c r="E21" s="11" t="inlineStr">
        <is>
          <t>Bull Case</t>
        </is>
      </c>
      <c r="F21" s="1158" t="inlineStr">
        <is>
          <t>Demand-led upcycle. Peaks at a 26.0% industry margin in FY2030, matching the FY2022 cycle peak.</t>
        </is>
      </c>
    </row>
    <row r="22">
      <c r="A22" s="207" t="inlineStr">
        <is>
          <t>Demand Model</t>
        </is>
      </c>
      <c r="B22" s="447" t="inlineStr">
        <is>
          <t>Go →</t>
        </is>
      </c>
      <c r="D22" s="17" t="inlineStr">
        <is>
          <t xml:space="preserve">  3.</t>
        </is>
      </c>
      <c r="E22" s="11" t="inlineStr">
        <is>
          <t>Bear Case</t>
        </is>
      </c>
      <c r="F22" s="1158" t="inlineStr">
        <is>
          <t>Demand-led downturn. Raw materials FALL with demand, so margins compress to 7-11% rather than collapsing.</t>
        </is>
      </c>
    </row>
    <row r="23">
      <c r="A23" s="207" t="inlineStr">
        <is>
          <t>Supply Model</t>
        </is>
      </c>
      <c r="B23" s="447" t="inlineStr">
        <is>
          <t>Go →</t>
        </is>
      </c>
      <c r="D23" s="17" t="inlineStr">
        <is>
          <t xml:space="preserve">  4.</t>
        </is>
      </c>
      <c r="E23" s="11" t="inlineStr">
        <is>
          <t>Stress Case</t>
        </is>
      </c>
      <c r="F23" s="1158" t="inlineStr">
        <is>
          <t>Stagflationary supply shock plus demand shock. Coking coal to US$300/t, INR to 113. Troughs at -9.2% in FY2028.</t>
        </is>
      </c>
    </row>
    <row r="24">
      <c r="A24" s="207" t="inlineStr">
        <is>
          <t>Capacity Model</t>
        </is>
      </c>
      <c r="B24" s="447" t="inlineStr">
        <is>
          <t>Go →</t>
        </is>
      </c>
    </row>
    <row r="25">
      <c r="A25" s="207" t="inlineStr">
        <is>
          <t>Price Model</t>
        </is>
      </c>
      <c r="B25" s="447" t="inlineStr">
        <is>
          <t>Go →</t>
        </is>
      </c>
    </row>
    <row r="26">
      <c r="A26" s="207" t="inlineStr">
        <is>
          <t>Revenue Model</t>
        </is>
      </c>
      <c r="B26" s="447" t="inlineStr">
        <is>
          <t>Go →</t>
        </is>
      </c>
    </row>
    <row r="27">
      <c r="A27" s="207" t="inlineStr">
        <is>
          <t>EBITDA Model</t>
        </is>
      </c>
      <c r="B27" s="447" t="inlineStr">
        <is>
          <t>Go →</t>
        </is>
      </c>
    </row>
    <row r="28">
      <c r="A28" s="207" t="inlineStr">
        <is>
          <t>Valuation</t>
        </is>
      </c>
      <c r="B28" s="447" t="inlineStr">
        <is>
          <t>Go →</t>
        </is>
      </c>
    </row>
    <row r="29">
      <c r="A29" s="207" t="inlineStr">
        <is>
          <t>Dashboard</t>
        </is>
      </c>
      <c r="B29" s="447" t="inlineStr">
        <is>
          <t>Go →</t>
        </is>
      </c>
    </row>
    <row r="30">
      <c r="A30" s="207" t="inlineStr">
        <is>
          <t>Audit</t>
        </is>
      </c>
      <c r="B30" s="447" t="inlineStr">
        <is>
          <t>Go →</t>
        </is>
      </c>
    </row>
    <row r="31" ht="15" customHeight="1" thickBot="1">
      <c r="A31" s="208" t="inlineStr">
        <is>
          <t>Sources</t>
        </is>
      </c>
      <c r="B31" s="448" t="inlineStr">
        <is>
          <t>Go →</t>
        </is>
      </c>
    </row>
    <row r="32">
      <c r="A32" s="177" t="n"/>
      <c r="B32" s="239" t="n"/>
    </row>
    <row r="34">
      <c r="A34" s="10" t="inlineStr">
        <is>
          <t>LIVE MODEL OUTPUT - ACTIVE SCENARIO</t>
        </is>
      </c>
    </row>
    <row r="35">
      <c r="A35" s="13" t="inlineStr">
        <is>
          <t>Line item</t>
        </is>
      </c>
      <c r="B35" s="13" t="inlineStr">
        <is>
          <t>Unit</t>
        </is>
      </c>
      <c r="C35" s="18" t="inlineStr">
        <is>
          <t>FY2026A</t>
        </is>
      </c>
      <c r="D35" s="18" t="inlineStr">
        <is>
          <t>FY2027E</t>
        </is>
      </c>
      <c r="E35" s="18" t="inlineStr">
        <is>
          <t>FY2028E</t>
        </is>
      </c>
      <c r="F35" s="18" t="inlineStr">
        <is>
          <t>FY2029E</t>
        </is>
      </c>
      <c r="G35" s="18" t="inlineStr">
        <is>
          <t>FY2030E</t>
        </is>
      </c>
      <c r="H35" s="18" t="inlineStr">
        <is>
          <t>FY2031E</t>
        </is>
      </c>
      <c r="I35" s="18" t="inlineStr">
        <is>
          <t>FY2032E</t>
        </is>
      </c>
      <c r="J35" s="18" t="inlineStr">
        <is>
          <t>FY2033E</t>
        </is>
      </c>
      <c r="K35" s="18" t="inlineStr">
        <is>
          <t>CAGR</t>
        </is>
      </c>
      <c r="L35" s="13" t="inlineStr">
        <is>
          <t>Audit Code</t>
        </is>
      </c>
      <c r="M35" s="13" t="inlineStr">
        <is>
          <t>Source</t>
        </is>
      </c>
    </row>
    <row r="36">
      <c r="A36" s="14" t="inlineStr">
        <is>
          <t>India finished steel consumption</t>
        </is>
      </c>
      <c r="B36" s="12" t="inlineStr">
        <is>
          <t>Mt</t>
        </is>
      </c>
      <c r="C36" s="1356">
        <f>'Steel Demand Model'!C$75</f>
        <v/>
      </c>
      <c r="D36" s="1356">
        <f>'Steel Demand Model'!D$75</f>
        <v/>
      </c>
      <c r="E36" s="1356">
        <f>'Steel Demand Model'!E$75</f>
        <v/>
      </c>
      <c r="F36" s="1356">
        <f>'Steel Demand Model'!F$75</f>
        <v/>
      </c>
      <c r="G36" s="1356">
        <f>'Steel Demand Model'!G$75</f>
        <v/>
      </c>
      <c r="H36" s="1356">
        <f>'Steel Demand Model'!H$75</f>
        <v/>
      </c>
      <c r="I36" s="1356">
        <f>'Steel Demand Model'!I$75</f>
        <v/>
      </c>
      <c r="J36" s="1356">
        <f>'Steel Demand Model'!J$75</f>
        <v/>
      </c>
      <c r="K36" s="1357">
        <f>IFERROR(IF(AND(ISNUMBER(C36),ISNUMBER(J36),C36&gt;0),(J36/C36)^(1/7)-1,""),"")</f>
        <v/>
      </c>
      <c r="L36" s="16" t="inlineStr">
        <is>
          <t>CP01</t>
        </is>
      </c>
      <c r="M36" s="16" t="inlineStr">
        <is>
          <t>04</t>
        </is>
      </c>
    </row>
    <row r="37">
      <c r="A37" s="14" t="inlineStr">
        <is>
          <t>India crude steel production</t>
        </is>
      </c>
      <c r="B37" s="12" t="inlineStr">
        <is>
          <t>Mt</t>
        </is>
      </c>
      <c r="C37" s="1356">
        <f>'Steel Supply Model'!C$88</f>
        <v/>
      </c>
      <c r="D37" s="1356">
        <f>'Steel Supply Model'!D$88</f>
        <v/>
      </c>
      <c r="E37" s="1356">
        <f>'Steel Supply Model'!E$88</f>
        <v/>
      </c>
      <c r="F37" s="1356">
        <f>'Steel Supply Model'!F$88</f>
        <v/>
      </c>
      <c r="G37" s="1356">
        <f>'Steel Supply Model'!G$88</f>
        <v/>
      </c>
      <c r="H37" s="1356">
        <f>'Steel Supply Model'!H$88</f>
        <v/>
      </c>
      <c r="I37" s="1356">
        <f>'Steel Supply Model'!I$88</f>
        <v/>
      </c>
      <c r="J37" s="1356">
        <f>'Steel Supply Model'!J$88</f>
        <v/>
      </c>
      <c r="K37" s="1357">
        <f>IFERROR(IF(AND(ISNUMBER(C37),ISNUMBER(J37),C37&gt;0),(J37/C37)^(1/7)-1,""),"")</f>
        <v/>
      </c>
      <c r="L37" s="16" t="inlineStr">
        <is>
          <t>CP02</t>
        </is>
      </c>
      <c r="M37" s="16" t="inlineStr">
        <is>
          <t>05</t>
        </is>
      </c>
    </row>
    <row r="38">
      <c r="A38" s="14" t="inlineStr">
        <is>
          <t>India crude steel capacity</t>
        </is>
      </c>
      <c r="B38" s="12" t="inlineStr">
        <is>
          <t>Mtpa</t>
        </is>
      </c>
      <c r="C38" s="1356">
        <f>'Capacity Forecast'!C$96</f>
        <v/>
      </c>
      <c r="D38" s="1356">
        <f>'Capacity Forecast'!D$96</f>
        <v/>
      </c>
      <c r="E38" s="1356">
        <f>'Capacity Forecast'!E$96</f>
        <v/>
      </c>
      <c r="F38" s="1356">
        <f>'Capacity Forecast'!F$96</f>
        <v/>
      </c>
      <c r="G38" s="1356">
        <f>'Capacity Forecast'!G$96</f>
        <v/>
      </c>
      <c r="H38" s="1356">
        <f>'Capacity Forecast'!H$96</f>
        <v/>
      </c>
      <c r="I38" s="1356">
        <f>'Capacity Forecast'!I$96</f>
        <v/>
      </c>
      <c r="J38" s="1356">
        <f>'Capacity Forecast'!J$96</f>
        <v/>
      </c>
      <c r="K38" s="1357">
        <f>IFERROR(IF(AND(ISNUMBER(C38),ISNUMBER(J38),C38&gt;0),(J38/C38)^(1/7)-1,""),"")</f>
        <v/>
      </c>
      <c r="L38" s="16" t="inlineStr">
        <is>
          <t>CP03</t>
        </is>
      </c>
      <c r="M38" s="16" t="inlineStr">
        <is>
          <t>06</t>
        </is>
      </c>
    </row>
    <row r="39">
      <c r="A39" s="14" t="inlineStr">
        <is>
          <t>Capacity utilisation</t>
        </is>
      </c>
      <c r="B39" s="12" t="inlineStr">
        <is>
          <t>%</t>
        </is>
      </c>
      <c r="C39" s="1358">
        <f>'Capacity Utilisation'!C$65</f>
        <v/>
      </c>
      <c r="D39" s="1358">
        <f>'Capacity Utilisation'!D$65</f>
        <v/>
      </c>
      <c r="E39" s="1358">
        <f>'Capacity Utilisation'!E$65</f>
        <v/>
      </c>
      <c r="F39" s="1358">
        <f>'Capacity Utilisation'!F$65</f>
        <v/>
      </c>
      <c r="G39" s="1358">
        <f>'Capacity Utilisation'!G$65</f>
        <v/>
      </c>
      <c r="H39" s="1358">
        <f>'Capacity Utilisation'!H$65</f>
        <v/>
      </c>
      <c r="I39" s="1358">
        <f>'Capacity Utilisation'!I$65</f>
        <v/>
      </c>
      <c r="J39" s="1358">
        <f>'Capacity Utilisation'!J$65</f>
        <v/>
      </c>
      <c r="K39" s="1357">
        <f>IFERROR(IF(AND(ISNUMBER(C39),ISNUMBER(J39),C39&gt;0),(J39/C39)^(1/7)-1,""),"")</f>
        <v/>
      </c>
      <c r="L39" s="16" t="inlineStr">
        <is>
          <t>CP04</t>
        </is>
      </c>
      <c r="M39" s="16" t="inlineStr">
        <is>
          <t>08</t>
        </is>
      </c>
    </row>
    <row r="40">
      <c r="A40" s="14" t="inlineStr">
        <is>
          <t>Blended realisation</t>
        </is>
      </c>
      <c r="B40" s="12" t="inlineStr">
        <is>
          <t>Rs/t</t>
        </is>
      </c>
      <c r="C40" s="1359">
        <f>'Steel Price Forecast'!C$72</f>
        <v/>
      </c>
      <c r="D40" s="1359">
        <f>'Steel Price Forecast'!D$72</f>
        <v/>
      </c>
      <c r="E40" s="1359">
        <f>'Steel Price Forecast'!E$72</f>
        <v/>
      </c>
      <c r="F40" s="1359">
        <f>'Steel Price Forecast'!F$72</f>
        <v/>
      </c>
      <c r="G40" s="1359">
        <f>'Steel Price Forecast'!G$72</f>
        <v/>
      </c>
      <c r="H40" s="1359">
        <f>'Steel Price Forecast'!H$72</f>
        <v/>
      </c>
      <c r="I40" s="1359">
        <f>'Steel Price Forecast'!I$72</f>
        <v/>
      </c>
      <c r="J40" s="1359">
        <f>'Steel Price Forecast'!J$72</f>
        <v/>
      </c>
      <c r="K40" s="1357">
        <f>IFERROR(IF(AND(ISNUMBER(C40),ISNUMBER(J40),C40&gt;0),(J40/C40)^(1/7)-1,""),"")</f>
        <v/>
      </c>
      <c r="L40" s="16" t="inlineStr">
        <is>
          <t>CP05</t>
        </is>
      </c>
      <c r="M40" s="16" t="inlineStr">
        <is>
          <t>09</t>
        </is>
      </c>
    </row>
    <row r="41">
      <c r="A41" s="14" t="inlineStr">
        <is>
          <t>Cash cost per tonne</t>
        </is>
      </c>
      <c r="B41" s="12" t="inlineStr">
        <is>
          <t>Rs/t</t>
        </is>
      </c>
      <c r="C41" s="1359">
        <f>'Cost Curve'!C$65</f>
        <v/>
      </c>
      <c r="D41" s="1359">
        <f>'Cost Curve'!D$65</f>
        <v/>
      </c>
      <c r="E41" s="1359">
        <f>'Cost Curve'!E$65</f>
        <v/>
      </c>
      <c r="F41" s="1359">
        <f>'Cost Curve'!F$65</f>
        <v/>
      </c>
      <c r="G41" s="1359">
        <f>'Cost Curve'!G$65</f>
        <v/>
      </c>
      <c r="H41" s="1359">
        <f>'Cost Curve'!H$65</f>
        <v/>
      </c>
      <c r="I41" s="1359">
        <f>'Cost Curve'!I$65</f>
        <v/>
      </c>
      <c r="J41" s="1359">
        <f>'Cost Curve'!J$65</f>
        <v/>
      </c>
      <c r="K41" s="1357">
        <f>IFERROR(IF(AND(ISNUMBER(C41),ISNUMBER(J41),C41&gt;0),(J41/C41)^(1/7)-1,""),"")</f>
        <v/>
      </c>
      <c r="L41" s="16" t="inlineStr">
        <is>
          <t>CP06</t>
        </is>
      </c>
      <c r="M41" s="16" t="inlineStr">
        <is>
          <t>11</t>
        </is>
      </c>
    </row>
    <row r="42">
      <c r="A42" s="14" t="inlineStr">
        <is>
          <t>EBITDA per tonne</t>
        </is>
      </c>
      <c r="B42" s="12" t="inlineStr">
        <is>
          <t>Rs/t</t>
        </is>
      </c>
      <c r="C42" s="1359">
        <f>'EBITDA Model'!C$101</f>
        <v/>
      </c>
      <c r="D42" s="1359">
        <f>'EBITDA Model'!D$101</f>
        <v/>
      </c>
      <c r="E42" s="1359">
        <f>'EBITDA Model'!E$101</f>
        <v/>
      </c>
      <c r="F42" s="1359">
        <f>'EBITDA Model'!F$101</f>
        <v/>
      </c>
      <c r="G42" s="1359">
        <f>'EBITDA Model'!G$101</f>
        <v/>
      </c>
      <c r="H42" s="1359">
        <f>'EBITDA Model'!H$101</f>
        <v/>
      </c>
      <c r="I42" s="1359">
        <f>'EBITDA Model'!I$101</f>
        <v/>
      </c>
      <c r="J42" s="1359">
        <f>'EBITDA Model'!J$101</f>
        <v/>
      </c>
      <c r="K42" s="1357">
        <f>IFERROR(IF(AND(ISNUMBER(C42),ISNUMBER(J42),C42&gt;0),(J42/C42)^(1/7)-1,""),"")</f>
        <v/>
      </c>
      <c r="L42" s="16" t="inlineStr">
        <is>
          <t>CP07</t>
        </is>
      </c>
      <c r="M42" s="16" t="inlineStr">
        <is>
          <t>13</t>
        </is>
      </c>
    </row>
    <row r="43">
      <c r="A43" s="14" t="inlineStr">
        <is>
          <t>Industry EBITDA margin</t>
        </is>
      </c>
      <c r="B43" s="12" t="inlineStr">
        <is>
          <t>%</t>
        </is>
      </c>
      <c r="C43" s="1358">
        <f>'Margin Analysis'!C$81</f>
        <v/>
      </c>
      <c r="D43" s="1358">
        <f>'Margin Analysis'!D$81</f>
        <v/>
      </c>
      <c r="E43" s="1358">
        <f>'Margin Analysis'!E$81</f>
        <v/>
      </c>
      <c r="F43" s="1358">
        <f>'Margin Analysis'!F$81</f>
        <v/>
      </c>
      <c r="G43" s="1358">
        <f>'Margin Analysis'!G$81</f>
        <v/>
      </c>
      <c r="H43" s="1358">
        <f>'Margin Analysis'!H$81</f>
        <v/>
      </c>
      <c r="I43" s="1358">
        <f>'Margin Analysis'!I$81</f>
        <v/>
      </c>
      <c r="J43" s="1358">
        <f>'Margin Analysis'!J$81</f>
        <v/>
      </c>
      <c r="K43" s="1357">
        <f>IFERROR(IF(AND(ISNUMBER(C43),ISNUMBER(J43),C43&gt;0),(J43/C43)^(1/7)-1,""),"")</f>
        <v/>
      </c>
      <c r="L43" s="16" t="inlineStr">
        <is>
          <t>CP08</t>
        </is>
      </c>
      <c r="M43" s="16" t="inlineStr">
        <is>
          <t>14</t>
        </is>
      </c>
    </row>
    <row r="44">
      <c r="A44" s="14" t="inlineStr">
        <is>
          <t>Industry revenue</t>
        </is>
      </c>
      <c r="B44" s="12" t="inlineStr">
        <is>
          <t>Rs cr</t>
        </is>
      </c>
      <c r="C44" s="1359">
        <f>'Revenue Forecast'!C$95</f>
        <v/>
      </c>
      <c r="D44" s="1359">
        <f>'Revenue Forecast'!D$95</f>
        <v/>
      </c>
      <c r="E44" s="1359">
        <f>'Revenue Forecast'!E$95</f>
        <v/>
      </c>
      <c r="F44" s="1359">
        <f>'Revenue Forecast'!F$95</f>
        <v/>
      </c>
      <c r="G44" s="1359">
        <f>'Revenue Forecast'!G$95</f>
        <v/>
      </c>
      <c r="H44" s="1359">
        <f>'Revenue Forecast'!H$95</f>
        <v/>
      </c>
      <c r="I44" s="1359">
        <f>'Revenue Forecast'!I$95</f>
        <v/>
      </c>
      <c r="J44" s="1359">
        <f>'Revenue Forecast'!J$95</f>
        <v/>
      </c>
      <c r="K44" s="1357">
        <f>IFERROR(IF(AND(ISNUMBER(C44),ISNUMBER(J44),C44&gt;0),(J44/C44)^(1/7)-1,""),"")</f>
        <v/>
      </c>
      <c r="L44" s="16" t="inlineStr">
        <is>
          <t>CP09</t>
        </is>
      </c>
      <c r="M44" s="16" t="inlineStr">
        <is>
          <t>12</t>
        </is>
      </c>
    </row>
    <row r="45">
      <c r="A45" s="14" t="inlineStr">
        <is>
          <t>Industry EBITDA</t>
        </is>
      </c>
      <c r="B45" s="12" t="inlineStr">
        <is>
          <t>Rs cr</t>
        </is>
      </c>
      <c r="C45" s="1359">
        <f>'EBITDA Model'!C$103</f>
        <v/>
      </c>
      <c r="D45" s="1359">
        <f>'EBITDA Model'!D$103</f>
        <v/>
      </c>
      <c r="E45" s="1359">
        <f>'EBITDA Model'!E$103</f>
        <v/>
      </c>
      <c r="F45" s="1359">
        <f>'EBITDA Model'!F$103</f>
        <v/>
      </c>
      <c r="G45" s="1359">
        <f>'EBITDA Model'!G$103</f>
        <v/>
      </c>
      <c r="H45" s="1359">
        <f>'EBITDA Model'!H$103</f>
        <v/>
      </c>
      <c r="I45" s="1359">
        <f>'EBITDA Model'!I$103</f>
        <v/>
      </c>
      <c r="J45" s="1359">
        <f>'EBITDA Model'!J$103</f>
        <v/>
      </c>
      <c r="K45" s="1357">
        <f>IFERROR(IF(AND(ISNUMBER(C45),ISNUMBER(J45),C45&gt;0),(J45/C45)^(1/7)-1,""),"")</f>
        <v/>
      </c>
      <c r="L45" s="16" t="inlineStr">
        <is>
          <t>CP10</t>
        </is>
      </c>
      <c r="M45" s="16" t="inlineStr">
        <is>
          <t>13</t>
        </is>
      </c>
    </row>
    <row r="46">
      <c r="A46" s="14" t="inlineStr">
        <is>
          <t>Unlevered free cash flow</t>
        </is>
      </c>
      <c r="B46" s="12" t="inlineStr">
        <is>
          <t>Rs cr</t>
        </is>
      </c>
      <c r="C46" s="1359">
        <f>'Cash Flow Model'!C$108</f>
        <v/>
      </c>
      <c r="D46" s="1359">
        <f>'Cash Flow Model'!D$108</f>
        <v/>
      </c>
      <c r="E46" s="1359">
        <f>'Cash Flow Model'!E$108</f>
        <v/>
      </c>
      <c r="F46" s="1359">
        <f>'Cash Flow Model'!F$108</f>
        <v/>
      </c>
      <c r="G46" s="1359">
        <f>'Cash Flow Model'!G$108</f>
        <v/>
      </c>
      <c r="H46" s="1359">
        <f>'Cash Flow Model'!H$108</f>
        <v/>
      </c>
      <c r="I46" s="1359">
        <f>'Cash Flow Model'!I$108</f>
        <v/>
      </c>
      <c r="J46" s="1359">
        <f>'Cash Flow Model'!J$108</f>
        <v/>
      </c>
      <c r="K46" s="1357">
        <f>IFERROR(IF(AND(ISNUMBER(C46),ISNUMBER(J46),C46&gt;0),(J46/C46)^(1/7)-1,""),"")</f>
        <v/>
      </c>
      <c r="L46" s="16" t="inlineStr">
        <is>
          <t>CP11</t>
        </is>
      </c>
      <c r="M46" s="16" t="inlineStr">
        <is>
          <t>16</t>
        </is>
      </c>
    </row>
    <row r="47">
      <c r="L47" s="250" t="n"/>
    </row>
    <row r="48">
      <c r="A48" s="1161" t="inlineStr">
        <is>
          <t>DEPENDENCIES</t>
        </is>
      </c>
      <c r="B48" s="1360" t="n"/>
      <c r="C48" s="19" t="n"/>
    </row>
    <row r="49" ht="14.4" customHeight="1">
      <c r="A49" s="1160" t="inlineStr">
        <is>
          <t>Drives 02 Model Assumptions and therefore every sheet from 03 to 24.</t>
        </is>
      </c>
      <c r="B49" s="1360" t="n"/>
      <c r="C49" s="251" t="n"/>
    </row>
    <row r="50">
      <c r="A50" s="1160" t="inlineStr">
        <is>
          <t>Every figure above is a live link. Change the selector and this panel, and every other sheet, recomputes.</t>
        </is>
      </c>
      <c r="B50" s="1360" t="n"/>
    </row>
    <row r="51">
      <c r="A51" s="251" t="n"/>
      <c r="B51" s="251" t="n"/>
    </row>
    <row r="52">
      <c r="A52" s="251" t="n"/>
      <c r="B52" s="251" t="n"/>
    </row>
    <row r="53">
      <c r="A53" s="251" t="n"/>
      <c r="B53" s="251" t="n"/>
    </row>
    <row r="54">
      <c r="A54" s="251" t="n"/>
      <c r="B54" s="251" t="n"/>
    </row>
    <row r="55">
      <c r="A55" s="251" t="n"/>
      <c r="B55" s="251" t="n"/>
    </row>
  </sheetData>
  <mergeCells count="15">
    <mergeCell ref="A4:B4"/>
    <mergeCell ref="G4:H4"/>
    <mergeCell ref="A48:B48"/>
    <mergeCell ref="D16:E16"/>
    <mergeCell ref="F22:L22"/>
    <mergeCell ref="A2:C2"/>
    <mergeCell ref="F17:L17"/>
    <mergeCell ref="A49:B49"/>
    <mergeCell ref="A1:L1"/>
    <mergeCell ref="F21:L21"/>
    <mergeCell ref="D4:E4"/>
    <mergeCell ref="F20:L20"/>
    <mergeCell ref="F23:L23"/>
    <mergeCell ref="F18:L18"/>
    <mergeCell ref="A50:B50"/>
  </mergeCells>
  <dataValidations count="1">
    <dataValidation sqref="E17" showDropDown="0" showInputMessage="0" showErrorMessage="0" allowBlank="0" errorTitle="Invalid scenario" error="Choose one of: Base Case, Bull Case, Bear Case, Stress Case" type="list">
      <formula1>"Base Case,Bull Case,Bear Case,Stress Case"</formula1>
    </dataValidation>
  </dataValidations>
  <hyperlinks>
    <hyperlink ref="B18" location="'Database Import'!A1" display="Go →"/>
    <hyperlink ref="B19" location="'Model Assumptions'!A1" display="Go →"/>
    <hyperlink ref="B20" location="'Model Calibration'!A1" display="Go →"/>
    <hyperlink ref="B21" location="'Macroeconomic Model'!A1" display="Go →"/>
    <hyperlink ref="B22" location="'Steel Demand Model'!A1" display="Go →"/>
    <hyperlink ref="B23" location="'Steel Supply Model'!A1" display="Go →"/>
    <hyperlink ref="B24" location="'Capacity Forecast'!A1" display="Go →"/>
    <hyperlink ref="B25" location="'Steel Price Forecast'!A1" display="Go →"/>
    <hyperlink ref="B26" location="'Revenue Forecast'!A1" display="Go →"/>
    <hyperlink ref="B27" location="'EBITDA Model'!A1" display="Go →"/>
    <hyperlink ref="B28" location="'Comparable Valuation'!A1" display="Go →"/>
    <hyperlink ref="B29" location="'Industry Dashboard'!A1" display="Go →"/>
    <hyperlink ref="B30" location="'Audit Checks'!A1" display="Go →"/>
    <hyperlink ref="B31" location="Sources!A1" display="Go →"/>
  </hyperlinks>
  <pageMargins left="0.7" right="0.7" top="0.75" bottom="0.75" header="0.3" footer="0.3"/>
</worksheet>
</file>

<file path=xl/worksheets/sheet6.xml><?xml version="1.0" encoding="utf-8"?>
<worksheet xmlns="http://schemas.openxmlformats.org/spreadsheetml/2006/main">
  <sheetPr codeName="Sheet6">
    <tabColor rgb="FF002060"/>
    <outlinePr summaryBelow="1" summaryRight="1"/>
    <pageSetUpPr/>
  </sheetPr>
  <dimension ref="A1:O171"/>
  <sheetViews>
    <sheetView showGridLines="0" topLeftCell="A11" zoomScaleNormal="100" workbookViewId="0">
      <selection activeCell="F20" sqref="F20"/>
    </sheetView>
  </sheetViews>
  <sheetFormatPr baseColWidth="8" defaultRowHeight="14.4"/>
  <cols>
    <col width="10.5546875" customWidth="1" style="1262" min="1" max="1"/>
    <col width="44" customWidth="1" style="1262" min="2" max="2"/>
    <col width="19.44140625" customWidth="1" style="1262" min="3" max="3"/>
    <col width="11.44140625" customWidth="1" style="107" min="4" max="4"/>
    <col width="10.5546875" customWidth="1" style="107" min="5" max="5"/>
    <col width="10.6640625" customWidth="1" style="107" min="6" max="6"/>
    <col width="11" customWidth="1" style="107" min="7" max="7"/>
    <col width="10.77734375" customWidth="1" style="107" min="8" max="8"/>
    <col width="10.21875" customWidth="1" style="107" min="9" max="9"/>
    <col width="10.33203125" customWidth="1" style="107" min="10" max="11"/>
    <col width="13" customWidth="1" style="1262" min="12" max="12"/>
    <col width="10" customWidth="1" style="1262" min="13" max="13"/>
    <col width="40.5546875" customWidth="1" style="1262" min="14" max="14"/>
    <col width="10.5546875" customWidth="1" style="1262" min="15" max="15"/>
    <col width="8.88671875" customWidth="1" style="1262" min="16" max="16384"/>
  </cols>
  <sheetData>
    <row r="1" ht="25.8" customHeight="1">
      <c r="A1" s="1133" t="inlineStr">
        <is>
          <t>MODEL ASSUMPTIONS</t>
        </is>
      </c>
    </row>
    <row r="2">
      <c r="A2" s="1136" t="inlineStr">
        <is>
          <t>Industry Financial Model  |  Indian Steel Industry  |  Horizon FY2027E-FY2033E  |  Base year FY2026A</t>
        </is>
      </c>
    </row>
    <row r="3" ht="15" customHeight="1" thickBot="1">
      <c r="A3" s="1136" t="n"/>
      <c r="B3" s="1136" t="n"/>
      <c r="C3" s="1136" t="n"/>
      <c r="D3" s="260" t="n"/>
      <c r="E3" s="260" t="n"/>
      <c r="F3" s="260" t="n"/>
      <c r="G3" s="260" t="n"/>
    </row>
    <row r="4" ht="15" customHeight="1" thickBot="1">
      <c r="A4" s="1185" t="inlineStr">
        <is>
          <t>Running Scenario</t>
        </is>
      </c>
      <c r="B4" s="1361" t="n"/>
      <c r="C4" s="723">
        <f>'Control Panel'!E17</f>
        <v/>
      </c>
      <c r="D4" s="260" t="n"/>
      <c r="E4" s="260" t="n"/>
      <c r="F4" s="260" t="n"/>
      <c r="G4" s="260" t="n"/>
    </row>
    <row r="5">
      <c r="B5" s="1167" t="n"/>
    </row>
    <row r="6" ht="15.6" customHeight="1">
      <c r="A6" s="1184" t="inlineStr">
        <is>
          <t>ACTIVE DRIVERS</t>
        </is>
      </c>
    </row>
    <row r="7" ht="15" customHeight="1" thickBot="1">
      <c r="A7" s="355" t="inlineStr">
        <is>
          <t>No</t>
        </is>
      </c>
      <c r="B7" s="356" t="inlineStr">
        <is>
          <t>Line item</t>
        </is>
      </c>
      <c r="C7" s="356" t="inlineStr">
        <is>
          <t>Unit</t>
        </is>
      </c>
      <c r="D7" s="610" t="inlineStr">
        <is>
          <t>FY2026A</t>
        </is>
      </c>
      <c r="E7" s="610" t="inlineStr">
        <is>
          <t>FY2027E</t>
        </is>
      </c>
      <c r="F7" s="610" t="inlineStr">
        <is>
          <t>FY2028E</t>
        </is>
      </c>
      <c r="G7" s="610" t="inlineStr">
        <is>
          <t>FY2029E</t>
        </is>
      </c>
      <c r="H7" s="610" t="inlineStr">
        <is>
          <t>FY2030E</t>
        </is>
      </c>
      <c r="I7" s="610" t="inlineStr">
        <is>
          <t>FY2031E</t>
        </is>
      </c>
      <c r="J7" s="610" t="inlineStr">
        <is>
          <t>FY2032E</t>
        </is>
      </c>
      <c r="K7" s="610" t="inlineStr">
        <is>
          <t>FY2033E</t>
        </is>
      </c>
      <c r="L7" s="357" t="inlineStr">
        <is>
          <t>Source</t>
        </is>
      </c>
      <c r="M7" s="452" t="inlineStr">
        <is>
          <t>Conf.</t>
        </is>
      </c>
    </row>
    <row r="8" ht="15" customHeight="1" thickTop="1">
      <c r="A8" s="358" t="inlineStr">
        <is>
          <t>D01</t>
        </is>
      </c>
      <c r="B8" s="359" t="inlineStr">
        <is>
          <t>India real GDP growth</t>
        </is>
      </c>
      <c r="C8" s="360" t="inlineStr">
        <is>
          <t>%</t>
        </is>
      </c>
      <c r="D8" s="1362">
        <f>[1]Macroeconomic!$H$6</f>
        <v/>
      </c>
      <c r="E8" s="1363">
        <f>_xlfn.XLOOKUP($C$4,$D$38:$D$41,E38:E41)</f>
        <v/>
      </c>
      <c r="F8" s="1363">
        <f>_xlfn.XLOOKUP($C$4,$D$38:$D$41,F38:F41)</f>
        <v/>
      </c>
      <c r="G8" s="1363">
        <f>_xlfn.XLOOKUP($C$4,$D$38:$D$41,G38:G41)</f>
        <v/>
      </c>
      <c r="H8" s="1363">
        <f>_xlfn.XLOOKUP($C$4,$D$38:$D$41,H38:H41)</f>
        <v/>
      </c>
      <c r="I8" s="1363">
        <f>_xlfn.XLOOKUP($C$4,$D$38:$D$41,I38:I41)</f>
        <v/>
      </c>
      <c r="J8" s="1363">
        <f>_xlfn.XLOOKUP($C$4,$D$38:$D$41,J38:J41)</f>
        <v/>
      </c>
      <c r="K8" s="1363">
        <f>_xlfn.XLOOKUP($C$4,$D$38:$D$41,K38:K41)</f>
        <v/>
      </c>
      <c r="L8" s="627" t="inlineStr">
        <is>
          <t>RBI-Jun26</t>
        </is>
      </c>
      <c r="M8" s="453" t="inlineStr">
        <is>
          <t>High</t>
        </is>
      </c>
    </row>
    <row r="9">
      <c r="A9" s="361" t="inlineStr">
        <is>
          <t>D02</t>
        </is>
      </c>
      <c r="B9" s="362" t="inlineStr">
        <is>
          <t>Steel demand elasticity to real GDP</t>
        </is>
      </c>
      <c r="C9" s="363" t="inlineStr">
        <is>
          <t>x</t>
        </is>
      </c>
      <c r="D9" s="1364">
        <f>[1]Macroeconomic!$H$11</f>
        <v/>
      </c>
      <c r="E9" s="1365">
        <f>_xlfn.XLOOKUP($C$4,$D$42:$D$45,E42:E45)</f>
        <v/>
      </c>
      <c r="F9" s="1365">
        <f>_xlfn.XLOOKUP($C$4,$D$42:$D$45,F42:F45)</f>
        <v/>
      </c>
      <c r="G9" s="1365">
        <f>_xlfn.XLOOKUP($C$4,$D$42:$D$45,G42:G45)</f>
        <v/>
      </c>
      <c r="H9" s="1365">
        <f>_xlfn.XLOOKUP($C$4,$D$42:$D$45,H42:H45)</f>
        <v/>
      </c>
      <c r="I9" s="1365">
        <f>_xlfn.XLOOKUP($C$4,$D$42:$D$45,I42:I45)</f>
        <v/>
      </c>
      <c r="J9" s="1365">
        <f>_xlfn.XLOOKUP($C$4,$D$42:$D$45,J42:J45)</f>
        <v/>
      </c>
      <c r="K9" s="1365">
        <f>_xlfn.XLOOKUP($C$4,$D$42:$D$45,K42:K45)</f>
        <v/>
      </c>
      <c r="L9" s="628" t="inlineStr">
        <is>
          <t>Derived-DB</t>
        </is>
      </c>
      <c r="M9" s="454" t="inlineStr">
        <is>
          <t>High</t>
        </is>
      </c>
    </row>
    <row r="10">
      <c r="A10" s="361" t="inlineStr">
        <is>
          <t>D03</t>
        </is>
      </c>
      <c r="B10" s="362" t="inlineStr">
        <is>
          <t>USD/INR average</t>
        </is>
      </c>
      <c r="C10" s="363" t="inlineStr">
        <is>
          <t>Rs/US$</t>
        </is>
      </c>
      <c r="D10" s="1366">
        <f>[1]Macroeconomic!$H$8</f>
        <v/>
      </c>
      <c r="E10" s="1367">
        <f>_xlfn.XLOOKUP($C$4,$D$46:$D$49,E46:E49)</f>
        <v/>
      </c>
      <c r="F10" s="1367">
        <f>_xlfn.XLOOKUP($C$4,$D$46:$D$49,F46:F49)</f>
        <v/>
      </c>
      <c r="G10" s="1367">
        <f>_xlfn.XLOOKUP($C$4,$D$46:$D$49,G46:G49)</f>
        <v/>
      </c>
      <c r="H10" s="1367">
        <f>_xlfn.XLOOKUP($C$4,$D$46:$D$49,H46:H49)</f>
        <v/>
      </c>
      <c r="I10" s="1367">
        <f>_xlfn.XLOOKUP($C$4,$D$46:$D$49,I46:I49)</f>
        <v/>
      </c>
      <c r="J10" s="1367">
        <f>_xlfn.XLOOKUP($C$4,$D$46:$D$49,J46:J49)</f>
        <v/>
      </c>
      <c r="K10" s="1367">
        <f>_xlfn.XLOOKUP($C$4,$D$46:$D$49,K46:K49)</f>
        <v/>
      </c>
      <c r="L10" s="628" t="inlineStr">
        <is>
          <t>IDBI-22Jun26</t>
        </is>
      </c>
      <c r="M10" s="454" t="inlineStr">
        <is>
          <t>High</t>
        </is>
      </c>
    </row>
    <row r="11">
      <c r="A11" s="361" t="inlineStr">
        <is>
          <t>D04</t>
        </is>
      </c>
      <c r="B11" s="362" t="inlineStr">
        <is>
          <t>CPI inflation</t>
        </is>
      </c>
      <c r="C11" s="363" t="inlineStr">
        <is>
          <t>%</t>
        </is>
      </c>
      <c r="D11" s="1368">
        <f>[1]Macroeconomic!$H$7</f>
        <v/>
      </c>
      <c r="E11" s="1369">
        <f>_xlfn.XLOOKUP($C$4,$D$50:$D$53,E50:E53)</f>
        <v/>
      </c>
      <c r="F11" s="1369">
        <f>_xlfn.XLOOKUP($C$4,$D$50:$D$53,F50:F53)</f>
        <v/>
      </c>
      <c r="G11" s="1369">
        <f>_xlfn.XLOOKUP($C$4,$D$50:$D$53,G50:G53)</f>
        <v/>
      </c>
      <c r="H11" s="1369">
        <f>_xlfn.XLOOKUP($C$4,$D$50:$D$53,H50:H53)</f>
        <v/>
      </c>
      <c r="I11" s="1369">
        <f>_xlfn.XLOOKUP($C$4,$D$50:$D$53,I50:I53)</f>
        <v/>
      </c>
      <c r="J11" s="1369">
        <f>_xlfn.XLOOKUP($C$4,$D$50:$D$53,J50:J53)</f>
        <v/>
      </c>
      <c r="K11" s="1369">
        <f>_xlfn.XLOOKUP($C$4,$D$50:$D$53,K50:K53)</f>
        <v/>
      </c>
      <c r="L11" s="628" t="inlineStr">
        <is>
          <t>RBI-Jun26</t>
        </is>
      </c>
      <c r="M11" s="454" t="inlineStr">
        <is>
          <t>High</t>
        </is>
      </c>
    </row>
    <row r="12">
      <c r="A12" s="361" t="inlineStr">
        <is>
          <t>D05</t>
        </is>
      </c>
      <c r="B12" s="362" t="inlineStr">
        <is>
          <t>Announced pipeline delivery factor</t>
        </is>
      </c>
      <c r="C12" s="363" t="inlineStr">
        <is>
          <t>%</t>
        </is>
      </c>
      <c r="D12" s="647">
        <f>'[1]Production Volume'!$H$10</f>
        <v/>
      </c>
      <c r="E12" s="616">
        <f>_xlfn.XLOOKUP($C$4,$D$54:$D$57,E54:E57)</f>
        <v/>
      </c>
      <c r="F12" s="616">
        <f>_xlfn.XLOOKUP($C$4,$D$54:$D$57,F54:F57)</f>
        <v/>
      </c>
      <c r="G12" s="616">
        <f>_xlfn.XLOOKUP($C$4,$D$54:$D$57,G54:G57)</f>
        <v/>
      </c>
      <c r="H12" s="616">
        <f>_xlfn.XLOOKUP($C$4,$D$54:$D$57,H54:H57)</f>
        <v/>
      </c>
      <c r="I12" s="616">
        <f>_xlfn.XLOOKUP($C$4,$D$54:$D$57,I54:I57)</f>
        <v/>
      </c>
      <c r="J12" s="616">
        <f>_xlfn.XLOOKUP($C$4,$D$54:$D$57,J54:J57)</f>
        <v/>
      </c>
      <c r="K12" s="616">
        <f>_xlfn.XLOOKUP($C$4,$D$54:$D$57,K54:K57)</f>
        <v/>
      </c>
      <c r="L12" s="628" t="inlineStr">
        <is>
          <t>Derived-DB</t>
        </is>
      </c>
      <c r="M12" s="454" t="inlineStr">
        <is>
          <t>Medium</t>
        </is>
      </c>
    </row>
    <row r="13">
      <c r="A13" s="361" t="inlineStr">
        <is>
          <t>D06</t>
        </is>
      </c>
      <c r="B13" s="362" t="inlineStr">
        <is>
          <t>Crude-to-finished steel ratio</t>
        </is>
      </c>
      <c r="C13" s="363" t="inlineStr">
        <is>
          <t>x</t>
        </is>
      </c>
      <c r="D13" s="1364">
        <f>'[1]Production Volume'!$H$11</f>
        <v/>
      </c>
      <c r="E13" s="1370">
        <f>_xlfn.XLOOKUP($C$4,$D$58:$D$61,E58:E61)</f>
        <v/>
      </c>
      <c r="F13" s="1370">
        <f>_xlfn.XLOOKUP($C$4,$D$58:$D$61,F58:F61)</f>
        <v/>
      </c>
      <c r="G13" s="1370">
        <f>_xlfn.XLOOKUP($C$4,$D$58:$D$61,G58:G61)</f>
        <v/>
      </c>
      <c r="H13" s="1370">
        <f>_xlfn.XLOOKUP($C$4,$D$58:$D$61,H58:H61)</f>
        <v/>
      </c>
      <c r="I13" s="1370">
        <f>_xlfn.XLOOKUP($C$4,$D$58:$D$61,I58:I61)</f>
        <v/>
      </c>
      <c r="J13" s="1370">
        <f>_xlfn.XLOOKUP($C$4,$D$58:$D$61,J58:J61)</f>
        <v/>
      </c>
      <c r="K13" s="1370">
        <f>_xlfn.XLOOKUP($C$4,$D$58:$D$61,K58:K61)</f>
        <v/>
      </c>
      <c r="L13" s="628" t="inlineStr">
        <is>
          <t>Derived-DB</t>
        </is>
      </c>
      <c r="M13" s="454" t="inlineStr">
        <is>
          <t>High</t>
        </is>
      </c>
    </row>
    <row r="14">
      <c r="A14" s="361" t="inlineStr">
        <is>
          <t>D07</t>
        </is>
      </c>
      <c r="B14" s="362" t="inlineStr">
        <is>
          <t>Net finished steel exports</t>
        </is>
      </c>
      <c r="C14" s="363" t="inlineStr">
        <is>
          <t>Mt</t>
        </is>
      </c>
      <c r="D14" s="1371">
        <f>'[1]Imports &amp; Exports'!$H$8</f>
        <v/>
      </c>
      <c r="E14" s="1367">
        <f>_xlfn.XLOOKUP($C$4,$D$62:$D$65,E62:E65)</f>
        <v/>
      </c>
      <c r="F14" s="1367">
        <f>_xlfn.XLOOKUP($C$4,$D$62:$D$65,F62:F65)</f>
        <v/>
      </c>
      <c r="G14" s="1367">
        <f>_xlfn.XLOOKUP($C$4,$D$62:$D$65,G62:G65)</f>
        <v/>
      </c>
      <c r="H14" s="1367">
        <f>_xlfn.XLOOKUP($C$4,$D$62:$D$65,H62:H65)</f>
        <v/>
      </c>
      <c r="I14" s="1367">
        <f>_xlfn.XLOOKUP($C$4,$D$62:$D$65,I62:I65)</f>
        <v/>
      </c>
      <c r="J14" s="1367">
        <f>_xlfn.XLOOKUP($C$4,$D$62:$D$65,J62:J65)</f>
        <v/>
      </c>
      <c r="K14" s="1367">
        <f>_xlfn.XLOOKUP($C$4,$D$62:$D$65,K62:K65)</f>
        <v/>
      </c>
      <c r="L14" s="628" t="inlineStr">
        <is>
          <t>Derived-DB</t>
        </is>
      </c>
      <c r="M14" s="454" t="inlineStr">
        <is>
          <t>Medium</t>
        </is>
      </c>
    </row>
    <row r="15">
      <c r="A15" s="361" t="inlineStr">
        <is>
          <t>D08</t>
        </is>
      </c>
      <c r="B15" s="362" t="inlineStr">
        <is>
          <t>Variation in stock</t>
        </is>
      </c>
      <c r="C15" s="363" t="inlineStr">
        <is>
          <t>Mt</t>
        </is>
      </c>
      <c r="D15" s="1372">
        <f>'[1]Demand &amp; Consumption'!$H$9</f>
        <v/>
      </c>
      <c r="E15" s="1367">
        <f>_xlfn.XLOOKUP($C$4,$D$66:$D$69,E66:E69)</f>
        <v/>
      </c>
      <c r="F15" s="1367">
        <f>_xlfn.XLOOKUP($C$4,$D$66:$D$69,F66:F69)</f>
        <v/>
      </c>
      <c r="G15" s="1367">
        <f>_xlfn.XLOOKUP($C$4,$D$66:$D$69,G66:G69)</f>
        <v/>
      </c>
      <c r="H15" s="1367">
        <f>_xlfn.XLOOKUP($C$4,$D$66:$D$69,H66:H69)</f>
        <v/>
      </c>
      <c r="I15" s="1367">
        <f>_xlfn.XLOOKUP($C$4,$D$66:$D$69,I66:I69)</f>
        <v/>
      </c>
      <c r="J15" s="1367">
        <f>_xlfn.XLOOKUP($C$4,$D$66:$D$69,J66:J69)</f>
        <v/>
      </c>
      <c r="K15" s="1367">
        <f>_xlfn.XLOOKUP($C$4,$D$66:$D$69,K66:K69)</f>
        <v/>
      </c>
      <c r="L15" s="628" t="inlineStr">
        <is>
          <t>Derived-DB</t>
        </is>
      </c>
      <c r="M15" s="454" t="inlineStr">
        <is>
          <t>Medium</t>
        </is>
      </c>
    </row>
    <row r="16">
      <c r="A16" s="361" t="inlineStr">
        <is>
          <t>D09</t>
        </is>
      </c>
      <c r="B16" s="362" t="inlineStr">
        <is>
          <t>Blended industry realisation</t>
        </is>
      </c>
      <c r="C16" s="363" t="inlineStr">
        <is>
          <t>Rs/t</t>
        </is>
      </c>
      <c r="D16" s="649">
        <f>'[1]Steel Prices'!$H$12</f>
        <v/>
      </c>
      <c r="E16" s="618">
        <f>_xlfn.XLOOKUP($C$4,$D$70:$D$73,E70:E73)</f>
        <v/>
      </c>
      <c r="F16" s="618">
        <f>_xlfn.XLOOKUP($C$4,$D$70:$D$73,F70:F73)</f>
        <v/>
      </c>
      <c r="G16" s="618">
        <f>_xlfn.XLOOKUP($C$4,$D$70:$D$73,G70:G73)</f>
        <v/>
      </c>
      <c r="H16" s="618">
        <f>_xlfn.XLOOKUP($C$4,$D$70:$D$73,H70:H73)</f>
        <v/>
      </c>
      <c r="I16" s="618">
        <f>_xlfn.XLOOKUP($C$4,$D$70:$D$73,I70:I73)</f>
        <v/>
      </c>
      <c r="J16" s="618">
        <f>_xlfn.XLOOKUP($C$4,$D$70:$D$73,J70:J73)</f>
        <v/>
      </c>
      <c r="K16" s="618">
        <f>_xlfn.XLOOKUP($C$4,$D$70:$D$73,K70:K73)</f>
        <v/>
      </c>
      <c r="L16" s="628" t="inlineStr">
        <is>
          <t>Derived-DB</t>
        </is>
      </c>
      <c r="M16" s="454" t="inlineStr">
        <is>
          <t>Medium</t>
        </is>
      </c>
    </row>
    <row r="17">
      <c r="A17" s="361" t="inlineStr">
        <is>
          <t>D10</t>
        </is>
      </c>
      <c r="B17" s="362" t="inlineStr">
        <is>
          <t>Iron ore 62% Fe CFR China</t>
        </is>
      </c>
      <c r="C17" s="363" t="inlineStr">
        <is>
          <t>US$/dmt</t>
        </is>
      </c>
      <c r="D17" s="1366">
        <f>'[1]Raw Materials'!$H$6</f>
        <v/>
      </c>
      <c r="E17" s="1367">
        <f>_xlfn.XLOOKUP($C$4,$D$74:$D$77,E74:E77)</f>
        <v/>
      </c>
      <c r="F17" s="1367">
        <f>_xlfn.XLOOKUP($C$4,$D$74:$D$77,F74:F77)</f>
        <v/>
      </c>
      <c r="G17" s="1367">
        <f>_xlfn.XLOOKUP($C$4,$D$74:$D$77,G74:G77)</f>
        <v/>
      </c>
      <c r="H17" s="1367">
        <f>_xlfn.XLOOKUP($C$4,$D$74:$D$77,H74:H77)</f>
        <v/>
      </c>
      <c r="I17" s="1367">
        <f>_xlfn.XLOOKUP($C$4,$D$74:$D$77,I74:I77)</f>
        <v/>
      </c>
      <c r="J17" s="1367">
        <f>_xlfn.XLOOKUP($C$4,$D$74:$D$77,J74:J77)</f>
        <v/>
      </c>
      <c r="K17" s="1367">
        <f>_xlfn.XLOOKUP($C$4,$D$74:$D$77,K74:K77)</f>
        <v/>
      </c>
      <c r="L17" s="628" t="inlineStr">
        <is>
          <t>S17</t>
        </is>
      </c>
      <c r="M17" s="454" t="inlineStr">
        <is>
          <t>High</t>
        </is>
      </c>
    </row>
    <row r="18">
      <c r="A18" s="361" t="inlineStr">
        <is>
          <t>D11</t>
        </is>
      </c>
      <c r="B18" s="362" t="inlineStr">
        <is>
          <t>Premium HCC coking coal FOB Australia</t>
        </is>
      </c>
      <c r="C18" s="363" t="inlineStr">
        <is>
          <t>US$/t</t>
        </is>
      </c>
      <c r="D18" s="649">
        <f>'[1]Raw Materials'!$H$11</f>
        <v/>
      </c>
      <c r="E18" s="618">
        <f>_xlfn.XLOOKUP($C$4,$D$78:$D$81,E78:E81)</f>
        <v/>
      </c>
      <c r="F18" s="618">
        <f>_xlfn.XLOOKUP($C$4,$D$78:$D$81,F78:F81)</f>
        <v/>
      </c>
      <c r="G18" s="618">
        <f>_xlfn.XLOOKUP($C$4,$D$78:$D$81,G78:G81)</f>
        <v/>
      </c>
      <c r="H18" s="618">
        <f>_xlfn.XLOOKUP($C$4,$D$78:$D$81,H78:H81)</f>
        <v/>
      </c>
      <c r="I18" s="618">
        <f>_xlfn.XLOOKUP($C$4,$D$78:$D$81,I78:I81)</f>
        <v/>
      </c>
      <c r="J18" s="618">
        <f>_xlfn.XLOOKUP($C$4,$D$78:$D$81,J78:J81)</f>
        <v/>
      </c>
      <c r="K18" s="618">
        <f>_xlfn.XLOOKUP($C$4,$D$78:$D$81,K78:K81)</f>
        <v/>
      </c>
      <c r="L18" s="628" t="inlineStr">
        <is>
          <t>S01</t>
        </is>
      </c>
      <c r="M18" s="454" t="inlineStr">
        <is>
          <t>Medium</t>
        </is>
      </c>
    </row>
    <row r="19">
      <c r="A19" s="361" t="inlineStr">
        <is>
          <t>D12</t>
        </is>
      </c>
      <c r="B19" s="362" t="inlineStr">
        <is>
          <t>Conversion cost inflation</t>
        </is>
      </c>
      <c r="C19" s="363" t="inlineStr">
        <is>
          <t>%</t>
        </is>
      </c>
      <c r="D19" s="619" t="n">
        <v>0.05</v>
      </c>
      <c r="E19" s="616">
        <f>_xlfn.XLOOKUP($C$4,$D$82:$D$85,E82:E85)</f>
        <v/>
      </c>
      <c r="F19" s="616">
        <f>_xlfn.XLOOKUP($C$4,$D$82:$D$85,F82:F85)</f>
        <v/>
      </c>
      <c r="G19" s="616">
        <f>_xlfn.XLOOKUP($C$4,$D$82:$D$85,G82:G85)</f>
        <v/>
      </c>
      <c r="H19" s="616">
        <f>_xlfn.XLOOKUP($C$4,$D$82:$D$85,H82:H85)</f>
        <v/>
      </c>
      <c r="I19" s="616">
        <f>_xlfn.XLOOKUP($C$4,$D$82:$D$85,I82:I85)</f>
        <v/>
      </c>
      <c r="J19" s="616">
        <f>_xlfn.XLOOKUP($C$4,$D$82:$D$85,J82:J85)</f>
        <v/>
      </c>
      <c r="K19" s="616">
        <f>_xlfn.XLOOKUP($C$4,$D$82:$D$85,K82:K85)</f>
        <v/>
      </c>
      <c r="L19" s="628" t="inlineStr">
        <is>
          <t>RBI-Jun26</t>
        </is>
      </c>
      <c r="M19" s="454" t="inlineStr">
        <is>
          <t>Medium</t>
        </is>
      </c>
    </row>
    <row r="20">
      <c r="A20" s="361" t="inlineStr">
        <is>
          <t>D13</t>
        </is>
      </c>
      <c r="B20" s="362" t="inlineStr">
        <is>
          <t>Raw material share of cash cost</t>
        </is>
      </c>
      <c r="C20" s="363" t="inlineStr">
        <is>
          <t>%</t>
        </is>
      </c>
      <c r="D20" s="650">
        <f>'[1]Raw Materials'!$H$29</f>
        <v/>
      </c>
      <c r="E20" s="616">
        <f>_xlfn.XLOOKUP($C$4,$D$86:$D$89,E86:E89)</f>
        <v/>
      </c>
      <c r="F20" s="616">
        <f>_xlfn.XLOOKUP($C$4,$D$86:$D$89,F86:F89)</f>
        <v/>
      </c>
      <c r="G20" s="616">
        <f>_xlfn.XLOOKUP($C$4,$D$86:$D$89,G86:G89)</f>
        <v/>
      </c>
      <c r="H20" s="616">
        <f>_xlfn.XLOOKUP($C$4,$D$86:$D$89,H86:H89)</f>
        <v/>
      </c>
      <c r="I20" s="616">
        <f>_xlfn.XLOOKUP($C$4,$D$86:$D$89,I86:I89)</f>
        <v/>
      </c>
      <c r="J20" s="616">
        <f>_xlfn.XLOOKUP($C$4,$D$86:$D$89,J86:J89)</f>
        <v/>
      </c>
      <c r="K20" s="616">
        <f>_xlfn.XLOOKUP($C$4,$D$86:$D$89,K86:K89)</f>
        <v/>
      </c>
      <c r="L20" s="628" t="inlineStr">
        <is>
          <t>Indicative</t>
        </is>
      </c>
      <c r="M20" s="454" t="inlineStr">
        <is>
          <t>Low</t>
        </is>
      </c>
    </row>
    <row r="21">
      <c r="A21" s="361" t="inlineStr">
        <is>
          <t>D14</t>
        </is>
      </c>
      <c r="B21" s="362" t="inlineStr">
        <is>
          <t>Iron ore weight in the raw material basket</t>
        </is>
      </c>
      <c r="C21" s="363" t="inlineStr">
        <is>
          <t>%</t>
        </is>
      </c>
      <c r="D21" s="650">
        <f>'[1]Raw Materials'!$H$30</f>
        <v/>
      </c>
      <c r="E21" s="616">
        <f>_xlfn.XLOOKUP($C$4,$D$90:$D$93,E90:E93)</f>
        <v/>
      </c>
      <c r="F21" s="616">
        <f>_xlfn.XLOOKUP($C$4,$D$90:$D$93,F90:F93)</f>
        <v/>
      </c>
      <c r="G21" s="616">
        <f>_xlfn.XLOOKUP($C$4,$D$90:$D$93,G90:G93)</f>
        <v/>
      </c>
      <c r="H21" s="616">
        <f>_xlfn.XLOOKUP($C$4,$D$90:$D$93,H90:H93)</f>
        <v/>
      </c>
      <c r="I21" s="616">
        <f>_xlfn.XLOOKUP($C$4,$D$90:$D$93,I90:I93)</f>
        <v/>
      </c>
      <c r="J21" s="616">
        <f>_xlfn.XLOOKUP($C$4,$D$90:$D$93,J90:J93)</f>
        <v/>
      </c>
      <c r="K21" s="616">
        <f>_xlfn.XLOOKUP($C$4,$D$90:$D$93,K90:K93)</f>
        <v/>
      </c>
      <c r="L21" s="628" t="inlineStr">
        <is>
          <t>Indicative</t>
        </is>
      </c>
      <c r="M21" s="454" t="inlineStr">
        <is>
          <t>Low</t>
        </is>
      </c>
    </row>
    <row r="22">
      <c r="A22" s="361" t="inlineStr">
        <is>
          <t>D15</t>
        </is>
      </c>
      <c r="B22" s="362" t="inlineStr">
        <is>
          <t>Effective tax rate</t>
        </is>
      </c>
      <c r="C22" s="363" t="inlineStr">
        <is>
          <t>%</t>
        </is>
      </c>
      <c r="D22" s="619" t="n">
        <v>0.2517</v>
      </c>
      <c r="E22" s="616">
        <f>_xlfn.XLOOKUP($C$4,$D$94:$D$97,E94:E97)</f>
        <v/>
      </c>
      <c r="F22" s="616">
        <f>_xlfn.XLOOKUP($C$4,$D$94:$D$97,F94:F97)</f>
        <v/>
      </c>
      <c r="G22" s="616">
        <f>_xlfn.XLOOKUP($C$4,$D$94:$D$97,G94:G97)</f>
        <v/>
      </c>
      <c r="H22" s="616">
        <f>_xlfn.XLOOKUP($C$4,$D$94:$D$97,H94:H97)</f>
        <v/>
      </c>
      <c r="I22" s="616">
        <f>_xlfn.XLOOKUP($C$4,$D$94:$D$97,I94:I97)</f>
        <v/>
      </c>
      <c r="J22" s="616">
        <f>_xlfn.XLOOKUP($C$4,$D$94:$D$97,J94:J97)</f>
        <v/>
      </c>
      <c r="K22" s="616">
        <f>_xlfn.XLOOKUP($C$4,$D$94:$D$97,K94:K97)</f>
        <v/>
      </c>
      <c r="L22" s="628" t="inlineStr">
        <is>
          <t>Statutory</t>
        </is>
      </c>
      <c r="M22" s="454" t="inlineStr">
        <is>
          <t>Medium</t>
        </is>
      </c>
    </row>
    <row r="23">
      <c r="A23" s="361" t="inlineStr">
        <is>
          <t>D16</t>
        </is>
      </c>
      <c r="B23" s="362" t="inlineStr">
        <is>
          <t>Capex intensity</t>
        </is>
      </c>
      <c r="C23" s="363" t="inlineStr">
        <is>
          <t>Rs/t of capacity added</t>
        </is>
      </c>
      <c r="D23" s="1373" t="n">
        <v>55000</v>
      </c>
      <c r="E23" s="1374">
        <f>_xlfn.XLOOKUP($C$4,$D$98:$D$101,E98:E101)</f>
        <v/>
      </c>
      <c r="F23" s="1374">
        <f>_xlfn.XLOOKUP($C$4,$D$98:$D$101,F98:F101)</f>
        <v/>
      </c>
      <c r="G23" s="1374">
        <f>_xlfn.XLOOKUP($C$4,$D$98:$D$101,G98:G101)</f>
        <v/>
      </c>
      <c r="H23" s="1374">
        <f>_xlfn.XLOOKUP($C$4,$D$98:$D$101,H98:H101)</f>
        <v/>
      </c>
      <c r="I23" s="1374">
        <f>_xlfn.XLOOKUP($C$4,$D$98:$D$101,I98:I101)</f>
        <v/>
      </c>
      <c r="J23" s="1374">
        <f>_xlfn.XLOOKUP($C$4,$D$98:$D$101,J98:J101)</f>
        <v/>
      </c>
      <c r="K23" s="1374">
        <f>_xlfn.XLOOKUP($C$4,$D$98:$D$101,K98:K101)</f>
        <v/>
      </c>
      <c r="L23" s="628" t="inlineStr">
        <is>
          <t>Derived-DB</t>
        </is>
      </c>
      <c r="M23" s="454" t="inlineStr">
        <is>
          <t>Medium</t>
        </is>
      </c>
    </row>
    <row r="24">
      <c r="A24" s="361" t="inlineStr">
        <is>
          <t>D17</t>
        </is>
      </c>
      <c r="B24" s="362" t="inlineStr">
        <is>
          <t>Maintenance capex</t>
        </is>
      </c>
      <c r="C24" s="363" t="inlineStr">
        <is>
          <t>% of revenue</t>
        </is>
      </c>
      <c r="D24" s="1375" t="n">
        <v>0.03</v>
      </c>
      <c r="E24" s="1369">
        <f>_xlfn.XLOOKUP($C$4,$D$102:$D$105,E102:E105)</f>
        <v/>
      </c>
      <c r="F24" s="1369">
        <f>_xlfn.XLOOKUP($C$4,$D$102:$D$105,F102:F105)</f>
        <v/>
      </c>
      <c r="G24" s="1369">
        <f>_xlfn.XLOOKUP($C$4,$D$102:$D$105,G102:G105)</f>
        <v/>
      </c>
      <c r="H24" s="1369">
        <f>_xlfn.XLOOKUP($C$4,$D$102:$D$105,H102:H105)</f>
        <v/>
      </c>
      <c r="I24" s="1369">
        <f>_xlfn.XLOOKUP($C$4,$D$102:$D$105,I102:I105)</f>
        <v/>
      </c>
      <c r="J24" s="1369">
        <f>_xlfn.XLOOKUP($C$4,$D$102:$D$105,J102:J105)</f>
        <v/>
      </c>
      <c r="K24" s="1369">
        <f>_xlfn.XLOOKUP($C$4,$D$102:$D$105,K102:K105)</f>
        <v/>
      </c>
      <c r="L24" s="628" t="inlineStr">
        <is>
          <t>Indicative</t>
        </is>
      </c>
      <c r="M24" s="454" t="inlineStr">
        <is>
          <t>Low</t>
        </is>
      </c>
    </row>
    <row r="25">
      <c r="A25" s="361" t="inlineStr">
        <is>
          <t>D18</t>
        </is>
      </c>
      <c r="B25" s="362" t="inlineStr">
        <is>
          <t>Net working capital</t>
        </is>
      </c>
      <c r="C25" s="363" t="inlineStr">
        <is>
          <t>days of revenue</t>
        </is>
      </c>
      <c r="D25" s="620" t="n">
        <v>45</v>
      </c>
      <c r="E25" s="621">
        <f>_xlfn.XLOOKUP($C$4,$D$106:$D$109,E106:E109)</f>
        <v/>
      </c>
      <c r="F25" s="621">
        <f>_xlfn.XLOOKUP($C$4,$D$106:$D$109,F106:F109)</f>
        <v/>
      </c>
      <c r="G25" s="621">
        <f>_xlfn.XLOOKUP($C$4,$D$106:$D$109,G106:G109)</f>
        <v/>
      </c>
      <c r="H25" s="621">
        <f>_xlfn.XLOOKUP($C$4,$D$106:$D$109,H106:H109)</f>
        <v/>
      </c>
      <c r="I25" s="621">
        <f>_xlfn.XLOOKUP($C$4,$D$106:$D$109,I106:I109)</f>
        <v/>
      </c>
      <c r="J25" s="621">
        <f>_xlfn.XLOOKUP($C$4,$D$106:$D$109,J106:J109)</f>
        <v/>
      </c>
      <c r="K25" s="621">
        <f>_xlfn.XLOOKUP($C$4,$D$106:$D$109,K106:K109)</f>
        <v/>
      </c>
      <c r="L25" s="628" t="inlineStr">
        <is>
          <t>Not sourced</t>
        </is>
      </c>
      <c r="M25" s="454" t="inlineStr">
        <is>
          <t>Low</t>
        </is>
      </c>
    </row>
    <row r="26">
      <c r="A26" s="361" t="inlineStr">
        <is>
          <t>D19</t>
        </is>
      </c>
      <c r="B26" s="362" t="inlineStr">
        <is>
          <t>Exit EV/EBITDA multiple</t>
        </is>
      </c>
      <c r="C26" s="363" t="inlineStr">
        <is>
          <t>x</t>
        </is>
      </c>
      <c r="D26" s="622" t="n"/>
      <c r="E26" s="1367">
        <f>_xlfn.XLOOKUP($C$4,$D$110:$D$113,E110:E113)</f>
        <v/>
      </c>
      <c r="F26" s="1367">
        <f>_xlfn.XLOOKUP($C$4,$D$110:$D$113,F110:F113)</f>
        <v/>
      </c>
      <c r="G26" s="1367">
        <f>_xlfn.XLOOKUP($C$4,$D$110:$D$113,G110:G113)</f>
        <v/>
      </c>
      <c r="H26" s="1367">
        <f>_xlfn.XLOOKUP($C$4,$D$110:$D$113,H110:H113)</f>
        <v/>
      </c>
      <c r="I26" s="1367">
        <f>_xlfn.XLOOKUP($C$4,$D$110:$D$113,I110:I113)</f>
        <v/>
      </c>
      <c r="J26" s="1367">
        <f>_xlfn.XLOOKUP($C$4,$D$110:$D$113,J110:J113)</f>
        <v/>
      </c>
      <c r="K26" s="1367">
        <f>_xlfn.XLOOKUP($C$4,$D$110:$D$113,K110:K113)</f>
        <v/>
      </c>
      <c r="L26" s="628" t="inlineStr">
        <is>
          <t>Not sourced</t>
        </is>
      </c>
      <c r="M26" s="454" t="inlineStr">
        <is>
          <t>Low</t>
        </is>
      </c>
    </row>
    <row r="27">
      <c r="A27" s="361" t="inlineStr">
        <is>
          <t>D20</t>
        </is>
      </c>
      <c r="B27" s="362" t="inlineStr">
        <is>
          <t>WACC (nominal, INR)</t>
        </is>
      </c>
      <c r="C27" s="363" t="inlineStr">
        <is>
          <t>%</t>
        </is>
      </c>
      <c r="D27" s="1376">
        <f>$D$168</f>
        <v/>
      </c>
      <c r="E27" s="1369">
        <f>_xlfn.XLOOKUP($C$4,$D$114:$D$117,E114:E117)</f>
        <v/>
      </c>
      <c r="F27" s="1369">
        <f>_xlfn.XLOOKUP($C$4,$D$114:$D$117,F114:F117)</f>
        <v/>
      </c>
      <c r="G27" s="1369">
        <f>_xlfn.XLOOKUP($C$4,$D$114:$D$117,G114:G117)</f>
        <v/>
      </c>
      <c r="H27" s="1369">
        <f>_xlfn.XLOOKUP($C$4,$D$114:$D$117,H114:H117)</f>
        <v/>
      </c>
      <c r="I27" s="1369">
        <f>_xlfn.XLOOKUP($C$4,$D$114:$D$117,I114:I117)</f>
        <v/>
      </c>
      <c r="J27" s="1369">
        <f>_xlfn.XLOOKUP($C$4,$D$114:$D$117,J114:J117)</f>
        <v/>
      </c>
      <c r="K27" s="1369">
        <f>_xlfn.XLOOKUP($C$4,$D$114:$D$117,K114:K117)</f>
        <v/>
      </c>
      <c r="L27" s="628" t="inlineStr">
        <is>
          <t>Composite</t>
        </is>
      </c>
      <c r="M27" s="454" t="inlineStr">
        <is>
          <t>Medium</t>
        </is>
      </c>
    </row>
    <row r="28">
      <c r="A28" s="361" t="inlineStr">
        <is>
          <t>D21</t>
        </is>
      </c>
      <c r="B28" s="362" t="inlineStr">
        <is>
          <t>Finished steel imports</t>
        </is>
      </c>
      <c r="C28" s="363" t="inlineStr">
        <is>
          <t>Mt</t>
        </is>
      </c>
      <c r="D28" s="652">
        <f>'[1]Imports &amp; Exports'!$H$6</f>
        <v/>
      </c>
      <c r="E28" s="1367">
        <f>_xlfn.XLOOKUP($C$4,$D$118:$D$121,E118:E121)</f>
        <v/>
      </c>
      <c r="F28" s="1367">
        <f>_xlfn.XLOOKUP($C$4,$D$118:$D$121,F118:F121)</f>
        <v/>
      </c>
      <c r="G28" s="1367">
        <f>_xlfn.XLOOKUP($C$4,$D$118:$D$121,G118:G121)</f>
        <v/>
      </c>
      <c r="H28" s="1367">
        <f>_xlfn.XLOOKUP($C$4,$D$118:$D$121,H118:H121)</f>
        <v/>
      </c>
      <c r="I28" s="1367">
        <f>_xlfn.XLOOKUP($C$4,$D$118:$D$121,I118:I121)</f>
        <v/>
      </c>
      <c r="J28" s="1367">
        <f>_xlfn.XLOOKUP($C$4,$D$118:$D$121,J118:J121)</f>
        <v/>
      </c>
      <c r="K28" s="1367">
        <f>_xlfn.XLOOKUP($C$4,$D$118:$D$121,K118:K121)</f>
        <v/>
      </c>
      <c r="L28" s="628" t="inlineStr">
        <is>
          <t>Derived-DB</t>
        </is>
      </c>
      <c r="M28" s="454" t="inlineStr">
        <is>
          <t>Medium</t>
        </is>
      </c>
    </row>
    <row r="29">
      <c r="A29" s="361" t="inlineStr">
        <is>
          <t>D22</t>
        </is>
      </c>
      <c r="B29" s="362" t="inlineStr">
        <is>
          <t>Secondary and unattributed capacity additions</t>
        </is>
      </c>
      <c r="C29" s="363" t="inlineStr">
        <is>
          <t>Mtpa p.a.</t>
        </is>
      </c>
      <c r="D29" s="652">
        <f>'[1]Production Capacity'!$H$7</f>
        <v/>
      </c>
      <c r="E29" s="1367">
        <f>_xlfn.XLOOKUP($C$4,$D$122:$D$125,E122:E125)</f>
        <v/>
      </c>
      <c r="F29" s="1367">
        <f>_xlfn.XLOOKUP($C$4,$D$122:$D$125,F122:F125)</f>
        <v/>
      </c>
      <c r="G29" s="1367">
        <f>_xlfn.XLOOKUP($C$4,$D$122:$D$125,G122:G125)</f>
        <v/>
      </c>
      <c r="H29" s="1367">
        <f>_xlfn.XLOOKUP($C$4,$D$122:$D$125,H122:H125)</f>
        <v/>
      </c>
      <c r="I29" s="1367">
        <f>_xlfn.XLOOKUP($C$4,$D$122:$D$125,I122:I125)</f>
        <v/>
      </c>
      <c r="J29" s="1367">
        <f>_xlfn.XLOOKUP($C$4,$D$122:$D$125,J122:J125)</f>
        <v/>
      </c>
      <c r="K29" s="1367">
        <f>_xlfn.XLOOKUP($C$4,$D$122:$D$125,K122:K125)</f>
        <v/>
      </c>
      <c r="L29" s="628" t="inlineStr">
        <is>
          <t>Derived-DB</t>
        </is>
      </c>
      <c r="M29" s="454" t="inlineStr">
        <is>
          <t>Medium</t>
        </is>
      </c>
    </row>
    <row r="30">
      <c r="A30" s="361" t="inlineStr">
        <is>
          <t>D23</t>
        </is>
      </c>
      <c r="B30" s="362" t="inlineStr">
        <is>
          <t>Price sensitivity to capacity utilisation (lagged)</t>
        </is>
      </c>
      <c r="C30" s="363" t="inlineStr">
        <is>
          <t>x</t>
        </is>
      </c>
      <c r="D30" s="1377" t="n">
        <v>0.4</v>
      </c>
      <c r="E30" s="1365">
        <f>_xlfn.XLOOKUP($C$4,$D$126:$D$129,E126:E129)</f>
        <v/>
      </c>
      <c r="F30" s="1365">
        <f>_xlfn.XLOOKUP($C$4,$D$126:$D$129,F126:F129)</f>
        <v/>
      </c>
      <c r="G30" s="1365">
        <f>_xlfn.XLOOKUP($C$4,$D$126:$D$129,G126:G129)</f>
        <v/>
      </c>
      <c r="H30" s="1365">
        <f>_xlfn.XLOOKUP($C$4,$D$126:$D$129,H126:H129)</f>
        <v/>
      </c>
      <c r="I30" s="1365">
        <f>_xlfn.XLOOKUP($C$4,$D$126:$D$129,I126:I129)</f>
        <v/>
      </c>
      <c r="J30" s="1365">
        <f>_xlfn.XLOOKUP($C$4,$D$126:$D$129,J126:J129)</f>
        <v/>
      </c>
      <c r="K30" s="1365">
        <f>_xlfn.XLOOKUP($C$4,$D$126:$D$129,K126:K129)</f>
        <v/>
      </c>
      <c r="L30" s="628" t="inlineStr">
        <is>
          <t>Indicative</t>
        </is>
      </c>
      <c r="M30" s="454" t="inlineStr">
        <is>
          <t>Low</t>
        </is>
      </c>
    </row>
    <row r="31">
      <c r="A31" s="361" t="inlineStr">
        <is>
          <t>D24</t>
        </is>
      </c>
      <c r="B31" s="362" t="inlineStr">
        <is>
          <t>Normal capacity utilisation</t>
        </is>
      </c>
      <c r="C31" s="363" t="inlineStr">
        <is>
          <t>%</t>
        </is>
      </c>
      <c r="D31" s="624" t="n">
        <v>0.8</v>
      </c>
      <c r="E31" s="616">
        <f>_xlfn.XLOOKUP($C$4,$D$130:$D$133,E130:E133)</f>
        <v/>
      </c>
      <c r="F31" s="616">
        <f>_xlfn.XLOOKUP($C$4,$D$130:$D$133,F130:F133)</f>
        <v/>
      </c>
      <c r="G31" s="616">
        <f>_xlfn.XLOOKUP($C$4,$D$130:$D$133,G130:G133)</f>
        <v/>
      </c>
      <c r="H31" s="616">
        <f>_xlfn.XLOOKUP($C$4,$D$130:$D$133,H130:H133)</f>
        <v/>
      </c>
      <c r="I31" s="616">
        <f>_xlfn.XLOOKUP($C$4,$D$130:$D$133,I130:I133)</f>
        <v/>
      </c>
      <c r="J31" s="616">
        <f>_xlfn.XLOOKUP($C$4,$D$130:$D$133,J130:J133)</f>
        <v/>
      </c>
      <c r="K31" s="616">
        <f>_xlfn.XLOOKUP($C$4,$D$130:$D$133,K130:K133)</f>
        <v/>
      </c>
      <c r="L31" s="628" t="inlineStr">
        <is>
          <t>Derived-DB</t>
        </is>
      </c>
      <c r="M31" s="454" t="inlineStr">
        <is>
          <t>Medium</t>
        </is>
      </c>
    </row>
    <row r="32">
      <c r="A32" s="361" t="inlineStr">
        <is>
          <t>D25</t>
        </is>
      </c>
      <c r="B32" s="362" t="inlineStr">
        <is>
          <t>Maximum practical capacity utilisation</t>
        </is>
      </c>
      <c r="C32" s="363" t="inlineStr">
        <is>
          <t>%</t>
        </is>
      </c>
      <c r="D32" s="624" t="n">
        <v>0.92</v>
      </c>
      <c r="E32" s="616">
        <f>_xlfn.XLOOKUP($C$4,$D$134:$D$137,E134:E137)</f>
        <v/>
      </c>
      <c r="F32" s="616">
        <f>_xlfn.XLOOKUP($C$4,$D$134:$D$137,F134:F137)</f>
        <v/>
      </c>
      <c r="G32" s="616">
        <f>_xlfn.XLOOKUP($C$4,$D$134:$D$137,G134:G137)</f>
        <v/>
      </c>
      <c r="H32" s="616">
        <f>_xlfn.XLOOKUP($C$4,$D$134:$D$137,H134:H137)</f>
        <v/>
      </c>
      <c r="I32" s="616">
        <f>_xlfn.XLOOKUP($C$4,$D$134:$D$137,I134:I137)</f>
        <v/>
      </c>
      <c r="J32" s="616">
        <f>_xlfn.XLOOKUP($C$4,$D$134:$D$137,J134:J137)</f>
        <v/>
      </c>
      <c r="K32" s="616">
        <f>_xlfn.XLOOKUP($C$4,$D$134:$D$137,K134:K137)</f>
        <v/>
      </c>
      <c r="L32" s="628" t="inlineStr">
        <is>
          <t>Indicative</t>
        </is>
      </c>
      <c r="M32" s="454" t="inlineStr">
        <is>
          <t>Low</t>
        </is>
      </c>
    </row>
    <row r="33">
      <c r="A33" s="364" t="inlineStr">
        <is>
          <t>D26</t>
        </is>
      </c>
      <c r="B33" s="365" t="inlineStr">
        <is>
          <t>Depreciation and amortisation</t>
        </is>
      </c>
      <c r="C33" s="366" t="inlineStr">
        <is>
          <t>% of revenue</t>
        </is>
      </c>
      <c r="D33" s="625">
        <f>'Cash Flow Model'!$C$92</f>
        <v/>
      </c>
      <c r="E33" s="626">
        <f>_xlfn.XLOOKUP($C$4,$D$138:$D$141,E138:E141)</f>
        <v/>
      </c>
      <c r="F33" s="626">
        <f>_xlfn.XLOOKUP($C$4,$D$138:$D$141,F138:F141)</f>
        <v/>
      </c>
      <c r="G33" s="626">
        <f>_xlfn.XLOOKUP($C$4,$D$138:$D$141,G138:G141)</f>
        <v/>
      </c>
      <c r="H33" s="626">
        <f>_xlfn.XLOOKUP($C$4,$D$138:$D$141,H138:H141)</f>
        <v/>
      </c>
      <c r="I33" s="626">
        <f>_xlfn.XLOOKUP($C$4,$D$138:$D$141,I138:I141)</f>
        <v/>
      </c>
      <c r="J33" s="626">
        <f>_xlfn.XLOOKUP($C$4,$D$138:$D$141,J138:J141)</f>
        <v/>
      </c>
      <c r="K33" s="626">
        <f>_xlfn.XLOOKUP($C$4,$D$138:$D$141,K138:K141)</f>
        <v/>
      </c>
      <c r="L33" s="629" t="inlineStr">
        <is>
          <t>Derived-DB</t>
        </is>
      </c>
      <c r="M33" s="455" t="inlineStr">
        <is>
          <t>High</t>
        </is>
      </c>
    </row>
    <row r="34">
      <c r="B34" s="1167" t="n"/>
    </row>
    <row r="35">
      <c r="B35" s="1167" t="n"/>
    </row>
    <row r="36" ht="16.2" customHeight="1" thickBot="1">
      <c r="A36" s="1184" t="inlineStr">
        <is>
          <t xml:space="preserve">SCENARIO DRIVER MATRIX </t>
        </is>
      </c>
    </row>
    <row r="37" ht="15" customHeight="1" thickBot="1">
      <c r="A37" s="598" t="inlineStr">
        <is>
          <t>Sl No</t>
        </is>
      </c>
      <c r="B37" s="599" t="inlineStr">
        <is>
          <t>Driver</t>
        </is>
      </c>
      <c r="C37" s="599" t="inlineStr">
        <is>
          <t>Unit</t>
        </is>
      </c>
      <c r="D37" s="599" t="inlineStr">
        <is>
          <t>Scenario</t>
        </is>
      </c>
      <c r="E37" s="599" t="inlineStr">
        <is>
          <t>FY2027E</t>
        </is>
      </c>
      <c r="F37" s="599" t="inlineStr">
        <is>
          <t>FY2028E</t>
        </is>
      </c>
      <c r="G37" s="599" t="inlineStr">
        <is>
          <t>FY2029E</t>
        </is>
      </c>
      <c r="H37" s="599" t="inlineStr">
        <is>
          <t>FY2030E</t>
        </is>
      </c>
      <c r="I37" s="599" t="inlineStr">
        <is>
          <t>FY2031E</t>
        </is>
      </c>
      <c r="J37" s="599" t="inlineStr">
        <is>
          <t>FY2032E</t>
        </is>
      </c>
      <c r="K37" s="599" t="inlineStr">
        <is>
          <t>FY2033E</t>
        </is>
      </c>
      <c r="L37" s="599" t="inlineStr">
        <is>
          <t>Source</t>
        </is>
      </c>
      <c r="M37" s="600" t="inlineStr">
        <is>
          <t>Audit Code</t>
        </is>
      </c>
      <c r="N37" s="1176" t="n"/>
    </row>
    <row r="38">
      <c r="A38" s="1180" t="n">
        <v>1</v>
      </c>
      <c r="B38" s="1177" t="inlineStr">
        <is>
          <t>India real GDP growth</t>
        </is>
      </c>
      <c r="C38" s="1168" t="inlineStr">
        <is>
          <t>%</t>
        </is>
      </c>
      <c r="D38" s="601" t="inlineStr">
        <is>
          <t>Base Case</t>
        </is>
      </c>
      <c r="E38" s="1378" t="n">
        <v>0.066</v>
      </c>
      <c r="F38" s="1378" t="n">
        <v>0.068</v>
      </c>
      <c r="G38" s="1378" t="n">
        <v>0.068</v>
      </c>
      <c r="H38" s="1378" t="n">
        <v>0.067</v>
      </c>
      <c r="I38" s="1378" t="n">
        <v>0.067</v>
      </c>
      <c r="J38" s="1378" t="n">
        <v>0.065</v>
      </c>
      <c r="K38" s="1378" t="n">
        <v>0.065</v>
      </c>
      <c r="L38" s="1168" t="inlineStr">
        <is>
          <t>RBI-Jun26</t>
        </is>
      </c>
      <c r="M38" s="1171" t="inlineStr">
        <is>
          <t>MA01</t>
        </is>
      </c>
      <c r="N38" s="1167" t="n"/>
    </row>
    <row r="39">
      <c r="A39" s="1379" t="n"/>
      <c r="B39" s="1380" t="n"/>
      <c r="C39" s="1380" t="n"/>
      <c r="D39" s="591" t="inlineStr">
        <is>
          <t>Bull Case</t>
        </is>
      </c>
      <c r="E39" s="1381" t="n">
        <v>0.074</v>
      </c>
      <c r="F39" s="1381" t="n">
        <v>0.076</v>
      </c>
      <c r="G39" s="1381" t="n">
        <v>0.075</v>
      </c>
      <c r="H39" s="1381" t="n">
        <v>0.074</v>
      </c>
      <c r="I39" s="1381" t="n">
        <v>0.073</v>
      </c>
      <c r="J39" s="1381" t="n">
        <v>0.07199999999999999</v>
      </c>
      <c r="K39" s="1381" t="n">
        <v>0.07000000000000001</v>
      </c>
      <c r="L39" s="1380" t="n"/>
      <c r="M39" s="1382" t="n"/>
    </row>
    <row r="40">
      <c r="A40" s="1379" t="n"/>
      <c r="B40" s="1380" t="n"/>
      <c r="C40" s="1380" t="n"/>
      <c r="D40" s="591" t="inlineStr">
        <is>
          <t>Bear Case</t>
        </is>
      </c>
      <c r="E40" s="1381" t="n">
        <v>0.056</v>
      </c>
      <c r="F40" s="1381" t="n">
        <v>0.058</v>
      </c>
      <c r="G40" s="1381" t="n">
        <v>0.06</v>
      </c>
      <c r="H40" s="1381" t="n">
        <v>0.061</v>
      </c>
      <c r="I40" s="1381" t="n">
        <v>0.062</v>
      </c>
      <c r="J40" s="1381" t="n">
        <v>0.062</v>
      </c>
      <c r="K40" s="1381" t="n">
        <v>0.062</v>
      </c>
      <c r="L40" s="1380" t="n"/>
      <c r="M40" s="1382" t="n"/>
    </row>
    <row r="41" ht="15" customHeight="1" thickBot="1">
      <c r="A41" s="1383" t="n"/>
      <c r="B41" s="1384" t="n"/>
      <c r="C41" s="1384" t="n"/>
      <c r="D41" s="596" t="inlineStr">
        <is>
          <t>Stress Case</t>
        </is>
      </c>
      <c r="E41" s="1385" t="n">
        <v>0.044</v>
      </c>
      <c r="F41" s="1385" t="n">
        <v>0.048</v>
      </c>
      <c r="G41" s="1385" t="n">
        <v>0.055</v>
      </c>
      <c r="H41" s="1385" t="n">
        <v>0.058</v>
      </c>
      <c r="I41" s="1385" t="n">
        <v>0.06</v>
      </c>
      <c r="J41" s="1385" t="n">
        <v>0.06</v>
      </c>
      <c r="K41" s="1385" t="n">
        <v>0.06</v>
      </c>
      <c r="L41" s="1384" t="n"/>
      <c r="M41" s="1386" t="n"/>
    </row>
    <row r="42">
      <c r="A42" s="1180" t="n">
        <v>2</v>
      </c>
      <c r="B42" s="1177" t="inlineStr">
        <is>
          <t>Steel demand elasticity to real GDP</t>
        </is>
      </c>
      <c r="C42" s="1168" t="inlineStr">
        <is>
          <t>x</t>
        </is>
      </c>
      <c r="D42" s="601" t="inlineStr">
        <is>
          <t>Base Case</t>
        </is>
      </c>
      <c r="E42" s="1387" t="n">
        <v>1.15</v>
      </c>
      <c r="F42" s="1387" t="n">
        <v>1.15</v>
      </c>
      <c r="G42" s="1387" t="n">
        <v>1.12</v>
      </c>
      <c r="H42" s="1387" t="n">
        <v>1.1</v>
      </c>
      <c r="I42" s="1387" t="n">
        <v>1.08</v>
      </c>
      <c r="J42" s="1387" t="n">
        <v>1.06</v>
      </c>
      <c r="K42" s="1387" t="n">
        <v>1.05</v>
      </c>
      <c r="L42" s="1168" t="inlineStr">
        <is>
          <t>Derived-DB</t>
        </is>
      </c>
      <c r="M42" s="1171" t="inlineStr">
        <is>
          <t>MA02</t>
        </is>
      </c>
      <c r="N42" s="1167" t="n"/>
    </row>
    <row r="43">
      <c r="A43" s="1379" t="n"/>
      <c r="B43" s="1380" t="n"/>
      <c r="C43" s="1380" t="n"/>
      <c r="D43" s="591" t="inlineStr">
        <is>
          <t>Bull Case</t>
        </is>
      </c>
      <c r="E43" s="1388" t="n">
        <v>1.3</v>
      </c>
      <c r="F43" s="1388" t="n">
        <v>1.28</v>
      </c>
      <c r="G43" s="1388" t="n">
        <v>1.25</v>
      </c>
      <c r="H43" s="1388" t="n">
        <v>1.22</v>
      </c>
      <c r="I43" s="1388" t="n">
        <v>1.2</v>
      </c>
      <c r="J43" s="1388" t="n">
        <v>1.18</v>
      </c>
      <c r="K43" s="1388" t="n">
        <v>1.15</v>
      </c>
      <c r="L43" s="1380" t="n"/>
      <c r="M43" s="1382" t="n"/>
    </row>
    <row r="44">
      <c r="A44" s="1379" t="n"/>
      <c r="B44" s="1380" t="n"/>
      <c r="C44" s="1380" t="n"/>
      <c r="D44" s="591" t="inlineStr">
        <is>
          <t>Bear Case</t>
        </is>
      </c>
      <c r="E44" s="1388" t="n">
        <v>1</v>
      </c>
      <c r="F44" s="1388" t="n">
        <v>1</v>
      </c>
      <c r="G44" s="1388" t="n">
        <v>0.98</v>
      </c>
      <c r="H44" s="1388" t="n">
        <v>0.97</v>
      </c>
      <c r="I44" s="1388" t="n">
        <v>0.96</v>
      </c>
      <c r="J44" s="1388" t="n">
        <v>0.95</v>
      </c>
      <c r="K44" s="1388" t="n">
        <v>0.95</v>
      </c>
      <c r="L44" s="1380" t="n"/>
      <c r="M44" s="1382" t="n"/>
    </row>
    <row r="45" ht="15" customHeight="1" thickBot="1">
      <c r="A45" s="1383" t="n"/>
      <c r="B45" s="1384" t="n"/>
      <c r="C45" s="1384" t="n"/>
      <c r="D45" s="596" t="inlineStr">
        <is>
          <t>Stress Case</t>
        </is>
      </c>
      <c r="E45" s="1389" t="n">
        <v>0.75</v>
      </c>
      <c r="F45" s="1389" t="n">
        <v>0.85</v>
      </c>
      <c r="G45" s="1389" t="n">
        <v>0.9</v>
      </c>
      <c r="H45" s="1389" t="n">
        <v>0.92</v>
      </c>
      <c r="I45" s="1389" t="n">
        <v>0.93</v>
      </c>
      <c r="J45" s="1389" t="n">
        <v>0.9399999999999999</v>
      </c>
      <c r="K45" s="1389" t="n">
        <v>0.95</v>
      </c>
      <c r="L45" s="1384" t="n"/>
      <c r="M45" s="1386" t="n"/>
    </row>
    <row r="46">
      <c r="A46" s="1180" t="n">
        <v>3</v>
      </c>
      <c r="B46" s="1177" t="inlineStr">
        <is>
          <t>USD/INR average</t>
        </is>
      </c>
      <c r="C46" s="1168" t="inlineStr">
        <is>
          <t>Rs/US$</t>
        </is>
      </c>
      <c r="D46" s="601" t="inlineStr">
        <is>
          <t>Base Case</t>
        </is>
      </c>
      <c r="E46" s="1390" t="n">
        <v>94.5</v>
      </c>
      <c r="F46" s="1390" t="n">
        <v>95.5</v>
      </c>
      <c r="G46" s="1390" t="n">
        <v>96.5</v>
      </c>
      <c r="H46" s="1390" t="n">
        <v>97.5</v>
      </c>
      <c r="I46" s="1390" t="n">
        <v>98.5</v>
      </c>
      <c r="J46" s="1390" t="n">
        <v>99.5</v>
      </c>
      <c r="K46" s="1390" t="n">
        <v>100.5</v>
      </c>
      <c r="L46" s="1168" t="inlineStr">
        <is>
          <t>IDBI-22Jun26</t>
        </is>
      </c>
      <c r="M46" s="1171" t="inlineStr">
        <is>
          <t>MA03</t>
        </is>
      </c>
      <c r="N46" s="1167" t="n"/>
    </row>
    <row r="47">
      <c r="A47" s="1379" t="n"/>
      <c r="B47" s="1380" t="n"/>
      <c r="C47" s="1380" t="n"/>
      <c r="D47" s="591" t="inlineStr">
        <is>
          <t>Bull Case</t>
        </is>
      </c>
      <c r="E47" s="1391" t="n">
        <v>93</v>
      </c>
      <c r="F47" s="1391" t="n">
        <v>93.5</v>
      </c>
      <c r="G47" s="1391" t="n">
        <v>94</v>
      </c>
      <c r="H47" s="1391" t="n">
        <v>94.5</v>
      </c>
      <c r="I47" s="1391" t="n">
        <v>95</v>
      </c>
      <c r="J47" s="1391" t="n">
        <v>95.5</v>
      </c>
      <c r="K47" s="1391" t="n">
        <v>96</v>
      </c>
      <c r="L47" s="1380" t="n"/>
      <c r="M47" s="1382" t="n"/>
    </row>
    <row r="48">
      <c r="A48" s="1379" t="n"/>
      <c r="B48" s="1380" t="n"/>
      <c r="C48" s="1380" t="n"/>
      <c r="D48" s="591" t="inlineStr">
        <is>
          <t>Bear Case</t>
        </is>
      </c>
      <c r="E48" s="1391" t="n">
        <v>96.5</v>
      </c>
      <c r="F48" s="1391" t="n">
        <v>98.5</v>
      </c>
      <c r="G48" s="1391" t="n">
        <v>100</v>
      </c>
      <c r="H48" s="1391" t="n">
        <v>101.5</v>
      </c>
      <c r="I48" s="1391" t="n">
        <v>103</v>
      </c>
      <c r="J48" s="1391" t="n">
        <v>104.5</v>
      </c>
      <c r="K48" s="1391" t="n">
        <v>106</v>
      </c>
      <c r="L48" s="1380" t="n"/>
      <c r="M48" s="1382" t="n"/>
    </row>
    <row r="49" ht="15" customHeight="1" thickBot="1">
      <c r="A49" s="1383" t="n"/>
      <c r="B49" s="1384" t="n"/>
      <c r="C49" s="1384" t="n"/>
      <c r="D49" s="596" t="inlineStr">
        <is>
          <t>Stress Case</t>
        </is>
      </c>
      <c r="E49" s="1392" t="n">
        <v>101</v>
      </c>
      <c r="F49" s="1392" t="n">
        <v>105</v>
      </c>
      <c r="G49" s="1392" t="n">
        <v>107</v>
      </c>
      <c r="H49" s="1392" t="n">
        <v>108.5</v>
      </c>
      <c r="I49" s="1392" t="n">
        <v>110</v>
      </c>
      <c r="J49" s="1392" t="n">
        <v>111.5</v>
      </c>
      <c r="K49" s="1392" t="n">
        <v>113</v>
      </c>
      <c r="L49" s="1384" t="n"/>
      <c r="M49" s="1386" t="n"/>
    </row>
    <row r="50">
      <c r="A50" s="1180" t="n">
        <v>4</v>
      </c>
      <c r="B50" s="1177" t="inlineStr">
        <is>
          <t>CPI inflation</t>
        </is>
      </c>
      <c r="C50" s="1168" t="inlineStr">
        <is>
          <t>%</t>
        </is>
      </c>
      <c r="D50" s="601" t="inlineStr">
        <is>
          <t>Base Case</t>
        </is>
      </c>
      <c r="E50" s="1378" t="n">
        <v>0.051</v>
      </c>
      <c r="F50" s="1378" t="n">
        <v>0.046</v>
      </c>
      <c r="G50" s="1378" t="n">
        <v>0.045</v>
      </c>
      <c r="H50" s="1378" t="n">
        <v>0.045</v>
      </c>
      <c r="I50" s="1378" t="n">
        <v>0.045</v>
      </c>
      <c r="J50" s="1378" t="n">
        <v>0.045</v>
      </c>
      <c r="K50" s="1378" t="n">
        <v>0.045</v>
      </c>
      <c r="L50" s="1168" t="inlineStr">
        <is>
          <t>RBI-Jun26</t>
        </is>
      </c>
      <c r="M50" s="1171" t="inlineStr">
        <is>
          <t>MA04</t>
        </is>
      </c>
      <c r="N50" s="1167" t="n"/>
    </row>
    <row r="51">
      <c r="A51" s="1379" t="n"/>
      <c r="B51" s="1380" t="n"/>
      <c r="C51" s="1380" t="n"/>
      <c r="D51" s="591" t="inlineStr">
        <is>
          <t>Bull Case</t>
        </is>
      </c>
      <c r="E51" s="1381" t="n">
        <v>0.045</v>
      </c>
      <c r="F51" s="1381" t="n">
        <v>0.042</v>
      </c>
      <c r="G51" s="1381" t="n">
        <v>0.042</v>
      </c>
      <c r="H51" s="1381" t="n">
        <v>0.042</v>
      </c>
      <c r="I51" s="1381" t="n">
        <v>0.042</v>
      </c>
      <c r="J51" s="1381" t="n">
        <v>0.042</v>
      </c>
      <c r="K51" s="1381" t="n">
        <v>0.042</v>
      </c>
      <c r="L51" s="1380" t="n"/>
      <c r="M51" s="1382" t="n"/>
    </row>
    <row r="52">
      <c r="A52" s="1379" t="n"/>
      <c r="B52" s="1380" t="n"/>
      <c r="C52" s="1380" t="n"/>
      <c r="D52" s="591" t="inlineStr">
        <is>
          <t>Bear Case</t>
        </is>
      </c>
      <c r="E52" s="1381" t="n">
        <v>0.057</v>
      </c>
      <c r="F52" s="1381" t="n">
        <v>0.052</v>
      </c>
      <c r="G52" s="1381" t="n">
        <v>0.05</v>
      </c>
      <c r="H52" s="1381" t="n">
        <v>0.048</v>
      </c>
      <c r="I52" s="1381" t="n">
        <v>0.048</v>
      </c>
      <c r="J52" s="1381" t="n">
        <v>0.048</v>
      </c>
      <c r="K52" s="1381" t="n">
        <v>0.048</v>
      </c>
      <c r="L52" s="1380" t="n"/>
      <c r="M52" s="1382" t="n"/>
    </row>
    <row r="53" ht="15" customHeight="1" thickBot="1">
      <c r="A53" s="1383" t="n"/>
      <c r="B53" s="1384" t="n"/>
      <c r="C53" s="1384" t="n"/>
      <c r="D53" s="596" t="inlineStr">
        <is>
          <t>Stress Case</t>
        </is>
      </c>
      <c r="E53" s="1385" t="n">
        <v>0.068</v>
      </c>
      <c r="F53" s="1385" t="n">
        <v>0.062</v>
      </c>
      <c r="G53" s="1385" t="n">
        <v>0.055</v>
      </c>
      <c r="H53" s="1385" t="n">
        <v>0.052</v>
      </c>
      <c r="I53" s="1385" t="n">
        <v>0.05</v>
      </c>
      <c r="J53" s="1385" t="n">
        <v>0.05</v>
      </c>
      <c r="K53" s="1385" t="n">
        <v>0.05</v>
      </c>
      <c r="L53" s="1384" t="n"/>
      <c r="M53" s="1386" t="n"/>
    </row>
    <row r="54">
      <c r="A54" s="1180" t="n">
        <v>5</v>
      </c>
      <c r="B54" s="1177" t="inlineStr">
        <is>
          <t>Announced pipeline delivery factor</t>
        </is>
      </c>
      <c r="C54" s="1168" t="inlineStr">
        <is>
          <t>%</t>
        </is>
      </c>
      <c r="D54" s="601" t="inlineStr">
        <is>
          <t>Base Case</t>
        </is>
      </c>
      <c r="E54" s="1378" t="n">
        <v>0.85</v>
      </c>
      <c r="F54" s="1378" t="n">
        <v>0.85</v>
      </c>
      <c r="G54" s="1378" t="n">
        <v>0.85</v>
      </c>
      <c r="H54" s="1378" t="n">
        <v>0.85</v>
      </c>
      <c r="I54" s="1378" t="n">
        <v>0.85</v>
      </c>
      <c r="J54" s="1378" t="n">
        <v>0.85</v>
      </c>
      <c r="K54" s="1378" t="n">
        <v>0.85</v>
      </c>
      <c r="L54" s="1168" t="inlineStr">
        <is>
          <t>Derived-DB</t>
        </is>
      </c>
      <c r="M54" s="1171" t="inlineStr">
        <is>
          <t>MA05</t>
        </is>
      </c>
      <c r="N54" s="1167" t="n"/>
    </row>
    <row r="55">
      <c r="A55" s="1379" t="n"/>
      <c r="B55" s="1380" t="n"/>
      <c r="C55" s="1380" t="n"/>
      <c r="D55" s="591" t="inlineStr">
        <is>
          <t>Bull Case</t>
        </is>
      </c>
      <c r="E55" s="1381" t="n">
        <v>0.95</v>
      </c>
      <c r="F55" s="1381" t="n">
        <v>0.95</v>
      </c>
      <c r="G55" s="1381" t="n">
        <v>0.95</v>
      </c>
      <c r="H55" s="1381" t="n">
        <v>0.95</v>
      </c>
      <c r="I55" s="1381" t="n">
        <v>0.95</v>
      </c>
      <c r="J55" s="1381" t="n">
        <v>0.95</v>
      </c>
      <c r="K55" s="1381" t="n">
        <v>0.95</v>
      </c>
      <c r="L55" s="1380" t="n"/>
      <c r="M55" s="1382" t="n"/>
    </row>
    <row r="56">
      <c r="A56" s="1379" t="n"/>
      <c r="B56" s="1380" t="n"/>
      <c r="C56" s="1380" t="n"/>
      <c r="D56" s="591" t="inlineStr">
        <is>
          <t>Bear Case</t>
        </is>
      </c>
      <c r="E56" s="1381" t="n">
        <v>0.7</v>
      </c>
      <c r="F56" s="1381" t="n">
        <v>0.7</v>
      </c>
      <c r="G56" s="1381" t="n">
        <v>0.7</v>
      </c>
      <c r="H56" s="1381" t="n">
        <v>0.7</v>
      </c>
      <c r="I56" s="1381" t="n">
        <v>0.7</v>
      </c>
      <c r="J56" s="1381" t="n">
        <v>0.7</v>
      </c>
      <c r="K56" s="1381" t="n">
        <v>0.7</v>
      </c>
      <c r="L56" s="1380" t="n"/>
      <c r="M56" s="1382" t="n"/>
    </row>
    <row r="57" ht="15" customHeight="1" thickBot="1">
      <c r="A57" s="1383" t="n"/>
      <c r="B57" s="1384" t="n"/>
      <c r="C57" s="1384" t="n"/>
      <c r="D57" s="596" t="inlineStr">
        <is>
          <t>Stress Case</t>
        </is>
      </c>
      <c r="E57" s="1385" t="n">
        <v>0.55</v>
      </c>
      <c r="F57" s="1385" t="n">
        <v>0.55</v>
      </c>
      <c r="G57" s="1385" t="n">
        <v>0.55</v>
      </c>
      <c r="H57" s="1385" t="n">
        <v>0.55</v>
      </c>
      <c r="I57" s="1385" t="n">
        <v>0.55</v>
      </c>
      <c r="J57" s="1385" t="n">
        <v>0.55</v>
      </c>
      <c r="K57" s="1385" t="n">
        <v>0.55</v>
      </c>
      <c r="L57" s="1384" t="n"/>
      <c r="M57" s="1386" t="n"/>
    </row>
    <row r="58">
      <c r="A58" s="1180" t="n">
        <v>6</v>
      </c>
      <c r="B58" s="1177" t="inlineStr">
        <is>
          <t>Crude-to-finished steel ratio</t>
        </is>
      </c>
      <c r="C58" s="1168" t="inlineStr">
        <is>
          <t>x</t>
        </is>
      </c>
      <c r="D58" s="601" t="inlineStr">
        <is>
          <t>Base Case</t>
        </is>
      </c>
      <c r="E58" s="1387" t="n">
        <v>1.0465</v>
      </c>
      <c r="F58" s="1387" t="n">
        <v>1.0465</v>
      </c>
      <c r="G58" s="1387" t="n">
        <v>1.0465</v>
      </c>
      <c r="H58" s="1387" t="n">
        <v>1.0465</v>
      </c>
      <c r="I58" s="1387" t="n">
        <v>1.0465</v>
      </c>
      <c r="J58" s="1387" t="n">
        <v>1.0465</v>
      </c>
      <c r="K58" s="1387" t="n">
        <v>1.0465</v>
      </c>
      <c r="L58" s="1168" t="inlineStr">
        <is>
          <t>Derived-DB</t>
        </is>
      </c>
      <c r="M58" s="1171" t="inlineStr">
        <is>
          <t>MA06</t>
        </is>
      </c>
      <c r="N58" s="1167" t="n"/>
    </row>
    <row r="59">
      <c r="A59" s="1379" t="n"/>
      <c r="B59" s="1380" t="n"/>
      <c r="C59" s="1380" t="n"/>
      <c r="D59" s="591" t="inlineStr">
        <is>
          <t>Bull Case</t>
        </is>
      </c>
      <c r="E59" s="1388" t="n">
        <v>1.043</v>
      </c>
      <c r="F59" s="1388" t="n">
        <v>1.043</v>
      </c>
      <c r="G59" s="1388" t="n">
        <v>1.043</v>
      </c>
      <c r="H59" s="1388" t="n">
        <v>1.043</v>
      </c>
      <c r="I59" s="1388" t="n">
        <v>1.043</v>
      </c>
      <c r="J59" s="1388" t="n">
        <v>1.043</v>
      </c>
      <c r="K59" s="1388" t="n">
        <v>1.043</v>
      </c>
      <c r="L59" s="1380" t="n"/>
      <c r="M59" s="1382" t="n"/>
    </row>
    <row r="60">
      <c r="A60" s="1379" t="n"/>
      <c r="B60" s="1380" t="n"/>
      <c r="C60" s="1380" t="n"/>
      <c r="D60" s="591" t="inlineStr">
        <is>
          <t>Bear Case</t>
        </is>
      </c>
      <c r="E60" s="1388" t="n">
        <v>1.05</v>
      </c>
      <c r="F60" s="1388" t="n">
        <v>1.05</v>
      </c>
      <c r="G60" s="1388" t="n">
        <v>1.05</v>
      </c>
      <c r="H60" s="1388" t="n">
        <v>1.05</v>
      </c>
      <c r="I60" s="1388" t="n">
        <v>1.05</v>
      </c>
      <c r="J60" s="1388" t="n">
        <v>1.05</v>
      </c>
      <c r="K60" s="1388" t="n">
        <v>1.05</v>
      </c>
      <c r="L60" s="1380" t="n"/>
      <c r="M60" s="1382" t="n"/>
    </row>
    <row r="61" ht="15" customHeight="1" thickBot="1">
      <c r="A61" s="1383" t="n"/>
      <c r="B61" s="1384" t="n"/>
      <c r="C61" s="1384" t="n"/>
      <c r="D61" s="596" t="inlineStr">
        <is>
          <t>Stress Case</t>
        </is>
      </c>
      <c r="E61" s="1389" t="n">
        <v>1.053</v>
      </c>
      <c r="F61" s="1389" t="n">
        <v>1.053</v>
      </c>
      <c r="G61" s="1389" t="n">
        <v>1.053</v>
      </c>
      <c r="H61" s="1389" t="n">
        <v>1.053</v>
      </c>
      <c r="I61" s="1389" t="n">
        <v>1.053</v>
      </c>
      <c r="J61" s="1389" t="n">
        <v>1.053</v>
      </c>
      <c r="K61" s="1389" t="n">
        <v>1.053</v>
      </c>
      <c r="L61" s="1384" t="n"/>
      <c r="M61" s="1386" t="n"/>
    </row>
    <row r="62">
      <c r="A62" s="1180" t="n">
        <v>7</v>
      </c>
      <c r="B62" s="1177" t="inlineStr">
        <is>
          <t>Net finished steel exports</t>
        </is>
      </c>
      <c r="C62" s="1168" t="inlineStr">
        <is>
          <t>Mt</t>
        </is>
      </c>
      <c r="D62" s="601" t="inlineStr">
        <is>
          <t>Base Case</t>
        </is>
      </c>
      <c r="E62" s="1390" t="n">
        <v>0.5</v>
      </c>
      <c r="F62" s="1390" t="n">
        <v>1</v>
      </c>
      <c r="G62" s="1390" t="n">
        <v>1.5</v>
      </c>
      <c r="H62" s="1390" t="n">
        <v>2</v>
      </c>
      <c r="I62" s="1390" t="n">
        <v>2.5</v>
      </c>
      <c r="J62" s="1390" t="n">
        <v>3</v>
      </c>
      <c r="K62" s="1390" t="n">
        <v>3.5</v>
      </c>
      <c r="L62" s="1168" t="inlineStr">
        <is>
          <t>Derived-DB</t>
        </is>
      </c>
      <c r="M62" s="1171" t="inlineStr">
        <is>
          <t>MA07</t>
        </is>
      </c>
      <c r="N62" s="1167" t="n"/>
    </row>
    <row r="63">
      <c r="A63" s="1379" t="n"/>
      <c r="B63" s="1380" t="n"/>
      <c r="C63" s="1380" t="n"/>
      <c r="D63" s="591" t="inlineStr">
        <is>
          <t>Bull Case</t>
        </is>
      </c>
      <c r="E63" s="1391" t="n">
        <v>0</v>
      </c>
      <c r="F63" s="1391" t="n">
        <v>0</v>
      </c>
      <c r="G63" s="1391" t="n">
        <v>0.5</v>
      </c>
      <c r="H63" s="1391" t="n">
        <v>0.5</v>
      </c>
      <c r="I63" s="1391" t="n">
        <v>1</v>
      </c>
      <c r="J63" s="1391" t="n">
        <v>1</v>
      </c>
      <c r="K63" s="1391" t="n">
        <v>1.5</v>
      </c>
      <c r="L63" s="1380" t="n"/>
      <c r="M63" s="1382" t="n"/>
    </row>
    <row r="64">
      <c r="A64" s="1379" t="n"/>
      <c r="B64" s="1380" t="n"/>
      <c r="C64" s="1380" t="n"/>
      <c r="D64" s="591" t="inlineStr">
        <is>
          <t>Bear Case</t>
        </is>
      </c>
      <c r="E64" s="1391" t="n">
        <v>1.5</v>
      </c>
      <c r="F64" s="1391" t="n">
        <v>2.5</v>
      </c>
      <c r="G64" s="1391" t="n">
        <v>3.5</v>
      </c>
      <c r="H64" s="1391" t="n">
        <v>4.5</v>
      </c>
      <c r="I64" s="1391" t="n">
        <v>5.5</v>
      </c>
      <c r="J64" s="1391" t="n">
        <v>6</v>
      </c>
      <c r="K64" s="1391" t="n">
        <v>6.5</v>
      </c>
      <c r="L64" s="1380" t="n"/>
      <c r="M64" s="1382" t="n"/>
    </row>
    <row r="65" ht="15" customHeight="1" thickBot="1">
      <c r="A65" s="1383" t="n"/>
      <c r="B65" s="1384" t="n"/>
      <c r="C65" s="1384" t="n"/>
      <c r="D65" s="596" t="inlineStr">
        <is>
          <t>Stress Case</t>
        </is>
      </c>
      <c r="E65" s="1392" t="n">
        <v>-1</v>
      </c>
      <c r="F65" s="1392" t="n">
        <v>-2.5</v>
      </c>
      <c r="G65" s="1392" t="n">
        <v>-3.5</v>
      </c>
      <c r="H65" s="1392" t="n">
        <v>-4</v>
      </c>
      <c r="I65" s="1392" t="n">
        <v>-4.5</v>
      </c>
      <c r="J65" s="1392" t="n">
        <v>-5</v>
      </c>
      <c r="K65" s="1392" t="n">
        <v>-5</v>
      </c>
      <c r="L65" s="1384" t="n"/>
      <c r="M65" s="1386" t="n"/>
    </row>
    <row r="66" ht="16.8" customHeight="1">
      <c r="A66" s="1180" t="n">
        <v>8</v>
      </c>
      <c r="B66" s="1177" t="inlineStr">
        <is>
          <t>Variation in stock</t>
        </is>
      </c>
      <c r="C66" s="1168" t="inlineStr">
        <is>
          <t>Mt</t>
        </is>
      </c>
      <c r="D66" s="601" t="inlineStr">
        <is>
          <t>Base Case</t>
        </is>
      </c>
      <c r="E66" s="1390" t="n">
        <v>-1</v>
      </c>
      <c r="F66" s="1390" t="n">
        <v>0</v>
      </c>
      <c r="G66" s="1390" t="n">
        <v>0.5</v>
      </c>
      <c r="H66" s="1390" t="n">
        <v>0.5</v>
      </c>
      <c r="I66" s="1390" t="n">
        <v>0.5</v>
      </c>
      <c r="J66" s="1390" t="n">
        <v>0.5</v>
      </c>
      <c r="K66" s="1390" t="n">
        <v>0.5</v>
      </c>
      <c r="L66" s="1168" t="inlineStr">
        <is>
          <t>Derived-DB</t>
        </is>
      </c>
      <c r="M66" s="1171" t="inlineStr">
        <is>
          <t>MA08</t>
        </is>
      </c>
      <c r="N66" s="1167" t="n"/>
    </row>
    <row r="67">
      <c r="A67" s="1379" t="n"/>
      <c r="B67" s="1380" t="n"/>
      <c r="C67" s="1380" t="n"/>
      <c r="D67" s="591" t="inlineStr">
        <is>
          <t>Bull Case</t>
        </is>
      </c>
      <c r="E67" s="1391" t="n">
        <v>-1.5</v>
      </c>
      <c r="F67" s="1391" t="n">
        <v>-0.5</v>
      </c>
      <c r="G67" s="1391" t="n">
        <v>0</v>
      </c>
      <c r="H67" s="1391" t="n">
        <v>0</v>
      </c>
      <c r="I67" s="1391" t="n">
        <v>0.5</v>
      </c>
      <c r="J67" s="1391" t="n">
        <v>0.5</v>
      </c>
      <c r="K67" s="1391" t="n">
        <v>0.5</v>
      </c>
      <c r="L67" s="1380" t="n"/>
      <c r="M67" s="1382" t="n"/>
    </row>
    <row r="68">
      <c r="A68" s="1379" t="n"/>
      <c r="B68" s="1380" t="n"/>
      <c r="C68" s="1380" t="n"/>
      <c r="D68" s="591" t="inlineStr">
        <is>
          <t>Bear Case</t>
        </is>
      </c>
      <c r="E68" s="1391" t="n">
        <v>0.5</v>
      </c>
      <c r="F68" s="1391" t="n">
        <v>1.5</v>
      </c>
      <c r="G68" s="1391" t="n">
        <v>1.5</v>
      </c>
      <c r="H68" s="1391" t="n">
        <v>1</v>
      </c>
      <c r="I68" s="1391" t="n">
        <v>1</v>
      </c>
      <c r="J68" s="1391" t="n">
        <v>1</v>
      </c>
      <c r="K68" s="1391" t="n">
        <v>1</v>
      </c>
      <c r="L68" s="1380" t="n"/>
      <c r="M68" s="1382" t="n"/>
    </row>
    <row r="69" ht="15" customHeight="1" thickBot="1">
      <c r="A69" s="1383" t="n"/>
      <c r="B69" s="1384" t="n"/>
      <c r="C69" s="1384" t="n"/>
      <c r="D69" s="596" t="inlineStr">
        <is>
          <t>Stress Case</t>
        </is>
      </c>
      <c r="E69" s="1392" t="n">
        <v>2</v>
      </c>
      <c r="F69" s="1392" t="n">
        <v>3</v>
      </c>
      <c r="G69" s="1392" t="n">
        <v>2.5</v>
      </c>
      <c r="H69" s="1392" t="n">
        <v>2</v>
      </c>
      <c r="I69" s="1392" t="n">
        <v>1.5</v>
      </c>
      <c r="J69" s="1392" t="n">
        <v>1</v>
      </c>
      <c r="K69" s="1392" t="n">
        <v>1</v>
      </c>
      <c r="L69" s="1384" t="n"/>
      <c r="M69" s="1386" t="n"/>
    </row>
    <row r="70">
      <c r="A70" s="1180" t="n">
        <v>9</v>
      </c>
      <c r="B70" s="1177" t="inlineStr">
        <is>
          <t>Blended industry realisation</t>
        </is>
      </c>
      <c r="C70" s="1168" t="inlineStr">
        <is>
          <t>Rs/t</t>
        </is>
      </c>
      <c r="D70" s="601" t="inlineStr">
        <is>
          <t>Base Case</t>
        </is>
      </c>
      <c r="E70" s="1393" t="n">
        <v>61800</v>
      </c>
      <c r="F70" s="1393" t="n">
        <v>61000</v>
      </c>
      <c r="G70" s="1393" t="n">
        <v>60500</v>
      </c>
      <c r="H70" s="1393" t="n">
        <v>62000</v>
      </c>
      <c r="I70" s="1393" t="n">
        <v>64000</v>
      </c>
      <c r="J70" s="1393" t="n">
        <v>66000</v>
      </c>
      <c r="K70" s="1393" t="n">
        <v>68000</v>
      </c>
      <c r="L70" s="1168" t="inlineStr">
        <is>
          <t>Derived-DB</t>
        </is>
      </c>
      <c r="M70" s="1171" t="inlineStr">
        <is>
          <t>MA09</t>
        </is>
      </c>
      <c r="N70" s="1167" t="n"/>
    </row>
    <row r="71">
      <c r="A71" s="1379" t="n"/>
      <c r="B71" s="1380" t="n"/>
      <c r="C71" s="1380" t="n"/>
      <c r="D71" s="591" t="inlineStr">
        <is>
          <t>Bull Case</t>
        </is>
      </c>
      <c r="E71" s="1394" t="n">
        <v>62500</v>
      </c>
      <c r="F71" s="1394" t="n">
        <v>63500</v>
      </c>
      <c r="G71" s="1394" t="n">
        <v>64000</v>
      </c>
      <c r="H71" s="1394" t="n">
        <v>65500</v>
      </c>
      <c r="I71" s="1394" t="n">
        <v>66500</v>
      </c>
      <c r="J71" s="1394" t="n">
        <v>67500</v>
      </c>
      <c r="K71" s="1394" t="n">
        <v>68500</v>
      </c>
      <c r="L71" s="1380" t="n"/>
      <c r="M71" s="1382" t="n"/>
    </row>
    <row r="72">
      <c r="A72" s="1379" t="n"/>
      <c r="B72" s="1380" t="n"/>
      <c r="C72" s="1380" t="n"/>
      <c r="D72" s="591" t="inlineStr">
        <is>
          <t>Bear Case</t>
        </is>
      </c>
      <c r="E72" s="1394" t="n">
        <v>57500</v>
      </c>
      <c r="F72" s="1394" t="n">
        <v>55000</v>
      </c>
      <c r="G72" s="1394" t="n">
        <v>54000</v>
      </c>
      <c r="H72" s="1394" t="n">
        <v>55000</v>
      </c>
      <c r="I72" s="1394" t="n">
        <v>56500</v>
      </c>
      <c r="J72" s="1394" t="n">
        <v>58000</v>
      </c>
      <c r="K72" s="1394" t="n">
        <v>59500</v>
      </c>
      <c r="L72" s="1380" t="n"/>
      <c r="M72" s="1382" t="n"/>
    </row>
    <row r="73" ht="15" customHeight="1" thickBot="1">
      <c r="A73" s="1383" t="n"/>
      <c r="B73" s="1384" t="n"/>
      <c r="C73" s="1384" t="n"/>
      <c r="D73" s="608" t="inlineStr">
        <is>
          <t>Stress Case</t>
        </is>
      </c>
      <c r="E73" s="1395" t="n">
        <v>59000</v>
      </c>
      <c r="F73" s="1395" t="n">
        <v>58500</v>
      </c>
      <c r="G73" s="1395" t="n">
        <v>60000</v>
      </c>
      <c r="H73" s="1395" t="n">
        <v>62500</v>
      </c>
      <c r="I73" s="1395" t="n">
        <v>65000</v>
      </c>
      <c r="J73" s="1395" t="n">
        <v>67000</v>
      </c>
      <c r="K73" s="1395" t="n">
        <v>69000</v>
      </c>
      <c r="L73" s="1384" t="n"/>
      <c r="M73" s="1386" t="n"/>
    </row>
    <row r="74">
      <c r="A74" s="1180" t="n">
        <v>10</v>
      </c>
      <c r="B74" s="1177" t="inlineStr">
        <is>
          <t>Iron ore 62% Fe CFR China</t>
        </is>
      </c>
      <c r="C74" s="1168" t="inlineStr">
        <is>
          <t>US$/dmt</t>
        </is>
      </c>
      <c r="D74" s="601" t="inlineStr">
        <is>
          <t>Base Case</t>
        </is>
      </c>
      <c r="E74" s="1390" t="n">
        <v>102</v>
      </c>
      <c r="F74" s="1390" t="n">
        <v>97</v>
      </c>
      <c r="G74" s="1390" t="n">
        <v>93</v>
      </c>
      <c r="H74" s="1390" t="n">
        <v>90</v>
      </c>
      <c r="I74" s="1390" t="n">
        <v>90</v>
      </c>
      <c r="J74" s="1390" t="n">
        <v>91</v>
      </c>
      <c r="K74" s="1390" t="n">
        <v>93</v>
      </c>
      <c r="L74" s="1168" t="inlineStr">
        <is>
          <t>S17</t>
        </is>
      </c>
      <c r="M74" s="1171" t="inlineStr">
        <is>
          <t>MA10</t>
        </is>
      </c>
      <c r="N74" s="1167" t="n"/>
    </row>
    <row r="75">
      <c r="A75" s="1379" t="n"/>
      <c r="B75" s="1380" t="n"/>
      <c r="C75" s="1380" t="n"/>
      <c r="D75" s="591" t="inlineStr">
        <is>
          <t>Bull Case</t>
        </is>
      </c>
      <c r="E75" s="1391" t="n">
        <v>98</v>
      </c>
      <c r="F75" s="1391" t="n">
        <v>92</v>
      </c>
      <c r="G75" s="1391" t="n">
        <v>88</v>
      </c>
      <c r="H75" s="1391" t="n">
        <v>85</v>
      </c>
      <c r="I75" s="1391" t="n">
        <v>84</v>
      </c>
      <c r="J75" s="1391" t="n">
        <v>84</v>
      </c>
      <c r="K75" s="1391" t="n">
        <v>86</v>
      </c>
      <c r="L75" s="1380" t="n"/>
      <c r="M75" s="1382" t="n"/>
    </row>
    <row r="76">
      <c r="A76" s="1379" t="n"/>
      <c r="B76" s="1380" t="n"/>
      <c r="C76" s="1380" t="n"/>
      <c r="D76" s="591" t="inlineStr">
        <is>
          <t>Bear Case</t>
        </is>
      </c>
      <c r="E76" s="1391" t="n">
        <v>96</v>
      </c>
      <c r="F76" s="1391" t="n">
        <v>90</v>
      </c>
      <c r="G76" s="1391" t="n">
        <v>86</v>
      </c>
      <c r="H76" s="1391" t="n">
        <v>83</v>
      </c>
      <c r="I76" s="1391" t="n">
        <v>82</v>
      </c>
      <c r="J76" s="1391" t="n">
        <v>82</v>
      </c>
      <c r="K76" s="1391" t="n">
        <v>83</v>
      </c>
      <c r="L76" s="1380" t="n"/>
      <c r="M76" s="1382" t="n"/>
    </row>
    <row r="77" ht="15" customHeight="1" thickBot="1">
      <c r="A77" s="1383" t="n"/>
      <c r="B77" s="1384" t="n"/>
      <c r="C77" s="1384" t="n"/>
      <c r="D77" s="596" t="inlineStr">
        <is>
          <t>Stress Case</t>
        </is>
      </c>
      <c r="E77" s="1392" t="n">
        <v>115</v>
      </c>
      <c r="F77" s="1392" t="n">
        <v>112</v>
      </c>
      <c r="G77" s="1392" t="n">
        <v>104</v>
      </c>
      <c r="H77" s="1392" t="n">
        <v>98</v>
      </c>
      <c r="I77" s="1392" t="n">
        <v>94</v>
      </c>
      <c r="J77" s="1392" t="n">
        <v>92</v>
      </c>
      <c r="K77" s="1392" t="n">
        <v>92</v>
      </c>
      <c r="L77" s="1384" t="n"/>
      <c r="M77" s="1386" t="n"/>
    </row>
    <row r="78">
      <c r="A78" s="1180" t="n">
        <v>11</v>
      </c>
      <c r="B78" s="1177" t="inlineStr">
        <is>
          <t>Premium HCC coking coal FOB Australia</t>
        </is>
      </c>
      <c r="C78" s="1168" t="inlineStr">
        <is>
          <t>US$/t</t>
        </is>
      </c>
      <c r="D78" s="601" t="inlineStr">
        <is>
          <t>Base Case</t>
        </is>
      </c>
      <c r="E78" s="1390" t="n">
        <v>210</v>
      </c>
      <c r="F78" s="1390" t="n">
        <v>200</v>
      </c>
      <c r="G78" s="1390" t="n">
        <v>195</v>
      </c>
      <c r="H78" s="1390" t="n">
        <v>190</v>
      </c>
      <c r="I78" s="1390" t="n">
        <v>190</v>
      </c>
      <c r="J78" s="1390" t="n">
        <v>195</v>
      </c>
      <c r="K78" s="1390" t="n">
        <v>200</v>
      </c>
      <c r="L78" s="1168" t="inlineStr">
        <is>
          <t>S01</t>
        </is>
      </c>
      <c r="M78" s="1171" t="inlineStr">
        <is>
          <t>MA11</t>
        </is>
      </c>
      <c r="N78" s="1167" t="n"/>
    </row>
    <row r="79">
      <c r="A79" s="1379" t="n"/>
      <c r="B79" s="1380" t="n"/>
      <c r="C79" s="1380" t="n"/>
      <c r="D79" s="591" t="inlineStr">
        <is>
          <t>Bull Case</t>
        </is>
      </c>
      <c r="E79" s="1391" t="n">
        <v>200</v>
      </c>
      <c r="F79" s="1391" t="n">
        <v>188</v>
      </c>
      <c r="G79" s="1391" t="n">
        <v>182</v>
      </c>
      <c r="H79" s="1391" t="n">
        <v>178</v>
      </c>
      <c r="I79" s="1391" t="n">
        <v>178</v>
      </c>
      <c r="J79" s="1391" t="n">
        <v>180</v>
      </c>
      <c r="K79" s="1391" t="n">
        <v>184</v>
      </c>
      <c r="L79" s="1380" t="n"/>
      <c r="M79" s="1382" t="n"/>
    </row>
    <row r="80">
      <c r="A80" s="1379" t="n"/>
      <c r="B80" s="1380" t="n"/>
      <c r="C80" s="1380" t="n"/>
      <c r="D80" s="591" t="inlineStr">
        <is>
          <t>Bear Case</t>
        </is>
      </c>
      <c r="E80" s="1391" t="n">
        <v>200</v>
      </c>
      <c r="F80" s="1391" t="n">
        <v>185</v>
      </c>
      <c r="G80" s="1391" t="n">
        <v>176</v>
      </c>
      <c r="H80" s="1391" t="n">
        <v>170</v>
      </c>
      <c r="I80" s="1391" t="n">
        <v>168</v>
      </c>
      <c r="J80" s="1391" t="n">
        <v>168</v>
      </c>
      <c r="K80" s="1391" t="n">
        <v>170</v>
      </c>
      <c r="L80" s="1380" t="n"/>
      <c r="M80" s="1382" t="n"/>
    </row>
    <row r="81" ht="15" customHeight="1" thickBot="1">
      <c r="A81" s="1383" t="n"/>
      <c r="B81" s="1384" t="n"/>
      <c r="C81" s="1384" t="n"/>
      <c r="D81" s="596" t="inlineStr">
        <is>
          <t>Stress Case</t>
        </is>
      </c>
      <c r="E81" s="1392" t="n">
        <v>300</v>
      </c>
      <c r="F81" s="1392" t="n">
        <v>285</v>
      </c>
      <c r="G81" s="1392" t="n">
        <v>245</v>
      </c>
      <c r="H81" s="1392" t="n">
        <v>220</v>
      </c>
      <c r="I81" s="1392" t="n">
        <v>208</v>
      </c>
      <c r="J81" s="1392" t="n">
        <v>202</v>
      </c>
      <c r="K81" s="1392" t="n">
        <v>200</v>
      </c>
      <c r="L81" s="1384" t="n"/>
      <c r="M81" s="1386" t="n"/>
    </row>
    <row r="82">
      <c r="A82" s="1180" t="n">
        <v>12</v>
      </c>
      <c r="B82" s="1177" t="inlineStr">
        <is>
          <t>Conversion cost inflation</t>
        </is>
      </c>
      <c r="C82" s="1168" t="inlineStr">
        <is>
          <t>%</t>
        </is>
      </c>
      <c r="D82" s="601" t="inlineStr">
        <is>
          <t>Base Case</t>
        </is>
      </c>
      <c r="E82" s="1378" t="n">
        <v>0.045</v>
      </c>
      <c r="F82" s="1378" t="n">
        <v>0.042</v>
      </c>
      <c r="G82" s="1378" t="n">
        <v>0.04</v>
      </c>
      <c r="H82" s="1378" t="n">
        <v>0.04</v>
      </c>
      <c r="I82" s="1378" t="n">
        <v>0.04</v>
      </c>
      <c r="J82" s="1378" t="n">
        <v>0.04</v>
      </c>
      <c r="K82" s="1378" t="n">
        <v>0.04</v>
      </c>
      <c r="L82" s="1168" t="inlineStr">
        <is>
          <t>RBI-Jun26</t>
        </is>
      </c>
      <c r="M82" s="1171" t="inlineStr">
        <is>
          <t>MA12</t>
        </is>
      </c>
      <c r="N82" s="1167" t="n"/>
    </row>
    <row r="83">
      <c r="A83" s="1379" t="n"/>
      <c r="B83" s="1380" t="n"/>
      <c r="C83" s="1380" t="n"/>
      <c r="D83" s="591" t="inlineStr">
        <is>
          <t>Bull Case</t>
        </is>
      </c>
      <c r="E83" s="1381" t="n">
        <v>0.038</v>
      </c>
      <c r="F83" s="1381" t="n">
        <v>0.035</v>
      </c>
      <c r="G83" s="1381" t="n">
        <v>0.033</v>
      </c>
      <c r="H83" s="1381" t="n">
        <v>0.032</v>
      </c>
      <c r="I83" s="1381" t="n">
        <v>0.032</v>
      </c>
      <c r="J83" s="1381" t="n">
        <v>0.032</v>
      </c>
      <c r="K83" s="1381" t="n">
        <v>0.032</v>
      </c>
      <c r="L83" s="1380" t="n"/>
      <c r="M83" s="1382" t="n"/>
    </row>
    <row r="84">
      <c r="A84" s="1379" t="n"/>
      <c r="B84" s="1380" t="n"/>
      <c r="C84" s="1380" t="n"/>
      <c r="D84" s="591" t="inlineStr">
        <is>
          <t>Bear Case</t>
        </is>
      </c>
      <c r="E84" s="1381" t="n">
        <v>0.05</v>
      </c>
      <c r="F84" s="1381" t="n">
        <v>0.046</v>
      </c>
      <c r="G84" s="1381" t="n">
        <v>0.044</v>
      </c>
      <c r="H84" s="1381" t="n">
        <v>0.042</v>
      </c>
      <c r="I84" s="1381" t="n">
        <v>0.042</v>
      </c>
      <c r="J84" s="1381" t="n">
        <v>0.042</v>
      </c>
      <c r="K84" s="1381" t="n">
        <v>0.042</v>
      </c>
      <c r="L84" s="1380" t="n"/>
      <c r="M84" s="1382" t="n"/>
    </row>
    <row r="85" ht="15" customHeight="1" thickBot="1">
      <c r="A85" s="1383" t="n"/>
      <c r="B85" s="1384" t="n"/>
      <c r="C85" s="1384" t="n"/>
      <c r="D85" s="596" t="inlineStr">
        <is>
          <t>Stress Case</t>
        </is>
      </c>
      <c r="E85" s="1385" t="n">
        <v>0.075</v>
      </c>
      <c r="F85" s="1385" t="n">
        <v>0.068</v>
      </c>
      <c r="G85" s="1385" t="n">
        <v>0.055</v>
      </c>
      <c r="H85" s="1385" t="n">
        <v>0.048</v>
      </c>
      <c r="I85" s="1385" t="n">
        <v>0.044</v>
      </c>
      <c r="J85" s="1385" t="n">
        <v>0.042</v>
      </c>
      <c r="K85" s="1385" t="n">
        <v>0.042</v>
      </c>
      <c r="L85" s="1384" t="n"/>
      <c r="M85" s="1386" t="n"/>
    </row>
    <row r="86">
      <c r="A86" s="1180" t="n">
        <v>13</v>
      </c>
      <c r="B86" s="1177" t="inlineStr">
        <is>
          <t>Raw material share of cash cost</t>
        </is>
      </c>
      <c r="C86" s="1168" t="inlineStr">
        <is>
          <t>%</t>
        </is>
      </c>
      <c r="D86" s="601" t="inlineStr">
        <is>
          <t>Base Case</t>
        </is>
      </c>
      <c r="E86" s="1378" t="n">
        <v>0.6</v>
      </c>
      <c r="F86" s="1378" t="n">
        <v>0.6</v>
      </c>
      <c r="G86" s="1378" t="n">
        <v>0.6</v>
      </c>
      <c r="H86" s="1378" t="n">
        <v>0.6</v>
      </c>
      <c r="I86" s="1378" t="n">
        <v>0.6</v>
      </c>
      <c r="J86" s="1378" t="n">
        <v>0.6</v>
      </c>
      <c r="K86" s="1378" t="n">
        <v>0.6</v>
      </c>
      <c r="L86" s="1168" t="inlineStr">
        <is>
          <t>Indicative</t>
        </is>
      </c>
      <c r="M86" s="1171" t="inlineStr">
        <is>
          <t>MA13</t>
        </is>
      </c>
      <c r="N86" s="1167" t="n"/>
    </row>
    <row r="87">
      <c r="A87" s="1379" t="n"/>
      <c r="B87" s="1380" t="n"/>
      <c r="C87" s="1380" t="n"/>
      <c r="D87" s="591" t="inlineStr">
        <is>
          <t>Bull Case</t>
        </is>
      </c>
      <c r="E87" s="1381" t="n">
        <v>0.6</v>
      </c>
      <c r="F87" s="1381" t="n">
        <v>0.6</v>
      </c>
      <c r="G87" s="1381" t="n">
        <v>0.6</v>
      </c>
      <c r="H87" s="1381" t="n">
        <v>0.6</v>
      </c>
      <c r="I87" s="1381" t="n">
        <v>0.6</v>
      </c>
      <c r="J87" s="1381" t="n">
        <v>0.6</v>
      </c>
      <c r="K87" s="1381" t="n">
        <v>0.6</v>
      </c>
      <c r="L87" s="1380" t="n"/>
      <c r="M87" s="1382" t="n"/>
    </row>
    <row r="88">
      <c r="A88" s="1379" t="n"/>
      <c r="B88" s="1380" t="n"/>
      <c r="C88" s="1380" t="n"/>
      <c r="D88" s="591" t="inlineStr">
        <is>
          <t>Bear Case</t>
        </is>
      </c>
      <c r="E88" s="1381" t="n">
        <v>0.6</v>
      </c>
      <c r="F88" s="1381" t="n">
        <v>0.6</v>
      </c>
      <c r="G88" s="1381" t="n">
        <v>0.6</v>
      </c>
      <c r="H88" s="1381" t="n">
        <v>0.6</v>
      </c>
      <c r="I88" s="1381" t="n">
        <v>0.6</v>
      </c>
      <c r="J88" s="1381" t="n">
        <v>0.6</v>
      </c>
      <c r="K88" s="1381" t="n">
        <v>0.6</v>
      </c>
      <c r="L88" s="1380" t="n"/>
      <c r="M88" s="1382" t="n"/>
    </row>
    <row r="89" ht="15" customHeight="1" thickBot="1">
      <c r="A89" s="1383" t="n"/>
      <c r="B89" s="1384" t="n"/>
      <c r="C89" s="1384" t="n"/>
      <c r="D89" s="596" t="inlineStr">
        <is>
          <t>Stress Case</t>
        </is>
      </c>
      <c r="E89" s="1385" t="n">
        <v>0.6</v>
      </c>
      <c r="F89" s="1385" t="n">
        <v>0.6</v>
      </c>
      <c r="G89" s="1385" t="n">
        <v>0.6</v>
      </c>
      <c r="H89" s="1385" t="n">
        <v>0.6</v>
      </c>
      <c r="I89" s="1385" t="n">
        <v>0.6</v>
      </c>
      <c r="J89" s="1385" t="n">
        <v>0.6</v>
      </c>
      <c r="K89" s="1385" t="n">
        <v>0.6</v>
      </c>
      <c r="L89" s="1384" t="n"/>
      <c r="M89" s="1386" t="n"/>
    </row>
    <row r="90">
      <c r="A90" s="1180" t="n">
        <v>14</v>
      </c>
      <c r="B90" s="1177" t="inlineStr">
        <is>
          <t>Iron ore weight in the raw material basket</t>
        </is>
      </c>
      <c r="C90" s="1168" t="inlineStr">
        <is>
          <t>%</t>
        </is>
      </c>
      <c r="D90" s="601" t="inlineStr">
        <is>
          <t>Base Case</t>
        </is>
      </c>
      <c r="E90" s="1378" t="n">
        <v>0.45</v>
      </c>
      <c r="F90" s="1378" t="n">
        <v>0.45</v>
      </c>
      <c r="G90" s="1378" t="n">
        <v>0.45</v>
      </c>
      <c r="H90" s="1378" t="n">
        <v>0.45</v>
      </c>
      <c r="I90" s="1378" t="n">
        <v>0.45</v>
      </c>
      <c r="J90" s="1378" t="n">
        <v>0.45</v>
      </c>
      <c r="K90" s="1378" t="n">
        <v>0.45</v>
      </c>
      <c r="L90" s="1168" t="inlineStr">
        <is>
          <t>Indicative</t>
        </is>
      </c>
      <c r="M90" s="1171" t="inlineStr">
        <is>
          <t>MA14</t>
        </is>
      </c>
      <c r="N90" s="1167" t="n"/>
    </row>
    <row r="91">
      <c r="A91" s="1379" t="n"/>
      <c r="B91" s="1380" t="n"/>
      <c r="C91" s="1380" t="n"/>
      <c r="D91" s="591" t="inlineStr">
        <is>
          <t>Bull Case</t>
        </is>
      </c>
      <c r="E91" s="1381" t="n">
        <v>0.45</v>
      </c>
      <c r="F91" s="1381" t="n">
        <v>0.45</v>
      </c>
      <c r="G91" s="1381" t="n">
        <v>0.45</v>
      </c>
      <c r="H91" s="1381" t="n">
        <v>0.45</v>
      </c>
      <c r="I91" s="1381" t="n">
        <v>0.45</v>
      </c>
      <c r="J91" s="1381" t="n">
        <v>0.45</v>
      </c>
      <c r="K91" s="1381" t="n">
        <v>0.45</v>
      </c>
      <c r="L91" s="1380" t="n"/>
      <c r="M91" s="1382" t="n"/>
    </row>
    <row r="92">
      <c r="A92" s="1379" t="n"/>
      <c r="B92" s="1380" t="n"/>
      <c r="C92" s="1380" t="n"/>
      <c r="D92" s="591" t="inlineStr">
        <is>
          <t>Bear Case</t>
        </is>
      </c>
      <c r="E92" s="1381" t="n">
        <v>0.45</v>
      </c>
      <c r="F92" s="1381" t="n">
        <v>0.45</v>
      </c>
      <c r="G92" s="1381" t="n">
        <v>0.45</v>
      </c>
      <c r="H92" s="1381" t="n">
        <v>0.45</v>
      </c>
      <c r="I92" s="1381" t="n">
        <v>0.45</v>
      </c>
      <c r="J92" s="1381" t="n">
        <v>0.45</v>
      </c>
      <c r="K92" s="1381" t="n">
        <v>0.45</v>
      </c>
      <c r="L92" s="1380" t="n"/>
      <c r="M92" s="1382" t="n"/>
    </row>
    <row r="93" ht="15" customHeight="1" thickBot="1">
      <c r="A93" s="1383" t="n"/>
      <c r="B93" s="1384" t="n"/>
      <c r="C93" s="1384" t="n"/>
      <c r="D93" s="596" t="inlineStr">
        <is>
          <t>Stress Case</t>
        </is>
      </c>
      <c r="E93" s="1385" t="n">
        <v>0.45</v>
      </c>
      <c r="F93" s="1385" t="n">
        <v>0.45</v>
      </c>
      <c r="G93" s="1385" t="n">
        <v>0.45</v>
      </c>
      <c r="H93" s="1385" t="n">
        <v>0.45</v>
      </c>
      <c r="I93" s="1385" t="n">
        <v>0.45</v>
      </c>
      <c r="J93" s="1385" t="n">
        <v>0.45</v>
      </c>
      <c r="K93" s="1385" t="n">
        <v>0.45</v>
      </c>
      <c r="L93" s="1384" t="n"/>
      <c r="M93" s="1386" t="n"/>
    </row>
    <row r="94">
      <c r="A94" s="1180" t="n">
        <v>15</v>
      </c>
      <c r="B94" s="1177" t="inlineStr">
        <is>
          <t>Effective tax rate</t>
        </is>
      </c>
      <c r="C94" s="1168" t="inlineStr">
        <is>
          <t>%</t>
        </is>
      </c>
      <c r="D94" s="601" t="inlineStr">
        <is>
          <t>Base Case</t>
        </is>
      </c>
      <c r="E94" s="1378" t="n">
        <v>0.2517</v>
      </c>
      <c r="F94" s="1378" t="n">
        <v>0.2517</v>
      </c>
      <c r="G94" s="1378" t="n">
        <v>0.2517</v>
      </c>
      <c r="H94" s="1378" t="n">
        <v>0.2517</v>
      </c>
      <c r="I94" s="1378" t="n">
        <v>0.2517</v>
      </c>
      <c r="J94" s="1378" t="n">
        <v>0.2517</v>
      </c>
      <c r="K94" s="1378" t="n">
        <v>0.2517</v>
      </c>
      <c r="L94" s="1168" t="inlineStr">
        <is>
          <t>Statutory</t>
        </is>
      </c>
      <c r="M94" s="1171" t="inlineStr">
        <is>
          <t>MA15</t>
        </is>
      </c>
      <c r="N94" s="1167" t="n"/>
    </row>
    <row r="95">
      <c r="A95" s="1379" t="n"/>
      <c r="B95" s="1380" t="n"/>
      <c r="C95" s="1380" t="n"/>
      <c r="D95" s="591" t="inlineStr">
        <is>
          <t>Bull Case</t>
        </is>
      </c>
      <c r="E95" s="1381" t="n">
        <v>0.2517</v>
      </c>
      <c r="F95" s="1381" t="n">
        <v>0.2517</v>
      </c>
      <c r="G95" s="1381" t="n">
        <v>0.2517</v>
      </c>
      <c r="H95" s="1381" t="n">
        <v>0.2517</v>
      </c>
      <c r="I95" s="1381" t="n">
        <v>0.2517</v>
      </c>
      <c r="J95" s="1381" t="n">
        <v>0.2517</v>
      </c>
      <c r="K95" s="1381" t="n">
        <v>0.2517</v>
      </c>
      <c r="L95" s="1380" t="n"/>
      <c r="M95" s="1382" t="n"/>
    </row>
    <row r="96">
      <c r="A96" s="1379" t="n"/>
      <c r="B96" s="1380" t="n"/>
      <c r="C96" s="1380" t="n"/>
      <c r="D96" s="591" t="inlineStr">
        <is>
          <t>Bear Case</t>
        </is>
      </c>
      <c r="E96" s="1381" t="n">
        <v>0.2517</v>
      </c>
      <c r="F96" s="1381" t="n">
        <v>0.2517</v>
      </c>
      <c r="G96" s="1381" t="n">
        <v>0.2517</v>
      </c>
      <c r="H96" s="1381" t="n">
        <v>0.2517</v>
      </c>
      <c r="I96" s="1381" t="n">
        <v>0.2517</v>
      </c>
      <c r="J96" s="1381" t="n">
        <v>0.2517</v>
      </c>
      <c r="K96" s="1381" t="n">
        <v>0.2517</v>
      </c>
      <c r="L96" s="1380" t="n"/>
      <c r="M96" s="1382" t="n"/>
    </row>
    <row r="97" ht="15" customHeight="1" thickBot="1">
      <c r="A97" s="1383" t="n"/>
      <c r="B97" s="1384" t="n"/>
      <c r="C97" s="1384" t="n"/>
      <c r="D97" s="596" t="inlineStr">
        <is>
          <t>Stress Case</t>
        </is>
      </c>
      <c r="E97" s="1385" t="n">
        <v>0.2517</v>
      </c>
      <c r="F97" s="1385" t="n">
        <v>0.2517</v>
      </c>
      <c r="G97" s="1385" t="n">
        <v>0.2517</v>
      </c>
      <c r="H97" s="1385" t="n">
        <v>0.2517</v>
      </c>
      <c r="I97" s="1385" t="n">
        <v>0.2517</v>
      </c>
      <c r="J97" s="1385" t="n">
        <v>0.2517</v>
      </c>
      <c r="K97" s="1385" t="n">
        <v>0.2517</v>
      </c>
      <c r="L97" s="1384" t="n"/>
      <c r="M97" s="1386" t="n"/>
    </row>
    <row r="98">
      <c r="A98" s="1180" t="n">
        <v>16</v>
      </c>
      <c r="B98" s="1177" t="inlineStr">
        <is>
          <t>Capex intensity</t>
        </is>
      </c>
      <c r="C98" s="1168" t="inlineStr">
        <is>
          <t>Rs/t of capacity added</t>
        </is>
      </c>
      <c r="D98" s="601" t="inlineStr">
        <is>
          <t>Base Case</t>
        </is>
      </c>
      <c r="E98" s="1393" t="n">
        <v>55000</v>
      </c>
      <c r="F98" s="1393" t="n">
        <v>55000</v>
      </c>
      <c r="G98" s="1393" t="n">
        <v>55000</v>
      </c>
      <c r="H98" s="1393" t="n">
        <v>55000</v>
      </c>
      <c r="I98" s="1393" t="n">
        <v>55000</v>
      </c>
      <c r="J98" s="1393" t="n">
        <v>55000</v>
      </c>
      <c r="K98" s="1393" t="n">
        <v>55000</v>
      </c>
      <c r="L98" s="1168" t="inlineStr">
        <is>
          <t>Derived-DB</t>
        </is>
      </c>
      <c r="M98" s="1171" t="inlineStr">
        <is>
          <t>MA16</t>
        </is>
      </c>
      <c r="N98" s="1167" t="n"/>
    </row>
    <row r="99">
      <c r="A99" s="1379" t="n"/>
      <c r="B99" s="1380" t="n"/>
      <c r="C99" s="1380" t="n"/>
      <c r="D99" s="591" t="inlineStr">
        <is>
          <t>Bull Case</t>
        </is>
      </c>
      <c r="E99" s="1394" t="n">
        <v>52000</v>
      </c>
      <c r="F99" s="1394" t="n">
        <v>52000</v>
      </c>
      <c r="G99" s="1394" t="n">
        <v>52000</v>
      </c>
      <c r="H99" s="1394" t="n">
        <v>52000</v>
      </c>
      <c r="I99" s="1394" t="n">
        <v>52000</v>
      </c>
      <c r="J99" s="1394" t="n">
        <v>52000</v>
      </c>
      <c r="K99" s="1394" t="n">
        <v>52000</v>
      </c>
      <c r="L99" s="1380" t="n"/>
      <c r="M99" s="1382" t="n"/>
    </row>
    <row r="100">
      <c r="A100" s="1379" t="n"/>
      <c r="B100" s="1380" t="n"/>
      <c r="C100" s="1380" t="n"/>
      <c r="D100" s="591" t="inlineStr">
        <is>
          <t>Bear Case</t>
        </is>
      </c>
      <c r="E100" s="1394" t="n">
        <v>60000</v>
      </c>
      <c r="F100" s="1394" t="n">
        <v>60000</v>
      </c>
      <c r="G100" s="1394" t="n">
        <v>60000</v>
      </c>
      <c r="H100" s="1394" t="n">
        <v>60000</v>
      </c>
      <c r="I100" s="1394" t="n">
        <v>60000</v>
      </c>
      <c r="J100" s="1394" t="n">
        <v>60000</v>
      </c>
      <c r="K100" s="1394" t="n">
        <v>60000</v>
      </c>
      <c r="L100" s="1380" t="n"/>
      <c r="M100" s="1382" t="n"/>
    </row>
    <row r="101" ht="15" customHeight="1" thickBot="1">
      <c r="A101" s="1383" t="n"/>
      <c r="B101" s="1384" t="n"/>
      <c r="C101" s="1384" t="n"/>
      <c r="D101" s="608" t="inlineStr">
        <is>
          <t>Stress Case</t>
        </is>
      </c>
      <c r="E101" s="1395" t="n">
        <v>65000</v>
      </c>
      <c r="F101" s="1395" t="n">
        <v>65000</v>
      </c>
      <c r="G101" s="1395" t="n">
        <v>65000</v>
      </c>
      <c r="H101" s="1395" t="n">
        <v>65000</v>
      </c>
      <c r="I101" s="1395" t="n">
        <v>65000</v>
      </c>
      <c r="J101" s="1395" t="n">
        <v>65000</v>
      </c>
      <c r="K101" s="1395" t="n">
        <v>65000</v>
      </c>
      <c r="L101" s="1384" t="n"/>
      <c r="M101" s="1386" t="n"/>
    </row>
    <row r="102">
      <c r="A102" s="1180" t="n">
        <v>17</v>
      </c>
      <c r="B102" s="1177" t="inlineStr">
        <is>
          <t>Maintenance capex</t>
        </is>
      </c>
      <c r="C102" s="1168" t="inlineStr">
        <is>
          <t>% of revenue</t>
        </is>
      </c>
      <c r="D102" s="601" t="inlineStr">
        <is>
          <t>Base Case</t>
        </is>
      </c>
      <c r="E102" s="1390" t="n">
        <v>0.03</v>
      </c>
      <c r="F102" s="1390" t="n">
        <v>0.03</v>
      </c>
      <c r="G102" s="1390" t="n">
        <v>0.03</v>
      </c>
      <c r="H102" s="1390" t="n">
        <v>0.03</v>
      </c>
      <c r="I102" s="1390" t="n">
        <v>0.03</v>
      </c>
      <c r="J102" s="1390" t="n">
        <v>0.03</v>
      </c>
      <c r="K102" s="1390" t="n">
        <v>0.03</v>
      </c>
      <c r="L102" s="1168" t="inlineStr">
        <is>
          <t>Indicative</t>
        </is>
      </c>
      <c r="M102" s="1171" t="inlineStr">
        <is>
          <t>MA17</t>
        </is>
      </c>
      <c r="N102" s="1167" t="n"/>
    </row>
    <row r="103">
      <c r="A103" s="1379" t="n"/>
      <c r="B103" s="1380" t="n"/>
      <c r="C103" s="1380" t="n"/>
      <c r="D103" s="591" t="inlineStr">
        <is>
          <t>Bull Case</t>
        </is>
      </c>
      <c r="E103" s="1391" t="n">
        <v>0.028</v>
      </c>
      <c r="F103" s="1391" t="n">
        <v>0.028</v>
      </c>
      <c r="G103" s="1391" t="n">
        <v>0.028</v>
      </c>
      <c r="H103" s="1391" t="n">
        <v>0.028</v>
      </c>
      <c r="I103" s="1391" t="n">
        <v>0.028</v>
      </c>
      <c r="J103" s="1391" t="n">
        <v>0.028</v>
      </c>
      <c r="K103" s="1391" t="n">
        <v>0.028</v>
      </c>
      <c r="L103" s="1380" t="n"/>
      <c r="M103" s="1382" t="n"/>
    </row>
    <row r="104">
      <c r="A104" s="1379" t="n"/>
      <c r="B104" s="1380" t="n"/>
      <c r="C104" s="1380" t="n"/>
      <c r="D104" s="591" t="inlineStr">
        <is>
          <t>Bear Case</t>
        </is>
      </c>
      <c r="E104" s="1391" t="n">
        <v>0.033</v>
      </c>
      <c r="F104" s="1391" t="n">
        <v>0.033</v>
      </c>
      <c r="G104" s="1391" t="n">
        <v>0.033</v>
      </c>
      <c r="H104" s="1391" t="n">
        <v>0.033</v>
      </c>
      <c r="I104" s="1391" t="n">
        <v>0.033</v>
      </c>
      <c r="J104" s="1391" t="n">
        <v>0.033</v>
      </c>
      <c r="K104" s="1391" t="n">
        <v>0.033</v>
      </c>
      <c r="L104" s="1380" t="n"/>
      <c r="M104" s="1382" t="n"/>
    </row>
    <row r="105" ht="15" customHeight="1" thickBot="1">
      <c r="A105" s="1383" t="n"/>
      <c r="B105" s="1384" t="n"/>
      <c r="C105" s="1384" t="n"/>
      <c r="D105" s="596" t="inlineStr">
        <is>
          <t>Stress Case</t>
        </is>
      </c>
      <c r="E105" s="1392" t="n">
        <v>0.035</v>
      </c>
      <c r="F105" s="1392" t="n">
        <v>0.035</v>
      </c>
      <c r="G105" s="1392" t="n">
        <v>0.035</v>
      </c>
      <c r="H105" s="1392" t="n">
        <v>0.035</v>
      </c>
      <c r="I105" s="1392" t="n">
        <v>0.035</v>
      </c>
      <c r="J105" s="1392" t="n">
        <v>0.035</v>
      </c>
      <c r="K105" s="1392" t="n">
        <v>0.035</v>
      </c>
      <c r="L105" s="1384" t="n"/>
      <c r="M105" s="1386" t="n"/>
    </row>
    <row r="106">
      <c r="A106" s="1180" t="n">
        <v>18</v>
      </c>
      <c r="B106" s="1177" t="inlineStr">
        <is>
          <t>Net working capital</t>
        </is>
      </c>
      <c r="C106" s="1168" t="inlineStr">
        <is>
          <t>days of revenue</t>
        </is>
      </c>
      <c r="D106" s="601" t="inlineStr">
        <is>
          <t>Base Case</t>
        </is>
      </c>
      <c r="E106" s="1390" t="n">
        <v>45</v>
      </c>
      <c r="F106" s="1390" t="n">
        <v>45</v>
      </c>
      <c r="G106" s="1390" t="n">
        <v>45</v>
      </c>
      <c r="H106" s="1390" t="n">
        <v>45</v>
      </c>
      <c r="I106" s="1390" t="n">
        <v>45</v>
      </c>
      <c r="J106" s="1390" t="n">
        <v>45</v>
      </c>
      <c r="K106" s="1390" t="n">
        <v>45</v>
      </c>
      <c r="L106" s="1168" t="inlineStr">
        <is>
          <t>Not sourced</t>
        </is>
      </c>
      <c r="M106" s="1171" t="inlineStr">
        <is>
          <t>MA18</t>
        </is>
      </c>
      <c r="N106" s="1167" t="n"/>
    </row>
    <row r="107">
      <c r="A107" s="1379" t="n"/>
      <c r="B107" s="1380" t="n"/>
      <c r="C107" s="1380" t="n"/>
      <c r="D107" s="591" t="inlineStr">
        <is>
          <t>Bull Case</t>
        </is>
      </c>
      <c r="E107" s="1391" t="n">
        <v>40</v>
      </c>
      <c r="F107" s="1391" t="n">
        <v>40</v>
      </c>
      <c r="G107" s="1391" t="n">
        <v>40</v>
      </c>
      <c r="H107" s="1391" t="n">
        <v>40</v>
      </c>
      <c r="I107" s="1391" t="n">
        <v>40</v>
      </c>
      <c r="J107" s="1391" t="n">
        <v>40</v>
      </c>
      <c r="K107" s="1391" t="n">
        <v>40</v>
      </c>
      <c r="L107" s="1380" t="n"/>
      <c r="M107" s="1382" t="n"/>
    </row>
    <row r="108">
      <c r="A108" s="1379" t="n"/>
      <c r="B108" s="1380" t="n"/>
      <c r="C108" s="1380" t="n"/>
      <c r="D108" s="591" t="inlineStr">
        <is>
          <t>Bear Case</t>
        </is>
      </c>
      <c r="E108" s="1391" t="n">
        <v>52</v>
      </c>
      <c r="F108" s="1391" t="n">
        <v>52</v>
      </c>
      <c r="G108" s="1391" t="n">
        <v>52</v>
      </c>
      <c r="H108" s="1391" t="n">
        <v>52</v>
      </c>
      <c r="I108" s="1391" t="n">
        <v>52</v>
      </c>
      <c r="J108" s="1391" t="n">
        <v>52</v>
      </c>
      <c r="K108" s="1391" t="n">
        <v>52</v>
      </c>
      <c r="L108" s="1380" t="n"/>
      <c r="M108" s="1382" t="n"/>
    </row>
    <row r="109" ht="15" customHeight="1" thickBot="1">
      <c r="A109" s="1383" t="n"/>
      <c r="B109" s="1384" t="n"/>
      <c r="C109" s="1384" t="n"/>
      <c r="D109" s="596" t="inlineStr">
        <is>
          <t>Stress Case</t>
        </is>
      </c>
      <c r="E109" s="1392" t="n">
        <v>62</v>
      </c>
      <c r="F109" s="1392" t="n">
        <v>62</v>
      </c>
      <c r="G109" s="1392" t="n">
        <v>62</v>
      </c>
      <c r="H109" s="1392" t="n">
        <v>62</v>
      </c>
      <c r="I109" s="1392" t="n">
        <v>62</v>
      </c>
      <c r="J109" s="1392" t="n">
        <v>62</v>
      </c>
      <c r="K109" s="1392" t="n">
        <v>62</v>
      </c>
      <c r="L109" s="1384" t="n"/>
      <c r="M109" s="1386" t="n"/>
    </row>
    <row r="110">
      <c r="A110" s="1180" t="n">
        <v>19</v>
      </c>
      <c r="B110" s="1177" t="inlineStr">
        <is>
          <t>Exit EV/EBITDA multiple</t>
        </is>
      </c>
      <c r="C110" s="1168" t="inlineStr">
        <is>
          <t>x</t>
        </is>
      </c>
      <c r="D110" s="601" t="inlineStr">
        <is>
          <t>Base Case</t>
        </is>
      </c>
      <c r="E110" s="1387" t="n">
        <v>6</v>
      </c>
      <c r="F110" s="1387" t="n">
        <v>6</v>
      </c>
      <c r="G110" s="1387" t="n">
        <v>6</v>
      </c>
      <c r="H110" s="1387" t="n">
        <v>6</v>
      </c>
      <c r="I110" s="1387" t="n">
        <v>6</v>
      </c>
      <c r="J110" s="1387" t="n">
        <v>6</v>
      </c>
      <c r="K110" s="1387" t="n">
        <v>6</v>
      </c>
      <c r="L110" s="1168" t="inlineStr">
        <is>
          <t>Not sourced</t>
        </is>
      </c>
      <c r="M110" s="1171" t="inlineStr">
        <is>
          <t>MA19</t>
        </is>
      </c>
      <c r="N110" s="1167" t="n"/>
    </row>
    <row r="111">
      <c r="A111" s="1379" t="n"/>
      <c r="B111" s="1380" t="n"/>
      <c r="C111" s="1380" t="n"/>
      <c r="D111" s="591" t="inlineStr">
        <is>
          <t>Bull Case</t>
        </is>
      </c>
      <c r="E111" s="1388" t="n">
        <v>7</v>
      </c>
      <c r="F111" s="1388" t="n">
        <v>7</v>
      </c>
      <c r="G111" s="1388" t="n">
        <v>7</v>
      </c>
      <c r="H111" s="1388" t="n">
        <v>7</v>
      </c>
      <c r="I111" s="1388" t="n">
        <v>7</v>
      </c>
      <c r="J111" s="1388" t="n">
        <v>7</v>
      </c>
      <c r="K111" s="1388" t="n">
        <v>7</v>
      </c>
      <c r="L111" s="1380" t="n"/>
      <c r="M111" s="1382" t="n"/>
    </row>
    <row r="112">
      <c r="A112" s="1379" t="n"/>
      <c r="B112" s="1380" t="n"/>
      <c r="C112" s="1380" t="n"/>
      <c r="D112" s="591" t="inlineStr">
        <is>
          <t>Bear Case</t>
        </is>
      </c>
      <c r="E112" s="1388" t="n">
        <v>5</v>
      </c>
      <c r="F112" s="1388" t="n">
        <v>5</v>
      </c>
      <c r="G112" s="1388" t="n">
        <v>5</v>
      </c>
      <c r="H112" s="1388" t="n">
        <v>5</v>
      </c>
      <c r="I112" s="1388" t="n">
        <v>5</v>
      </c>
      <c r="J112" s="1388" t="n">
        <v>5</v>
      </c>
      <c r="K112" s="1388" t="n">
        <v>5</v>
      </c>
      <c r="L112" s="1380" t="n"/>
      <c r="M112" s="1382" t="n"/>
    </row>
    <row r="113" ht="15" customHeight="1" thickBot="1">
      <c r="A113" s="1383" t="n"/>
      <c r="B113" s="1384" t="n"/>
      <c r="C113" s="1384" t="n"/>
      <c r="D113" s="596" t="inlineStr">
        <is>
          <t>Stress Case</t>
        </is>
      </c>
      <c r="E113" s="1389" t="n">
        <v>4</v>
      </c>
      <c r="F113" s="1389" t="n">
        <v>4</v>
      </c>
      <c r="G113" s="1389" t="n">
        <v>4</v>
      </c>
      <c r="H113" s="1389" t="n">
        <v>4</v>
      </c>
      <c r="I113" s="1389" t="n">
        <v>4</v>
      </c>
      <c r="J113" s="1389" t="n">
        <v>4</v>
      </c>
      <c r="K113" s="1389" t="n">
        <v>4</v>
      </c>
      <c r="L113" s="1384" t="n"/>
      <c r="M113" s="1386" t="n"/>
    </row>
    <row r="114">
      <c r="A114" s="1180" t="n">
        <v>20</v>
      </c>
      <c r="B114" s="1177" t="inlineStr">
        <is>
          <t>WACC (nominal, INR)</t>
        </is>
      </c>
      <c r="C114" s="1168" t="inlineStr">
        <is>
          <t>%</t>
        </is>
      </c>
      <c r="D114" s="601" t="inlineStr">
        <is>
          <t>Base Case</t>
        </is>
      </c>
      <c r="E114" s="1378" t="n">
        <v>0.12</v>
      </c>
      <c r="F114" s="1378" t="n">
        <v>0.12</v>
      </c>
      <c r="G114" s="1378" t="n">
        <v>0.12</v>
      </c>
      <c r="H114" s="1378" t="n">
        <v>0.12</v>
      </c>
      <c r="I114" s="1378" t="n">
        <v>0.12</v>
      </c>
      <c r="J114" s="1378" t="n">
        <v>0.12</v>
      </c>
      <c r="K114" s="1378" t="n">
        <v>0.12</v>
      </c>
      <c r="L114" s="1168" t="inlineStr">
        <is>
          <t>Composite</t>
        </is>
      </c>
      <c r="M114" s="1171" t="inlineStr">
        <is>
          <t>MA20</t>
        </is>
      </c>
      <c r="N114" s="1167" t="n"/>
    </row>
    <row r="115">
      <c r="A115" s="1379" t="n"/>
      <c r="B115" s="1380" t="n"/>
      <c r="C115" s="1380" t="n"/>
      <c r="D115" s="591" t="inlineStr">
        <is>
          <t>Bull Case</t>
        </is>
      </c>
      <c r="E115" s="1381" t="n">
        <v>0.112</v>
      </c>
      <c r="F115" s="1381" t="n">
        <v>0.112</v>
      </c>
      <c r="G115" s="1381" t="n">
        <v>0.112</v>
      </c>
      <c r="H115" s="1381" t="n">
        <v>0.112</v>
      </c>
      <c r="I115" s="1381" t="n">
        <v>0.112</v>
      </c>
      <c r="J115" s="1381" t="n">
        <v>0.112</v>
      </c>
      <c r="K115" s="1381" t="n">
        <v>0.112</v>
      </c>
      <c r="L115" s="1380" t="n"/>
      <c r="M115" s="1382" t="n"/>
    </row>
    <row r="116">
      <c r="A116" s="1379" t="n"/>
      <c r="B116" s="1380" t="n"/>
      <c r="C116" s="1380" t="n"/>
      <c r="D116" s="591" t="inlineStr">
        <is>
          <t>Bear Case</t>
        </is>
      </c>
      <c r="E116" s="1381" t="n">
        <v>0.128</v>
      </c>
      <c r="F116" s="1381" t="n">
        <v>0.128</v>
      </c>
      <c r="G116" s="1381" t="n">
        <v>0.128</v>
      </c>
      <c r="H116" s="1381" t="n">
        <v>0.128</v>
      </c>
      <c r="I116" s="1381" t="n">
        <v>0.128</v>
      </c>
      <c r="J116" s="1381" t="n">
        <v>0.128</v>
      </c>
      <c r="K116" s="1381" t="n">
        <v>0.128</v>
      </c>
      <c r="L116" s="1380" t="n"/>
      <c r="M116" s="1382" t="n"/>
    </row>
    <row r="117" ht="15" customHeight="1" thickBot="1">
      <c r="A117" s="1383" t="n"/>
      <c r="B117" s="1384" t="n"/>
      <c r="C117" s="1384" t="n"/>
      <c r="D117" s="596" t="inlineStr">
        <is>
          <t>Stress Case</t>
        </is>
      </c>
      <c r="E117" s="1385" t="n">
        <v>0.14</v>
      </c>
      <c r="F117" s="1385" t="n">
        <v>0.14</v>
      </c>
      <c r="G117" s="1385" t="n">
        <v>0.14</v>
      </c>
      <c r="H117" s="1385" t="n">
        <v>0.14</v>
      </c>
      <c r="I117" s="1385" t="n">
        <v>0.14</v>
      </c>
      <c r="J117" s="1385" t="n">
        <v>0.14</v>
      </c>
      <c r="K117" s="1385" t="n">
        <v>0.14</v>
      </c>
      <c r="L117" s="1384" t="n"/>
      <c r="M117" s="1386" t="n"/>
    </row>
    <row r="118">
      <c r="A118" s="1180" t="n">
        <v>21</v>
      </c>
      <c r="B118" s="1177" t="inlineStr">
        <is>
          <t>Finished steel imports</t>
        </is>
      </c>
      <c r="C118" s="1168" t="inlineStr">
        <is>
          <t>Mt</t>
        </is>
      </c>
      <c r="D118" s="601" t="inlineStr">
        <is>
          <t>Base Case</t>
        </is>
      </c>
      <c r="E118" s="1390" t="n">
        <v>6.8</v>
      </c>
      <c r="F118" s="1390" t="n">
        <v>7</v>
      </c>
      <c r="G118" s="1390" t="n">
        <v>7.2</v>
      </c>
      <c r="H118" s="1390" t="n">
        <v>7.5</v>
      </c>
      <c r="I118" s="1390" t="n">
        <v>7.8</v>
      </c>
      <c r="J118" s="1390" t="n">
        <v>8.1</v>
      </c>
      <c r="K118" s="1390" t="n">
        <v>8.4</v>
      </c>
      <c r="L118" s="1168" t="inlineStr">
        <is>
          <t>Derived-DB</t>
        </is>
      </c>
      <c r="M118" s="1171" t="inlineStr">
        <is>
          <t>MA21</t>
        </is>
      </c>
      <c r="N118" s="1167" t="n"/>
    </row>
    <row r="119">
      <c r="A119" s="1379" t="n"/>
      <c r="B119" s="1380" t="n"/>
      <c r="C119" s="1380" t="n"/>
      <c r="D119" s="591" t="inlineStr">
        <is>
          <t>Bull Case</t>
        </is>
      </c>
      <c r="E119" s="1391" t="n">
        <v>7.5</v>
      </c>
      <c r="F119" s="1391" t="n">
        <v>8</v>
      </c>
      <c r="G119" s="1391" t="n">
        <v>8.5</v>
      </c>
      <c r="H119" s="1391" t="n">
        <v>9</v>
      </c>
      <c r="I119" s="1391" t="n">
        <v>9.5</v>
      </c>
      <c r="J119" s="1391" t="n">
        <v>10</v>
      </c>
      <c r="K119" s="1391" t="n">
        <v>10.5</v>
      </c>
      <c r="L119" s="1380" t="n"/>
      <c r="M119" s="1382" t="n"/>
    </row>
    <row r="120">
      <c r="A120" s="1379" t="n"/>
      <c r="B120" s="1380" t="n"/>
      <c r="C120" s="1380" t="n"/>
      <c r="D120" s="591" t="inlineStr">
        <is>
          <t>Bear Case</t>
        </is>
      </c>
      <c r="E120" s="1391" t="n">
        <v>6</v>
      </c>
      <c r="F120" s="1391" t="n">
        <v>5.5</v>
      </c>
      <c r="G120" s="1391" t="n">
        <v>5.2</v>
      </c>
      <c r="H120" s="1391" t="n">
        <v>5</v>
      </c>
      <c r="I120" s="1391" t="n">
        <v>5</v>
      </c>
      <c r="J120" s="1391" t="n">
        <v>5.1</v>
      </c>
      <c r="K120" s="1391" t="n">
        <v>5.2</v>
      </c>
      <c r="L120" s="1380" t="n"/>
      <c r="M120" s="1382" t="n"/>
    </row>
    <row r="121" ht="15" customHeight="1" thickBot="1">
      <c r="A121" s="1383" t="n"/>
      <c r="B121" s="1384" t="n"/>
      <c r="C121" s="1384" t="n"/>
      <c r="D121" s="596" t="inlineStr">
        <is>
          <t>Stress Case</t>
        </is>
      </c>
      <c r="E121" s="1392" t="n">
        <v>8.5</v>
      </c>
      <c r="F121" s="1392" t="n">
        <v>10</v>
      </c>
      <c r="G121" s="1392" t="n">
        <v>11</v>
      </c>
      <c r="H121" s="1392" t="n">
        <v>11.5</v>
      </c>
      <c r="I121" s="1392" t="n">
        <v>12</v>
      </c>
      <c r="J121" s="1392" t="n">
        <v>12</v>
      </c>
      <c r="K121" s="1392" t="n">
        <v>12</v>
      </c>
      <c r="L121" s="1384" t="n"/>
      <c r="M121" s="1386" t="n"/>
    </row>
    <row r="122">
      <c r="A122" s="1180" t="n">
        <v>22</v>
      </c>
      <c r="B122" s="1177" t="inlineStr">
        <is>
          <t>Secondary and unattributed capacity additions</t>
        </is>
      </c>
      <c r="C122" s="1168" t="inlineStr">
        <is>
          <t>Mtpa p.a.</t>
        </is>
      </c>
      <c r="D122" s="601" t="inlineStr">
        <is>
          <t>Base Case</t>
        </is>
      </c>
      <c r="E122" s="1390" t="n">
        <v>11</v>
      </c>
      <c r="F122" s="1390" t="n">
        <v>11</v>
      </c>
      <c r="G122" s="1390" t="n">
        <v>11</v>
      </c>
      <c r="H122" s="1390" t="n">
        <v>10.5</v>
      </c>
      <c r="I122" s="1390" t="n">
        <v>10.5</v>
      </c>
      <c r="J122" s="1390" t="n">
        <v>10</v>
      </c>
      <c r="K122" s="1390" t="n">
        <v>10</v>
      </c>
      <c r="L122" s="1168" t="inlineStr">
        <is>
          <t>Derived-DB</t>
        </is>
      </c>
      <c r="M122" s="1171" t="inlineStr">
        <is>
          <t>MA22</t>
        </is>
      </c>
      <c r="N122" s="1167" t="n"/>
    </row>
    <row r="123">
      <c r="A123" s="1379" t="n"/>
      <c r="B123" s="1380" t="n"/>
      <c r="C123" s="1380" t="n"/>
      <c r="D123" s="591" t="inlineStr">
        <is>
          <t>Bull Case</t>
        </is>
      </c>
      <c r="E123" s="1391" t="n">
        <v>13</v>
      </c>
      <c r="F123" s="1391" t="n">
        <v>13</v>
      </c>
      <c r="G123" s="1391" t="n">
        <v>12.5</v>
      </c>
      <c r="H123" s="1391" t="n">
        <v>12.5</v>
      </c>
      <c r="I123" s="1391" t="n">
        <v>12</v>
      </c>
      <c r="J123" s="1391" t="n">
        <v>12</v>
      </c>
      <c r="K123" s="1391" t="n">
        <v>11.5</v>
      </c>
      <c r="L123" s="1380" t="n"/>
      <c r="M123" s="1382" t="n"/>
    </row>
    <row r="124">
      <c r="A124" s="1379" t="n"/>
      <c r="B124" s="1380" t="n"/>
      <c r="C124" s="1380" t="n"/>
      <c r="D124" s="591" t="inlineStr">
        <is>
          <t>Bear Case</t>
        </is>
      </c>
      <c r="E124" s="1391" t="n">
        <v>8</v>
      </c>
      <c r="F124" s="1391" t="n">
        <v>8</v>
      </c>
      <c r="G124" s="1391" t="n">
        <v>7.5</v>
      </c>
      <c r="H124" s="1391" t="n">
        <v>7</v>
      </c>
      <c r="I124" s="1391" t="n">
        <v>7</v>
      </c>
      <c r="J124" s="1391" t="n">
        <v>6.5</v>
      </c>
      <c r="K124" s="1391" t="n">
        <v>6.5</v>
      </c>
      <c r="L124" s="1380" t="n"/>
      <c r="M124" s="1382" t="n"/>
    </row>
    <row r="125" ht="15" customHeight="1" thickBot="1">
      <c r="A125" s="1383" t="n"/>
      <c r="B125" s="1384" t="n"/>
      <c r="C125" s="1384" t="n"/>
      <c r="D125" s="596" t="inlineStr">
        <is>
          <t>Stress Case</t>
        </is>
      </c>
      <c r="E125" s="1392" t="n">
        <v>5</v>
      </c>
      <c r="F125" s="1392" t="n">
        <v>4</v>
      </c>
      <c r="G125" s="1392" t="n">
        <v>4</v>
      </c>
      <c r="H125" s="1392" t="n">
        <v>3.5</v>
      </c>
      <c r="I125" s="1392" t="n">
        <v>3.5</v>
      </c>
      <c r="J125" s="1392" t="n">
        <v>3</v>
      </c>
      <c r="K125" s="1392" t="n">
        <v>3</v>
      </c>
      <c r="L125" s="1384" t="n"/>
      <c r="M125" s="1386" t="n"/>
    </row>
    <row r="126">
      <c r="A126" s="1180" t="n">
        <v>23</v>
      </c>
      <c r="B126" s="1177" t="inlineStr">
        <is>
          <t>Price sensitivity to capacity utilisation (lagged)</t>
        </is>
      </c>
      <c r="C126" s="1168" t="inlineStr">
        <is>
          <t>x</t>
        </is>
      </c>
      <c r="D126" s="601" t="inlineStr">
        <is>
          <t>Base Case</t>
        </is>
      </c>
      <c r="E126" s="1387" t="n">
        <v>0.4</v>
      </c>
      <c r="F126" s="1387" t="n">
        <v>0.4</v>
      </c>
      <c r="G126" s="1387" t="n">
        <v>0.4</v>
      </c>
      <c r="H126" s="1387" t="n">
        <v>0.4</v>
      </c>
      <c r="I126" s="1387" t="n">
        <v>0.4</v>
      </c>
      <c r="J126" s="1387" t="n">
        <v>0.4</v>
      </c>
      <c r="K126" s="1387" t="n">
        <v>0.4</v>
      </c>
      <c r="L126" s="1168" t="inlineStr">
        <is>
          <t>Indicative</t>
        </is>
      </c>
      <c r="M126" s="1171" t="inlineStr">
        <is>
          <t>MA23</t>
        </is>
      </c>
      <c r="N126" s="1167" t="n"/>
    </row>
    <row r="127">
      <c r="A127" s="1379" t="n"/>
      <c r="B127" s="1380" t="n"/>
      <c r="C127" s="1380" t="n"/>
      <c r="D127" s="591" t="inlineStr">
        <is>
          <t>Bull Case</t>
        </is>
      </c>
      <c r="E127" s="1388" t="n">
        <v>0.4</v>
      </c>
      <c r="F127" s="1388" t="n">
        <v>0.4</v>
      </c>
      <c r="G127" s="1388" t="n">
        <v>0.4</v>
      </c>
      <c r="H127" s="1388" t="n">
        <v>0.4</v>
      </c>
      <c r="I127" s="1388" t="n">
        <v>0.4</v>
      </c>
      <c r="J127" s="1388" t="n">
        <v>0.4</v>
      </c>
      <c r="K127" s="1388" t="n">
        <v>0.4</v>
      </c>
      <c r="L127" s="1380" t="n"/>
      <c r="M127" s="1382" t="n"/>
    </row>
    <row r="128">
      <c r="A128" s="1379" t="n"/>
      <c r="B128" s="1380" t="n"/>
      <c r="C128" s="1380" t="n"/>
      <c r="D128" s="591" t="inlineStr">
        <is>
          <t>Bear Case</t>
        </is>
      </c>
      <c r="E128" s="1388" t="n">
        <v>0.4</v>
      </c>
      <c r="F128" s="1388" t="n">
        <v>0.4</v>
      </c>
      <c r="G128" s="1388" t="n">
        <v>0.4</v>
      </c>
      <c r="H128" s="1388" t="n">
        <v>0.4</v>
      </c>
      <c r="I128" s="1388" t="n">
        <v>0.4</v>
      </c>
      <c r="J128" s="1388" t="n">
        <v>0.4</v>
      </c>
      <c r="K128" s="1388" t="n">
        <v>0.4</v>
      </c>
      <c r="L128" s="1380" t="n"/>
      <c r="M128" s="1382" t="n"/>
    </row>
    <row r="129" ht="15" customHeight="1" thickBot="1">
      <c r="A129" s="1383" t="n"/>
      <c r="B129" s="1384" t="n"/>
      <c r="C129" s="1384" t="n"/>
      <c r="D129" s="596" t="inlineStr">
        <is>
          <t>Stress Case</t>
        </is>
      </c>
      <c r="E129" s="1389" t="n">
        <v>0.4</v>
      </c>
      <c r="F129" s="1389" t="n">
        <v>0.4</v>
      </c>
      <c r="G129" s="1389" t="n">
        <v>0.4</v>
      </c>
      <c r="H129" s="1389" t="n">
        <v>0.4</v>
      </c>
      <c r="I129" s="1389" t="n">
        <v>0.4</v>
      </c>
      <c r="J129" s="1389" t="n">
        <v>0.4</v>
      </c>
      <c r="K129" s="1389" t="n">
        <v>0.4</v>
      </c>
      <c r="L129" s="1384" t="n"/>
      <c r="M129" s="1386" t="n"/>
    </row>
    <row r="130">
      <c r="A130" s="1180" t="n">
        <v>24</v>
      </c>
      <c r="B130" s="1177" t="inlineStr">
        <is>
          <t>Normal capacity utilisation</t>
        </is>
      </c>
      <c r="C130" s="1168" t="inlineStr">
        <is>
          <t>%</t>
        </is>
      </c>
      <c r="D130" s="601" t="inlineStr">
        <is>
          <t>Base Case</t>
        </is>
      </c>
      <c r="E130" s="1378" t="n">
        <v>0.8</v>
      </c>
      <c r="F130" s="1378" t="n">
        <v>0.8</v>
      </c>
      <c r="G130" s="1378" t="n">
        <v>0.8</v>
      </c>
      <c r="H130" s="1378" t="n">
        <v>0.8</v>
      </c>
      <c r="I130" s="1378" t="n">
        <v>0.8</v>
      </c>
      <c r="J130" s="1378" t="n">
        <v>0.8</v>
      </c>
      <c r="K130" s="1378" t="n">
        <v>0.8</v>
      </c>
      <c r="L130" s="1168" t="inlineStr">
        <is>
          <t>Derived-DB</t>
        </is>
      </c>
      <c r="M130" s="1171" t="inlineStr">
        <is>
          <t>MA24</t>
        </is>
      </c>
      <c r="N130" s="1167" t="n"/>
    </row>
    <row r="131">
      <c r="A131" s="1379" t="n"/>
      <c r="B131" s="1380" t="n"/>
      <c r="C131" s="1380" t="n"/>
      <c r="D131" s="591" t="inlineStr">
        <is>
          <t>Bull Case</t>
        </is>
      </c>
      <c r="E131" s="1381" t="n">
        <v>0.8</v>
      </c>
      <c r="F131" s="1381" t="n">
        <v>0.8</v>
      </c>
      <c r="G131" s="1381" t="n">
        <v>0.8</v>
      </c>
      <c r="H131" s="1381" t="n">
        <v>0.8</v>
      </c>
      <c r="I131" s="1381" t="n">
        <v>0.8</v>
      </c>
      <c r="J131" s="1381" t="n">
        <v>0.8</v>
      </c>
      <c r="K131" s="1381" t="n">
        <v>0.8</v>
      </c>
      <c r="L131" s="1380" t="n"/>
      <c r="M131" s="1382" t="n"/>
    </row>
    <row r="132">
      <c r="A132" s="1379" t="n"/>
      <c r="B132" s="1380" t="n"/>
      <c r="C132" s="1380" t="n"/>
      <c r="D132" s="591" t="inlineStr">
        <is>
          <t>Bear Case</t>
        </is>
      </c>
      <c r="E132" s="1381" t="n">
        <v>0.8</v>
      </c>
      <c r="F132" s="1381" t="n">
        <v>0.8</v>
      </c>
      <c r="G132" s="1381" t="n">
        <v>0.8</v>
      </c>
      <c r="H132" s="1381" t="n">
        <v>0.8</v>
      </c>
      <c r="I132" s="1381" t="n">
        <v>0.8</v>
      </c>
      <c r="J132" s="1381" t="n">
        <v>0.8</v>
      </c>
      <c r="K132" s="1381" t="n">
        <v>0.8</v>
      </c>
      <c r="L132" s="1380" t="n"/>
      <c r="M132" s="1382" t="n"/>
    </row>
    <row r="133" ht="15" customHeight="1" thickBot="1">
      <c r="A133" s="1383" t="n"/>
      <c r="B133" s="1384" t="n"/>
      <c r="C133" s="1384" t="n"/>
      <c r="D133" s="596" t="inlineStr">
        <is>
          <t>Stress Case</t>
        </is>
      </c>
      <c r="E133" s="1385" t="n">
        <v>0.8</v>
      </c>
      <c r="F133" s="1385" t="n">
        <v>0.8</v>
      </c>
      <c r="G133" s="1385" t="n">
        <v>0.8</v>
      </c>
      <c r="H133" s="1385" t="n">
        <v>0.8</v>
      </c>
      <c r="I133" s="1385" t="n">
        <v>0.8</v>
      </c>
      <c r="J133" s="1385" t="n">
        <v>0.8</v>
      </c>
      <c r="K133" s="1385" t="n">
        <v>0.8</v>
      </c>
      <c r="L133" s="1384" t="n"/>
      <c r="M133" s="1386" t="n"/>
    </row>
    <row r="134">
      <c r="A134" s="1180" t="n">
        <v>25</v>
      </c>
      <c r="B134" s="1177" t="inlineStr">
        <is>
          <t>Maximum practical capacity utilisation</t>
        </is>
      </c>
      <c r="C134" s="1168" t="inlineStr">
        <is>
          <t>%</t>
        </is>
      </c>
      <c r="D134" s="601" t="inlineStr">
        <is>
          <t>Base Case</t>
        </is>
      </c>
      <c r="E134" s="1378" t="n">
        <v>0.92</v>
      </c>
      <c r="F134" s="1378" t="n">
        <v>0.92</v>
      </c>
      <c r="G134" s="1378" t="n">
        <v>0.92</v>
      </c>
      <c r="H134" s="1378" t="n">
        <v>0.92</v>
      </c>
      <c r="I134" s="1378" t="n">
        <v>0.92</v>
      </c>
      <c r="J134" s="1378" t="n">
        <v>0.92</v>
      </c>
      <c r="K134" s="1378" t="n">
        <v>0.92</v>
      </c>
      <c r="L134" s="1168" t="inlineStr">
        <is>
          <t>Indicative</t>
        </is>
      </c>
      <c r="M134" s="1171" t="inlineStr">
        <is>
          <t>MA25</t>
        </is>
      </c>
      <c r="N134" s="1167" t="n"/>
    </row>
    <row r="135">
      <c r="A135" s="1379" t="n"/>
      <c r="B135" s="1380" t="n"/>
      <c r="C135" s="1380" t="n"/>
      <c r="D135" s="591" t="inlineStr">
        <is>
          <t>Bull Case</t>
        </is>
      </c>
      <c r="E135" s="1381" t="n">
        <v>0.93</v>
      </c>
      <c r="F135" s="1381" t="n">
        <v>0.93</v>
      </c>
      <c r="G135" s="1381" t="n">
        <v>0.93</v>
      </c>
      <c r="H135" s="1381" t="n">
        <v>0.93</v>
      </c>
      <c r="I135" s="1381" t="n">
        <v>0.93</v>
      </c>
      <c r="J135" s="1381" t="n">
        <v>0.93</v>
      </c>
      <c r="K135" s="1381" t="n">
        <v>0.93</v>
      </c>
      <c r="L135" s="1380" t="n"/>
      <c r="M135" s="1382" t="n"/>
    </row>
    <row r="136">
      <c r="A136" s="1379" t="n"/>
      <c r="B136" s="1380" t="n"/>
      <c r="C136" s="1380" t="n"/>
      <c r="D136" s="591" t="inlineStr">
        <is>
          <t>Bear Case</t>
        </is>
      </c>
      <c r="E136" s="1381" t="n">
        <v>0.92</v>
      </c>
      <c r="F136" s="1381" t="n">
        <v>0.92</v>
      </c>
      <c r="G136" s="1381" t="n">
        <v>0.92</v>
      </c>
      <c r="H136" s="1381" t="n">
        <v>0.92</v>
      </c>
      <c r="I136" s="1381" t="n">
        <v>0.92</v>
      </c>
      <c r="J136" s="1381" t="n">
        <v>0.92</v>
      </c>
      <c r="K136" s="1381" t="n">
        <v>0.92</v>
      </c>
      <c r="L136" s="1380" t="n"/>
      <c r="M136" s="1382" t="n"/>
    </row>
    <row r="137" ht="15" customHeight="1" thickBot="1">
      <c r="A137" s="1383" t="n"/>
      <c r="B137" s="1384" t="n"/>
      <c r="C137" s="1384" t="n"/>
      <c r="D137" s="596" t="inlineStr">
        <is>
          <t>Stress Case</t>
        </is>
      </c>
      <c r="E137" s="1385" t="n">
        <v>0.92</v>
      </c>
      <c r="F137" s="1385" t="n">
        <v>0.92</v>
      </c>
      <c r="G137" s="1385" t="n">
        <v>0.92</v>
      </c>
      <c r="H137" s="1385" t="n">
        <v>0.92</v>
      </c>
      <c r="I137" s="1385" t="n">
        <v>0.92</v>
      </c>
      <c r="J137" s="1385" t="n">
        <v>0.92</v>
      </c>
      <c r="K137" s="1385" t="n">
        <v>0.92</v>
      </c>
      <c r="L137" s="1384" t="n"/>
      <c r="M137" s="1386" t="n"/>
    </row>
    <row r="138">
      <c r="A138" s="1180" t="n">
        <v>26</v>
      </c>
      <c r="B138" s="1177" t="inlineStr">
        <is>
          <t>Depreciation and amortisation</t>
        </is>
      </c>
      <c r="C138" s="1168" t="inlineStr">
        <is>
          <t>% of revenue</t>
        </is>
      </c>
      <c r="D138" s="601" t="inlineStr">
        <is>
          <t>Base Case</t>
        </is>
      </c>
      <c r="E138" s="1390" t="n">
        <v>0.053</v>
      </c>
      <c r="F138" s="1390" t="n">
        <v>0.053</v>
      </c>
      <c r="G138" s="1390" t="n">
        <v>0.053</v>
      </c>
      <c r="H138" s="1390" t="n">
        <v>0.053</v>
      </c>
      <c r="I138" s="1390" t="n">
        <v>0.053</v>
      </c>
      <c r="J138" s="1390" t="n">
        <v>0.053</v>
      </c>
      <c r="K138" s="1390" t="n">
        <v>0.053</v>
      </c>
      <c r="L138" s="1168" t="inlineStr">
        <is>
          <t>Derived-DB</t>
        </is>
      </c>
      <c r="M138" s="1171" t="inlineStr">
        <is>
          <t>MA26</t>
        </is>
      </c>
      <c r="N138" s="1167" t="n"/>
    </row>
    <row r="139">
      <c r="A139" s="1379" t="n"/>
      <c r="B139" s="1380" t="n"/>
      <c r="C139" s="1380" t="n"/>
      <c r="D139" s="591" t="inlineStr">
        <is>
          <t>Bull Case</t>
        </is>
      </c>
      <c r="E139" s="1391" t="n">
        <v>0.053</v>
      </c>
      <c r="F139" s="1391" t="n">
        <v>0.053</v>
      </c>
      <c r="G139" s="1391" t="n">
        <v>0.053</v>
      </c>
      <c r="H139" s="1391" t="n">
        <v>0.053</v>
      </c>
      <c r="I139" s="1391" t="n">
        <v>0.053</v>
      </c>
      <c r="J139" s="1391" t="n">
        <v>0.053</v>
      </c>
      <c r="K139" s="1391" t="n">
        <v>0.053</v>
      </c>
      <c r="L139" s="1380" t="n"/>
      <c r="M139" s="1382" t="n"/>
    </row>
    <row r="140">
      <c r="A140" s="1379" t="n"/>
      <c r="B140" s="1380" t="n"/>
      <c r="C140" s="1380" t="n"/>
      <c r="D140" s="591" t="inlineStr">
        <is>
          <t>Bear Case</t>
        </is>
      </c>
      <c r="E140" s="1391" t="n">
        <v>0.055</v>
      </c>
      <c r="F140" s="1391" t="n">
        <v>0.055</v>
      </c>
      <c r="G140" s="1391" t="n">
        <v>0.055</v>
      </c>
      <c r="H140" s="1391" t="n">
        <v>0.055</v>
      </c>
      <c r="I140" s="1391" t="n">
        <v>0.055</v>
      </c>
      <c r="J140" s="1391" t="n">
        <v>0.055</v>
      </c>
      <c r="K140" s="1391" t="n">
        <v>0.055</v>
      </c>
      <c r="L140" s="1380" t="n"/>
      <c r="M140" s="1382" t="n"/>
    </row>
    <row r="141" ht="15" customHeight="1" thickBot="1">
      <c r="A141" s="1383" t="n"/>
      <c r="B141" s="1384" t="n"/>
      <c r="C141" s="1384" t="n"/>
      <c r="D141" s="596" t="inlineStr">
        <is>
          <t>Stress Case</t>
        </is>
      </c>
      <c r="E141" s="1392" t="n">
        <v>0.057</v>
      </c>
      <c r="F141" s="1392" t="n">
        <v>0.057</v>
      </c>
      <c r="G141" s="1392" t="n">
        <v>0.057</v>
      </c>
      <c r="H141" s="1392" t="n">
        <v>0.057</v>
      </c>
      <c r="I141" s="1392" t="n">
        <v>0.057</v>
      </c>
      <c r="J141" s="1392" t="n">
        <v>0.057</v>
      </c>
      <c r="K141" s="1392" t="n">
        <v>0.057</v>
      </c>
      <c r="L141" s="1384" t="n"/>
      <c r="M141" s="1386" t="n"/>
    </row>
    <row r="144">
      <c r="A144" s="1165" t="inlineStr">
        <is>
          <t>ASSUMPTION REGISTER</t>
        </is>
      </c>
    </row>
    <row r="145" ht="51" customHeight="1">
      <c r="A145" s="20" t="inlineStr">
        <is>
          <t>Assumption ID</t>
        </is>
      </c>
      <c r="B145" s="34" t="inlineStr">
        <is>
          <t>Assumption</t>
        </is>
      </c>
      <c r="C145" s="34" t="inlineStr">
        <is>
          <t>Unit</t>
        </is>
      </c>
      <c r="D145" s="21" t="inlineStr">
        <is>
          <t>Current Value (FY2026A / spot)</t>
        </is>
      </c>
      <c r="E145" s="21" t="inlineStr">
        <is>
          <t>Historical Range</t>
        </is>
      </c>
      <c r="F145" s="21" t="inlineStr">
        <is>
          <t>Forecast Value (Base, terminal year)</t>
        </is>
      </c>
      <c r="G145" s="21" t="inlineStr">
        <is>
          <t>Source</t>
        </is>
      </c>
      <c r="H145" s="21" t="inlineStr">
        <is>
          <t>Publication Date</t>
        </is>
      </c>
      <c r="I145" s="21" t="inlineStr">
        <is>
          <t>Confidence Rating</t>
        </is>
      </c>
      <c r="J145" s="21" t="inlineStr">
        <is>
          <t>Evidence</t>
        </is>
      </c>
      <c r="K145" s="21" t="inlineStr">
        <is>
          <t>Reasoning</t>
        </is>
      </c>
      <c r="L145" s="34" t="inlineStr">
        <is>
          <t>Sensitivity (impact of a 10% adverse move)</t>
        </is>
      </c>
      <c r="M145" s="34" t="inlineStr">
        <is>
          <t>Dependencies</t>
        </is>
      </c>
      <c r="N145" s="34" t="inlineStr">
        <is>
          <t>Review Date</t>
        </is>
      </c>
      <c r="O145" s="35" t="inlineStr">
        <is>
          <t>Owner</t>
        </is>
      </c>
    </row>
    <row r="146" ht="336" customHeight="1">
      <c r="A146" s="49" t="inlineStr">
        <is>
          <t>R01</t>
        </is>
      </c>
      <c r="B146" s="50" t="inlineStr">
        <is>
          <t>India real GDP growth</t>
        </is>
      </c>
      <c r="C146" s="50" t="inlineStr">
        <is>
          <t>%</t>
        </is>
      </c>
      <c r="D146" s="258" t="inlineStr">
        <is>
          <t>6.6% (FY2027 projection)</t>
        </is>
      </c>
      <c r="E146" s="23" t="inlineStr">
        <is>
          <t>FY2021 -5.8% to FY2026 7.6%</t>
        </is>
      </c>
      <c r="F146" s="23" t="inlineStr">
        <is>
          <t>6.5% (FY2033)</t>
        </is>
      </c>
      <c r="G146" s="23" t="inlineStr">
        <is>
          <t>Reserve Bank of India, Monetary Policy Committee statement</t>
        </is>
      </c>
      <c r="H146" s="23" t="inlineStr">
        <is>
          <t>05-Jun-2026</t>
        </is>
      </c>
      <c r="I146" s="23" t="inlineStr">
        <is>
          <t>High</t>
        </is>
      </c>
      <c r="J146" s="23" t="inlineStr">
        <is>
          <t>RBI cut its FY2027 projection to 6.6% from 6.9%, citing West Asia conflict, energy prices, supply disruption and monsoon risk; repo held at 5.25%; FY2027 CPI projection raised 50bps to 5.1%. FY2026 growth estimated at 7.6%; Q4FY2026 actual 7.7%.</t>
        </is>
      </c>
      <c r="K146" s="23" t="inlineStr">
        <is>
          <t>The RBI is the authoritative domestic forecaster and its projection is adopted unadjusted for FY2027. Beyond FY2027 no Indian official body publishes a real GDP path, so the model converges to a 6.5% steady state, which is below the FY2015-FY2026 realised average and therefore not an aggressive assumption.</t>
        </is>
      </c>
      <c r="L146" s="1306" t="inlineStr">
        <is>
          <t>A 10% adverse move (66bps of growth) reduces FY2033 steel demand by roughly 5.0 Mt and industry EBITDA by roughly 4%.</t>
        </is>
      </c>
      <c r="M146" s="1306" t="inlineStr">
        <is>
          <t>Drives D02 steel demand elasticity, hence all volume, revenue and EBITDA lines.</t>
        </is>
      </c>
      <c r="N146" s="1306" t="inlineStr">
        <is>
          <t>Next RBI MPC statement</t>
        </is>
      </c>
      <c r="O146" s="40" t="inlineStr">
        <is>
          <t>Head of Metals &amp; Mining Research</t>
        </is>
      </c>
    </row>
    <row r="147" ht="360" customHeight="1">
      <c r="A147" s="49" t="inlineStr">
        <is>
          <t>R02</t>
        </is>
      </c>
      <c r="B147" s="50" t="inlineStr">
        <is>
          <t>Steel demand elasticity to GDP</t>
        </is>
      </c>
      <c r="C147" s="50" t="inlineStr">
        <is>
          <t>x</t>
        </is>
      </c>
      <c r="D147" s="258" t="inlineStr">
        <is>
          <t>1.10x realised FY2015-FY2026</t>
        </is>
      </c>
      <c r="E147" s="23" t="inlineStr">
        <is>
          <t>1.06x to 1.13x depending on the GDP deflator used</t>
        </is>
      </c>
      <c r="F147" s="23" t="inlineStr">
        <is>
          <t>1.05x (FY2033)</t>
        </is>
      </c>
      <c r="G147" s="23" t="inlineStr">
        <is>
          <t>Derived from Master Industry Database; corroborated by worldsteel Short Range Outlook</t>
        </is>
      </c>
      <c r="H147" s="23" t="inlineStr">
        <is>
          <t>Master DB 03-Aug-2026; worldsteel SRO Apr-2026</t>
        </is>
      </c>
      <c r="I147" s="23" t="inlineStr">
        <is>
          <t>High</t>
        </is>
      </c>
      <c r="J147" s="23" t="inlineStr">
        <is>
          <t>Apparent consumption compounded at 7.13% from 76.99 Mt in FY2015 to 164.19 Mt in FY2026 against real GDP CAGR of roughly 6.3-6.7%. worldsteel's Apr-2026 SRO forecasts Indian demand +7.4% in CY2026 and +9.2% in CY2027, the fastest of any major market, against RBI GDP of 6.6% - implying near-term elasticity of 1.1x to 1.4x.</t>
        </is>
      </c>
      <c r="K147" s="23" t="inlineStr">
        <is>
          <t>Set at 1.15x near term to reflect the worldsteel-implied strength, tapering to 1.05x by FY2033 on maturing steel intensity as per capita consumption rises from 115.7 kg. India is at roughly half the world average of 215 kg, so intensity decay should be slow.</t>
        </is>
      </c>
      <c r="L147" s="1306" t="inlineStr">
        <is>
          <t>A 10% adverse move (0.115x) reduces FY2033 demand by roughly 9.5 Mt, about 3.6%.</t>
        </is>
      </c>
      <c r="M147" s="1306" t="inlineStr">
        <is>
          <t>Depends on R01. Drives the entire demand, supply and revenue chain.</t>
        </is>
      </c>
      <c r="N147" s="1306" t="inlineStr">
        <is>
          <t>On each worldsteel SRO release (April and October)</t>
        </is>
      </c>
      <c r="O147" s="40" t="inlineStr">
        <is>
          <t>Head of Metals &amp; Mining Research</t>
        </is>
      </c>
    </row>
    <row r="148" ht="409.6" customHeight="1">
      <c r="A148" s="49" t="inlineStr">
        <is>
          <t>R03</t>
        </is>
      </c>
      <c r="B148" s="50" t="inlineStr">
        <is>
          <t>Blended industry realisation</t>
        </is>
      </c>
      <c r="C148" s="50" t="inlineStr">
        <is>
          <t>Rs/t</t>
        </is>
      </c>
      <c r="D148" s="258" t="inlineStr">
        <is>
          <t>Rs 59,974/t (FY2026A)</t>
        </is>
      </c>
      <c r="E148" s="23" t="inlineStr">
        <is>
          <t>Implied Rs 55,600/t (SAIL) to Rs 62,273/t (Tata Steel India) across the four majors</t>
        </is>
      </c>
      <c r="F148" s="23" t="inlineStr">
        <is>
          <t>Rs 68,000/t (FY2033)</t>
        </is>
      </c>
      <c r="G148" s="23" t="inlineStr">
        <is>
          <t>Derived from Master Industry Database company disclosures</t>
        </is>
      </c>
      <c r="H148" s="23" t="inlineStr">
        <is>
          <t>Master DB 03-Aug-2026</t>
        </is>
      </c>
      <c r="I148" s="23" t="inlineStr">
        <is>
          <t>Medium</t>
        </is>
      </c>
      <c r="J148" s="23" t="inlineStr">
        <is>
          <t>Volume-weighted revenue per tonne of Tata Steel India, JSW Steel India, SAIL and Jindal Steel: Rs 4,79,191 cr over 79.90 Mt, which is 49.4% of India's FY2026 finished steel production. Cross-check: implied EBITDA of Rs 85,759 cr against the Rs 86,318 cr sum of reported EBITDAs, a 0.6% rounding difference.</t>
        </is>
      </c>
      <c r="K148" s="23" t="inlineStr">
        <is>
          <t>A blended realisation is used in preference to a spot HRC quote for two reasons. First, the database documents three irreconcilable Mar-2026 HRC assessments spanning Rs 55,900 to Rs 59,500/t (Conflict C07), so no single spot number is defensible. Second, revenue is driven by the actual product mix, not by HRC alone. The forecast path reflects the safeguard duty taper from 12% to 11.5% to 11% and its expiry on 20-Apr-2028 coinciding with peak capacity commissioning.</t>
        </is>
      </c>
      <c r="L148" s="1306" t="inlineStr">
        <is>
          <t>A 10% adverse move (Rs 6,000/t) reduces FY2033 industry EBITDA by roughly Rs 1.1 lakh crore, or roughly 60% - realisation is by far the highest-leverage driver in the model.</t>
        </is>
      </c>
      <c r="M148" s="1306" t="inlineStr">
        <is>
          <t>Drives revenue, EBITDA, margin, cash flow and valuation. Interacts with D07 net exports via import and export parity.</t>
        </is>
      </c>
      <c r="N148" s="1306" t="inlineStr">
        <is>
          <t>Quarterly, on each results season</t>
        </is>
      </c>
      <c r="O148" s="40" t="inlineStr">
        <is>
          <t>Head of Metals &amp; Mining Research</t>
        </is>
      </c>
    </row>
    <row r="149" ht="396" customHeight="1">
      <c r="A149" s="49" t="inlineStr">
        <is>
          <t>R04</t>
        </is>
      </c>
      <c r="B149" s="50" t="inlineStr">
        <is>
          <t>Implied cash cost per tonne</t>
        </is>
      </c>
      <c r="C149" s="50" t="inlineStr">
        <is>
          <t>Rs/t</t>
        </is>
      </c>
      <c r="D149" s="258" t="inlineStr">
        <is>
          <t>Rs 49,241/t (FY2026A)</t>
        </is>
      </c>
      <c r="E149" s="23" t="inlineStr">
        <is>
          <t>Rs 47,060/t (Tata Steel India) to Rs 50,837/t (Jindal Steel)</t>
        </is>
      </c>
      <c r="F149" s="23" t="inlineStr">
        <is>
          <t>Rs 55,900/t (FY2033)</t>
        </is>
      </c>
      <c r="G149" s="23" t="inlineStr">
        <is>
          <t>Derived from Master Industry Database</t>
        </is>
      </c>
      <c r="H149" s="23" t="inlineStr">
        <is>
          <t>Master DB 03-Aug-2026</t>
        </is>
      </c>
      <c r="I149" s="23" t="inlineStr">
        <is>
          <t>Medium</t>
        </is>
      </c>
      <c r="J149" s="23" t="inlineStr">
        <is>
          <t>Realisation of Rs 59,974/t less weighted EBITDA of Rs 10,733/t. The dispersion across the four majors is only about Rs 3,800/t, i.e. under 8%, which gives confidence that the weighted figure is representative rather than an artefact of one company.</t>
        </is>
      </c>
      <c r="K149" s="23" t="inlineStr">
        <is>
          <t>Forecast by splitting cash cost into a raw-material component indexed to the iron ore and coking coal basket in rupee terms, and a conversion component indexed to inflation. This top-down calibration is used instead of a bottom-up build with consumption coefficients because those coefficients could not be sourced from a primary document, and inventing them would create false precision.</t>
        </is>
      </c>
      <c r="L149" s="1306" t="inlineStr">
        <is>
          <t>A 10% adverse move (Rs 4,924/t) reduces FY2033 industry EBITDA by roughly 50%.</t>
        </is>
      </c>
      <c r="M149" s="1306" t="inlineStr">
        <is>
          <t>Depends on D10 iron ore, D11 coking coal, D03 USD/INR, D12 conversion inflation, D13 and D14 basket structure.</t>
        </is>
      </c>
      <c r="N149" s="1306" t="inlineStr">
        <is>
          <t>Quarterly</t>
        </is>
      </c>
      <c r="O149" s="40" t="inlineStr">
        <is>
          <t>Head of Metals &amp; Mining Research</t>
        </is>
      </c>
    </row>
    <row r="150" ht="264" customHeight="1">
      <c r="A150" s="49" t="inlineStr">
        <is>
          <t>R05</t>
        </is>
      </c>
      <c r="B150" s="50" t="inlineStr">
        <is>
          <t>Premium HCC coking coal</t>
        </is>
      </c>
      <c r="C150" s="50" t="inlineStr">
        <is>
          <t>US$/t</t>
        </is>
      </c>
      <c r="D150" s="258" t="inlineStr">
        <is>
          <t>US$225/t (Mar-2026 spot reference)</t>
        </is>
      </c>
      <c r="E150" s="23" t="inlineStr">
        <is>
          <t>US$175/t (Mar-2025) to US$354/t (Oct-2023)</t>
        </is>
      </c>
      <c r="F150" s="23" t="inlineStr">
        <is>
          <t>US$200/t (FY2033)</t>
        </is>
      </c>
      <c r="G150" s="23" t="inlineStr">
        <is>
          <t>Ministry of Steel Monthly Economic Report</t>
        </is>
      </c>
      <c r="H150" s="23" t="inlineStr">
        <is>
          <t>Apr-2026 vintage</t>
        </is>
      </c>
      <c r="I150" s="23" t="inlineStr">
        <is>
          <t>Medium</t>
        </is>
      </c>
      <c r="J150" s="23" t="inlineStr">
        <is>
          <t>The Master Database deliberately asserts no fiscal-year average because the Ministry of Steel and broker series disagree by up to US$40/t and the broker 52-week high of US$217/t sits below the Ministry's Feb-2026 level of US$246/t (Conflict C01).</t>
        </is>
      </c>
      <c r="K150" s="23" t="inlineStr">
        <is>
          <t>The Ministry series is preferred as the Government's own published benchmark. The FY2026 reference is explicitly a spot observation, not an average, and this limitation is carried through to every dependent output.</t>
        </is>
      </c>
      <c r="L150" s="1306" t="inlineStr">
        <is>
          <t>A 10% adverse move (US$22.5/t) raises FY2033 cash cost by roughly Rs 1,050/t and reduces industry EBITDA by roughly 9%.</t>
        </is>
      </c>
      <c r="M150" s="1306" t="inlineStr">
        <is>
          <t>Depends on D03 USD/INR for rupee conversion. Drives D13 raw material cost.</t>
        </is>
      </c>
      <c r="N150" s="1306" t="inlineStr">
        <is>
          <t>Monthly, on each Ministry of Steel report</t>
        </is>
      </c>
      <c r="O150" s="40" t="inlineStr">
        <is>
          <t>Head of Metals &amp; Mining Research</t>
        </is>
      </c>
    </row>
    <row r="151" ht="288" customHeight="1">
      <c r="A151" s="49" t="inlineStr">
        <is>
          <t>R06</t>
        </is>
      </c>
      <c r="B151" s="50" t="inlineStr">
        <is>
          <t>Iron ore 62% Fe CFR China</t>
        </is>
      </c>
      <c r="C151" s="50" t="inlineStr">
        <is>
          <t>US$/dmt</t>
        </is>
      </c>
      <c r="D151" s="258" t="inlineStr">
        <is>
          <t>US$100.52/dmt (FY2026 average)</t>
        </is>
      </c>
      <c r="E151" s="23" t="inlineStr">
        <is>
          <t>US$52.18/dmt (FY2016) to US$155.52/dmt (FY2022)</t>
        </is>
      </c>
      <c r="F151" s="23" t="inlineStr">
        <is>
          <t>US$93/dmt (FY2033)</t>
        </is>
      </c>
      <c r="G151" s="23" t="inlineStr">
        <is>
          <t>World Bank Commodity Price Data (Pink Sheet)</t>
        </is>
      </c>
      <c r="H151" s="23" t="inlineStr">
        <is>
          <t>Monthly file updated 02-Jul-2026</t>
        </is>
      </c>
      <c r="I151" s="23" t="inlineStr">
        <is>
          <t>High</t>
        </is>
      </c>
      <c r="J151" s="23" t="inlineStr">
        <is>
          <t>Complete monthly history to Jun-2026. FY2026 average US$100.52/dmt, the third consecutive annual decline. Q1FY2027 actual average US$105.17/dmt.</t>
        </is>
      </c>
      <c r="K151" s="23" t="inlineStr">
        <is>
          <t>The highest-quality price series available to the model: an official publisher, a documented definition (62% Fe fines, CFR China) and a complete monthly history allowing genuine fiscal-year averages. The FY2027 assumption is anchored on realised Q1 data.</t>
        </is>
      </c>
      <c r="L151" s="1306" t="inlineStr">
        <is>
          <t>A 10% adverse move (US$10/dmt) raises FY2033 cash cost by roughly Rs 470/t and reduces industry EBITDA by roughly 4%.</t>
        </is>
      </c>
      <c r="M151" s="1306" t="inlineStr">
        <is>
          <t>Depends on D03 USD/INR. Note the inverse exposure for ore-integrated names.</t>
        </is>
      </c>
      <c r="N151" s="1306" t="inlineStr">
        <is>
          <t>Monthly, on each Pink Sheet release</t>
        </is>
      </c>
      <c r="O151" s="40" t="inlineStr">
        <is>
          <t>Head of Metals &amp; Mining Research</t>
        </is>
      </c>
    </row>
    <row r="152" ht="384" customHeight="1">
      <c r="A152" s="49" t="inlineStr">
        <is>
          <t>R07</t>
        </is>
      </c>
      <c r="B152" s="50" t="inlineStr">
        <is>
          <t>Announced pipeline delivery factor</t>
        </is>
      </c>
      <c r="C152" s="50" t="inlineStr">
        <is>
          <t>%</t>
        </is>
      </c>
      <c r="D152" s="258" t="inlineStr">
        <is>
          <t>85% (base assumption)</t>
        </is>
      </c>
      <c r="E152" s="23" t="inlineStr">
        <is>
          <t>20.82 Mtpa added FY2025; 20.07 Mtpa added FY2026</t>
        </is>
      </c>
      <c r="F152" s="23" t="inlineStr">
        <is>
          <t>85% (held flat)</t>
        </is>
      </c>
      <c r="G152" s="23" t="inlineStr">
        <is>
          <t>Derived from Master Industry Database capacity series and project tracker</t>
        </is>
      </c>
      <c r="H152" s="23" t="inlineStr">
        <is>
          <t>Master DB 03-Aug-2026</t>
        </is>
      </c>
      <c r="I152" s="23" t="inlineStr">
        <is>
          <t>Medium</t>
        </is>
      </c>
      <c r="J152" s="23" t="inlineStr">
        <is>
          <t>India added 20.82 Mtpa in FY2025 and 20.07 Mtpa in FY2026 against a National Steel Policy path to 300 Mtpa by FY2031 requiring roughly 16 Mtpa a year, i.e. recent delivery has run ahead of the required rate. Offsetting evidence of slippage: JSW Vijayanagar BF-3 was still under testing at FY2026 year-end and AM/NS Hazira 9 to 15 Mtpa has been in progress for several years.</t>
        </is>
      </c>
      <c r="K152" s="23" t="inlineStr">
        <is>
          <t>85% balances a demonstrated ability to deliver roughly 20 Mtpa a year against project-level slippage. Applied only to projects not already commissioned, and only to genuinely incremental India crude steel capacity - acquisitions, downstream lines and overseas assets are excluded.</t>
        </is>
      </c>
      <c r="L152" s="1306" t="inlineStr">
        <is>
          <t>A 10% adverse move (to 76.5%) reduces FY2033 capacity by roughly 5.2 Mtpa and raises utilisation by roughly 180bps, which is EBITDA-positive - so this driver works in the opposite direction to intuition and is a genuine model insight.</t>
        </is>
      </c>
      <c r="M152" s="1306" t="inlineStr">
        <is>
          <t>Drives capacity, hence utilisation, hence the price and margin cycle.</t>
        </is>
      </c>
      <c r="N152" s="1306" t="inlineStr">
        <is>
          <t>Quarterly, on results and project announcements</t>
        </is>
      </c>
      <c r="O152" s="40" t="inlineStr">
        <is>
          <t>Head of Metals &amp; Mining Research</t>
        </is>
      </c>
    </row>
    <row r="153" ht="348" customHeight="1">
      <c r="A153" s="49" t="inlineStr">
        <is>
          <t>R08</t>
        </is>
      </c>
      <c r="B153" s="50" t="inlineStr">
        <is>
          <t>WACC (nominal, INR)</t>
        </is>
      </c>
      <c r="C153" s="50" t="inlineStr">
        <is>
          <t>%</t>
        </is>
      </c>
      <c r="D153" s="258" t="inlineStr">
        <is>
          <t>12.0%</t>
        </is>
      </c>
      <c r="E153" s="23" t="inlineStr">
        <is>
          <t>Not applicable - a constructed parameter</t>
        </is>
      </c>
      <c r="F153" s="23" t="inlineStr">
        <is>
          <t>12.0% (held flat)</t>
        </is>
      </c>
      <c r="G153" s="23" t="inlineStr">
        <is>
          <t>Composite: RBI, investing.com, CRISIL RateView, modeller judgement</t>
        </is>
      </c>
      <c r="H153" s="23" t="inlineStr">
        <is>
          <t>10-year G-sec 31-Jul-2026; CRISIL RateView Jul-2026</t>
        </is>
      </c>
      <c r="I153" s="23" t="inlineStr">
        <is>
          <t>Medium</t>
        </is>
      </c>
      <c r="J153" s="23" t="inlineStr">
        <is>
          <t>Risk-free rate 6.83% - the 10-year G-sec yield on 31-Jul-2026, with Trading Economics expecting 6.78% at quarter end. Pre-tax cost of debt 7.44% - the lower bound of CRISIL RateView's projected 10-year corporate bond yield range of 7.44-7.54%, consistent with the AA domestic ratings recorded in the database for JSW Steel.</t>
        </is>
      </c>
      <c r="K153" s="23" t="inlineStr">
        <is>
          <t>Two inputs are NOT sourced and are the weakest links: an equity risk premium of 6.5% and an equity beta of 1.2. These are flagged, fully editable, and form a sensitivity axis. The full build-up is displayed rather than the output alone, so a reviewer can substitute their own house assumptions in one place.</t>
        </is>
      </c>
      <c r="L153" s="1306" t="inlineStr">
        <is>
          <t>A 10% adverse move (120bps) reduces enterprise value by roughly 11% at the base exit multiple.</t>
        </is>
      </c>
      <c r="M153" s="1306" t="inlineStr">
        <is>
          <t>Depends on D15 tax rate and the capital structure. Drives all discounted valuation output.</t>
        </is>
      </c>
      <c r="N153" s="1306" t="inlineStr">
        <is>
          <t>Quarterly, or on any material rate move</t>
        </is>
      </c>
      <c r="O153" s="40" t="inlineStr">
        <is>
          <t>Head of Metals &amp; Mining Research</t>
        </is>
      </c>
    </row>
    <row r="154" ht="360" customHeight="1">
      <c r="A154" s="49" t="inlineStr">
        <is>
          <t>R09</t>
        </is>
      </c>
      <c r="B154" s="50" t="inlineStr">
        <is>
          <t>Net working capital</t>
        </is>
      </c>
      <c r="C154" s="50" t="inlineStr">
        <is>
          <t>days of revenue</t>
        </is>
      </c>
      <c r="D154" s="258" t="inlineStr">
        <is>
          <t>Not sourced</t>
        </is>
      </c>
      <c r="E154" s="23" t="inlineStr">
        <is>
          <t>Not derivable from the Master Database</t>
        </is>
      </c>
      <c r="F154" s="23" t="inlineStr">
        <is>
          <t>45 days (held flat)</t>
        </is>
      </c>
      <c r="G154" s="23" t="inlineStr">
        <is>
          <t>Sector convention; directional corroboration from Tata Steel disclosure</t>
        </is>
      </c>
      <c r="H154" s="23" t="inlineStr">
        <is>
          <t>Master DB 03-Aug-2026</t>
        </is>
      </c>
      <c r="I154" s="23" t="inlineStr">
        <is>
          <t>Low</t>
        </is>
      </c>
      <c r="J154" s="23" t="inlineStr">
        <is>
          <t>The Master Database carries total assets and borrowings but not receivables, inventory or payables, so working capital days could not be derived. The only directional evidence is Tata Steel's disclosed FY2026 working capital RELEASE of about Rs 6,470 cr, which on a Rs 2,32,140 cr revenue base is roughly 10 days of tightening.</t>
        </is>
      </c>
      <c r="K154" s="23" t="inlineStr">
        <is>
          <t>45 days is a sector convention for an integrated Indian producer and is explicitly provisional. It is flexed hard in the stress case to 62 days because a working capital build in a downturn is a first-order cash flow risk, not a second-order one.</t>
        </is>
      </c>
      <c r="L154" s="1306" t="inlineStr">
        <is>
          <t>A 10% adverse move (4.5 days) consumes roughly Rs 12,000 cr of industry cash flow in the terminal year.</t>
        </is>
      </c>
      <c r="M154" s="1306" t="inlineStr">
        <is>
          <t>Drives cash flow and net debt, not EBITDA.</t>
        </is>
      </c>
      <c r="N154" s="1306" t="inlineStr">
        <is>
          <t>MUST be replaced before transaction use</t>
        </is>
      </c>
      <c r="O154" s="40" t="inlineStr">
        <is>
          <t>Head of Metals &amp; Mining Research</t>
        </is>
      </c>
    </row>
    <row r="155" ht="348" customHeight="1">
      <c r="A155" s="51" t="inlineStr">
        <is>
          <t>R10</t>
        </is>
      </c>
      <c r="B155" s="52" t="inlineStr">
        <is>
          <t>Raw material share of cash cost</t>
        </is>
      </c>
      <c r="C155" s="52" t="inlineStr">
        <is>
          <t>%</t>
        </is>
      </c>
      <c r="D155" s="259" t="inlineStr">
        <is>
          <t>60% (indicative)</t>
        </is>
      </c>
      <c r="E155" s="22" t="inlineStr">
        <is>
          <t>Not sourced</t>
        </is>
      </c>
      <c r="F155" s="22" t="inlineStr">
        <is>
          <t>60% (held flat)</t>
        </is>
      </c>
      <c r="G155" s="22" t="inlineStr">
        <is>
          <t>Indicative structural assumption - not sourced</t>
        </is>
      </c>
      <c r="H155" s="22" t="inlineStr">
        <is>
          <t>Not applicable</t>
        </is>
      </c>
      <c r="I155" s="22" t="inlineStr">
        <is>
          <t>Low</t>
        </is>
      </c>
      <c r="J155" s="22" t="inlineStr">
        <is>
          <t>No primary document was located that discloses the raw-material versus conversion split of cash cost for the Indian majors. 60/40 is the conventional split for an integrated BF-BOF producer.</t>
        </is>
      </c>
      <c r="K155" s="22" t="inlineStr">
        <is>
          <t>Held constant across all four scenarios precisely because it is unsourced: flexing an unsourced parameter across scenarios would manufacture false precision. Its influence is instead quantified explicitly on the sensitivity sheet, so a reviewer can see exactly how much of the answer depends on it. Plausible range 55-65%.</t>
        </is>
      </c>
      <c r="L155" s="46" t="inlineStr">
        <is>
          <t>A 5 percentage point change alters FY2033 EBITDA/t by roughly Rs 600/t, about 4%.</t>
        </is>
      </c>
      <c r="M155" s="46" t="inlineStr">
        <is>
          <t>Determines how D10, D11 and D12 transmit into cash cost.</t>
        </is>
      </c>
      <c r="N155" s="46" t="inlineStr">
        <is>
          <t>MUST be replaced with company cost disclosure before transaction use</t>
        </is>
      </c>
      <c r="O155" s="47" t="inlineStr">
        <is>
          <t>Head of Metals &amp; Mining Research</t>
        </is>
      </c>
    </row>
    <row r="157">
      <c r="A157" s="1166" t="inlineStr">
        <is>
          <t>WACC BUILD-UP</t>
        </is>
      </c>
    </row>
    <row r="158" ht="27.6" customHeight="1">
      <c r="A158" s="1188" t="inlineStr">
        <is>
          <t>Component</t>
        </is>
      </c>
      <c r="B158" s="1360" t="n"/>
      <c r="C158" s="269" t="inlineStr">
        <is>
          <t>Unit</t>
        </is>
      </c>
      <c r="D158" s="269" t="inlineStr">
        <is>
          <t>Value</t>
        </is>
      </c>
      <c r="E158" s="269" t="inlineStr">
        <is>
          <t>Source</t>
        </is>
      </c>
      <c r="F158" s="269" t="inlineStr">
        <is>
          <t>Publication date</t>
        </is>
      </c>
      <c r="G158" s="269" t="inlineStr">
        <is>
          <t>Confidence</t>
        </is>
      </c>
      <c r="H158" s="1188" t="inlineStr">
        <is>
          <t>Evidence and caveats</t>
        </is>
      </c>
      <c r="I158" s="1342" t="n"/>
      <c r="J158" s="1342" t="n"/>
      <c r="K158" s="1342" t="n"/>
      <c r="L158" s="1342" t="n"/>
      <c r="M158" s="1342" t="n"/>
      <c r="N158" s="1360" t="n"/>
      <c r="O158" s="269" t="inlineStr">
        <is>
          <t>Audit Code</t>
        </is>
      </c>
    </row>
    <row r="159" ht="24" customHeight="1">
      <c r="A159" s="1190" t="inlineStr">
        <is>
          <t>Risk-free rate (10-year G-sec)</t>
        </is>
      </c>
      <c r="B159" s="1360" t="n"/>
      <c r="C159" s="456" t="inlineStr">
        <is>
          <t>%</t>
        </is>
      </c>
      <c r="D159" s="1396" t="n">
        <v>0.0683</v>
      </c>
      <c r="E159" s="1169" t="inlineStr">
        <is>
          <t>investing.com / NSE</t>
        </is>
      </c>
      <c r="F159" s="1169" t="inlineStr">
        <is>
          <t>31-Jul-2026</t>
        </is>
      </c>
      <c r="G159" s="1169" t="inlineStr">
        <is>
          <t>High</t>
        </is>
      </c>
      <c r="H159" s="1187" t="inlineStr">
        <is>
          <t>10-year benchmark G-sec yield 6.833% on 31-Jul-2026. Trading Economics expects 6.78% at quarter end. RBI repo rate held at 5.25% on 05-Jun-2026.</t>
        </is>
      </c>
      <c r="I159" s="1342" t="n"/>
      <c r="J159" s="1342" t="n"/>
      <c r="K159" s="1342" t="n"/>
      <c r="L159" s="1342" t="n"/>
      <c r="M159" s="1342" t="n"/>
      <c r="N159" s="1360" t="n"/>
      <c r="O159" s="459" t="inlineStr">
        <is>
          <t>MA27</t>
        </is>
      </c>
    </row>
    <row r="160" ht="36" customHeight="1">
      <c r="A160" s="1190" t="inlineStr">
        <is>
          <t>Equity risk premium</t>
        </is>
      </c>
      <c r="B160" s="1360" t="n"/>
      <c r="C160" s="456" t="inlineStr">
        <is>
          <t>%</t>
        </is>
      </c>
      <c r="D160" s="1397" t="n">
        <v>0.065</v>
      </c>
      <c r="E160" s="1169" t="inlineStr">
        <is>
          <t>NOT SOURCED - modeller assumption</t>
        </is>
      </c>
      <c r="F160" s="1169" t="inlineStr">
        <is>
          <t>n/a</t>
        </is>
      </c>
      <c r="G160" s="1169" t="inlineStr">
        <is>
          <t>Low</t>
        </is>
      </c>
      <c r="H160" s="1187" t="inlineStr">
        <is>
          <t>Not sourced in this research cycle. 6.5% is a conventional India ERP. THIS IS ONE OF THE TWO WEAKEST INPUTS IN THE MODEL - substitute your house assumption.</t>
        </is>
      </c>
      <c r="I160" s="1342" t="n"/>
      <c r="J160" s="1342" t="n"/>
      <c r="K160" s="1342" t="n"/>
      <c r="L160" s="1342" t="n"/>
      <c r="M160" s="1342" t="n"/>
      <c r="N160" s="1360" t="n"/>
      <c r="O160" s="459" t="inlineStr">
        <is>
          <t>MA28</t>
        </is>
      </c>
    </row>
    <row r="161" ht="36" customHeight="1">
      <c r="A161" s="1190" t="inlineStr">
        <is>
          <t>Equity beta (sector, levered)</t>
        </is>
      </c>
      <c r="B161" s="1360" t="n"/>
      <c r="C161" s="456" t="inlineStr">
        <is>
          <t>x</t>
        </is>
      </c>
      <c r="D161" s="1398" t="n">
        <v>1.2</v>
      </c>
      <c r="E161" s="1169" t="inlineStr">
        <is>
          <t>NOT SOURCED - modeller assumption</t>
        </is>
      </c>
      <c r="F161" s="1169" t="inlineStr">
        <is>
          <t>n/a</t>
        </is>
      </c>
      <c r="G161" s="1169" t="inlineStr">
        <is>
          <t>Low</t>
        </is>
      </c>
      <c r="H161" s="1187" t="inlineStr">
        <is>
          <t>Not sourced. 1.2 reflects the conventional view that steel is a high-beta cyclical. Substitute a regression beta or a peer-median unlevered beta relevered to target gearing.</t>
        </is>
      </c>
      <c r="I161" s="1342" t="n"/>
      <c r="J161" s="1342" t="n"/>
      <c r="K161" s="1342" t="n"/>
      <c r="L161" s="1342" t="n"/>
      <c r="M161" s="1342" t="n"/>
      <c r="N161" s="1360" t="n"/>
      <c r="O161" s="459" t="inlineStr">
        <is>
          <t>MA29</t>
        </is>
      </c>
    </row>
    <row r="162">
      <c r="A162" s="1191" t="inlineStr">
        <is>
          <t>Cost of equity</t>
        </is>
      </c>
      <c r="B162" s="1360" t="n"/>
      <c r="C162" s="456" t="inlineStr">
        <is>
          <t>%</t>
        </is>
      </c>
      <c r="D162" s="1399">
        <f>D159+D161*D160</f>
        <v/>
      </c>
      <c r="E162" s="1169" t="inlineStr">
        <is>
          <t>Computed</t>
        </is>
      </c>
      <c r="F162" s="1169" t="inlineStr">
        <is>
          <t>n/a</t>
        </is>
      </c>
      <c r="G162" s="1169" t="inlineStr">
        <is>
          <t>Medium</t>
        </is>
      </c>
      <c r="H162" s="1187" t="inlineStr">
        <is>
          <t>Risk-free rate plus beta times equity risk premium. Live formula.</t>
        </is>
      </c>
      <c r="I162" s="1342" t="n"/>
      <c r="J162" s="1342" t="n"/>
      <c r="K162" s="1342" t="n"/>
      <c r="L162" s="1342" t="n"/>
      <c r="M162" s="1342" t="n"/>
      <c r="N162" s="1360" t="n"/>
      <c r="O162" s="459" t="n"/>
    </row>
    <row r="163" ht="24" customHeight="1">
      <c r="A163" s="1190" t="inlineStr">
        <is>
          <t>Pre-tax cost of debt</t>
        </is>
      </c>
      <c r="B163" s="1360" t="n"/>
      <c r="C163" s="456" t="inlineStr">
        <is>
          <t>%</t>
        </is>
      </c>
      <c r="D163" s="1396" t="n">
        <v>0.07439999999999999</v>
      </c>
      <c r="E163" s="1169" t="inlineStr">
        <is>
          <t>CRISIL RateView</t>
        </is>
      </c>
      <c r="F163" s="1169" t="inlineStr">
        <is>
          <t>Jul-2026</t>
        </is>
      </c>
      <c r="G163" s="1169" t="inlineStr">
        <is>
          <t>Medium</t>
        </is>
      </c>
      <c r="H163" s="1187" t="inlineStr">
        <is>
          <t>Lower bound of CRISIL's projected 10-year corporate bond yield range of 7.44-7.54%. Consistent with the ICRA and India Ratings AA domestic ratings the Master Database records for JSW Steel, and with Moody's Ba1 positive at the international level.</t>
        </is>
      </c>
      <c r="I163" s="1342" t="n"/>
      <c r="J163" s="1342" t="n"/>
      <c r="K163" s="1342" t="n"/>
      <c r="L163" s="1342" t="n"/>
      <c r="M163" s="1342" t="n"/>
      <c r="N163" s="1360" t="n"/>
      <c r="O163" s="459" t="inlineStr">
        <is>
          <t>MA30</t>
        </is>
      </c>
    </row>
    <row r="164" ht="36" customHeight="1">
      <c r="A164" s="1190" t="inlineStr">
        <is>
          <t>Effective tax rate</t>
        </is>
      </c>
      <c r="B164" s="1360" t="n"/>
      <c r="C164" s="456" t="inlineStr">
        <is>
          <t>%</t>
        </is>
      </c>
      <c r="D164" s="1396" t="n">
        <v>0.2517</v>
      </c>
      <c r="E164" s="1169" t="inlineStr">
        <is>
          <t>Statutory section 115BAA</t>
        </is>
      </c>
      <c r="F164" s="1169" t="inlineStr">
        <is>
          <t>n/a</t>
        </is>
      </c>
      <c r="G164" s="1169" t="inlineStr">
        <is>
          <t>Medium</t>
        </is>
      </c>
      <c r="H164" s="1187" t="inlineStr">
        <is>
          <t>22% plus surcharge and cess. See D15.</t>
        </is>
      </c>
      <c r="I164" s="1342" t="n"/>
      <c r="J164" s="1342" t="n"/>
      <c r="K164" s="1342" t="n"/>
      <c r="L164" s="1342" t="n"/>
      <c r="M164" s="1342" t="n"/>
      <c r="N164" s="1360" t="n"/>
      <c r="O164" s="459" t="inlineStr">
        <is>
          <t>MA31</t>
        </is>
      </c>
    </row>
    <row r="165">
      <c r="A165" s="1191" t="inlineStr">
        <is>
          <t>Post-tax cost of debt</t>
        </is>
      </c>
      <c r="B165" s="1360" t="n"/>
      <c r="C165" s="456" t="inlineStr">
        <is>
          <t>%</t>
        </is>
      </c>
      <c r="D165" s="1399">
        <f>D163*(1-D164)</f>
        <v/>
      </c>
      <c r="E165" s="1169" t="inlineStr">
        <is>
          <t>Computed</t>
        </is>
      </c>
      <c r="F165" s="1169" t="inlineStr">
        <is>
          <t>n/a</t>
        </is>
      </c>
      <c r="G165" s="1169" t="inlineStr">
        <is>
          <t>Medium</t>
        </is>
      </c>
      <c r="H165" s="1187" t="inlineStr">
        <is>
          <t>Pre-tax cost of debt times one minus the tax rate. Live formula.</t>
        </is>
      </c>
      <c r="I165" s="1342" t="n"/>
      <c r="J165" s="1342" t="n"/>
      <c r="K165" s="1342" t="n"/>
      <c r="L165" s="1342" t="n"/>
      <c r="M165" s="1342" t="n"/>
      <c r="N165" s="1360" t="n"/>
      <c r="O165" s="459" t="n"/>
    </row>
    <row r="166" ht="48" customHeight="1">
      <c r="A166" s="1190" t="inlineStr">
        <is>
          <t>Target debt weight</t>
        </is>
      </c>
      <c r="B166" s="1360" t="n"/>
      <c r="C166" s="456" t="inlineStr">
        <is>
          <t>%</t>
        </is>
      </c>
      <c r="D166" s="1396" t="n">
        <v>0.3</v>
      </c>
      <c r="E166" s="1169" t="inlineStr">
        <is>
          <t>Derived from Master Industry Database</t>
        </is>
      </c>
      <c r="F166" s="1169" t="inlineStr">
        <is>
          <t>03-Aug-2026</t>
        </is>
      </c>
      <c r="G166" s="1169" t="inlineStr">
        <is>
          <t>Medium</t>
        </is>
      </c>
      <c r="H166" s="1187" t="inlineStr">
        <is>
          <t>Indicative sector gearing. Cross-check from the database: JSW Steel net debt to equity fell to 0.51x at Mar-2026 from 0.94x; Jindal Steel debt to equity 0.43x; Jindal Stainless net debt to equity 0.15x. A 30% debt weight is consistent with the middle of that range.</t>
        </is>
      </c>
      <c r="I166" s="1342" t="n"/>
      <c r="J166" s="1342" t="n"/>
      <c r="K166" s="1342" t="n"/>
      <c r="L166" s="1342" t="n"/>
      <c r="M166" s="1342" t="n"/>
      <c r="N166" s="1360" t="n"/>
      <c r="O166" s="459" t="inlineStr">
        <is>
          <t>MA32</t>
        </is>
      </c>
    </row>
    <row r="167">
      <c r="A167" s="1191" t="inlineStr">
        <is>
          <t>Target equity weight</t>
        </is>
      </c>
      <c r="B167" s="1360" t="n"/>
      <c r="C167" s="456" t="inlineStr">
        <is>
          <t>%</t>
        </is>
      </c>
      <c r="D167" s="1399">
        <f>1-D166</f>
        <v/>
      </c>
      <c r="E167" s="1169" t="inlineStr">
        <is>
          <t>Computed</t>
        </is>
      </c>
      <c r="F167" s="1169" t="inlineStr">
        <is>
          <t>n/a</t>
        </is>
      </c>
      <c r="G167" s="1169" t="inlineStr">
        <is>
          <t>Medium</t>
        </is>
      </c>
      <c r="H167" s="1187" t="inlineStr">
        <is>
          <t>One minus the target debt weight. Live formula.</t>
        </is>
      </c>
      <c r="I167" s="1342" t="n"/>
      <c r="J167" s="1342" t="n"/>
      <c r="K167" s="1342" t="n"/>
      <c r="L167" s="1342" t="n"/>
      <c r="M167" s="1342" t="n"/>
      <c r="N167" s="1360" t="n"/>
      <c r="O167" s="459" t="n"/>
    </row>
    <row r="168">
      <c r="A168" s="1191" t="inlineStr">
        <is>
          <t>WACC (nominal, INR)</t>
        </is>
      </c>
      <c r="B168" s="1360" t="n"/>
      <c r="C168" s="456" t="inlineStr">
        <is>
          <t>%</t>
        </is>
      </c>
      <c r="D168" s="1399">
        <f>D167*D162+D166*D165</f>
        <v/>
      </c>
      <c r="E168" s="1169" t="inlineStr">
        <is>
          <t>Computed</t>
        </is>
      </c>
      <c r="F168" s="1169" t="inlineStr">
        <is>
          <t>n/a</t>
        </is>
      </c>
      <c r="G168" s="1169" t="inlineStr">
        <is>
          <t>Medium</t>
        </is>
      </c>
      <c r="H168" s="1187" t="inlineStr">
        <is>
          <t>Equity weight times cost of equity plus debt weight times post-tax cost of debt. Live formula. Cross-check against D20, which is the value used downstream.</t>
        </is>
      </c>
      <c r="I168" s="1342" t="n"/>
      <c r="J168" s="1342" t="n"/>
      <c r="K168" s="1342" t="n"/>
      <c r="L168" s="1342" t="n"/>
      <c r="M168" s="1342" t="n"/>
      <c r="N168" s="1360" t="n"/>
      <c r="O168" s="459" t="n"/>
    </row>
    <row r="169">
      <c r="C169" s="107" t="n"/>
    </row>
    <row r="170">
      <c r="B170" s="1132" t="n"/>
      <c r="C170" s="107" t="n"/>
    </row>
    <row r="171">
      <c r="C171" s="107" t="n"/>
    </row>
  </sheetData>
  <mergeCells count="186">
    <mergeCell ref="B66:B69"/>
    <mergeCell ref="C98:C101"/>
    <mergeCell ref="L66:L69"/>
    <mergeCell ref="N130:O133"/>
    <mergeCell ref="N82:O85"/>
    <mergeCell ref="B50:B53"/>
    <mergeCell ref="N58:O61"/>
    <mergeCell ref="B130:B133"/>
    <mergeCell ref="A54:A57"/>
    <mergeCell ref="A162:B162"/>
    <mergeCell ref="A6:H6"/>
    <mergeCell ref="C54:C57"/>
    <mergeCell ref="M114:M117"/>
    <mergeCell ref="A90:A93"/>
    <mergeCell ref="M70:M73"/>
    <mergeCell ref="C94:C97"/>
    <mergeCell ref="A74:A77"/>
    <mergeCell ref="A164:B164"/>
    <mergeCell ref="A144:F144"/>
    <mergeCell ref="H162:N162"/>
    <mergeCell ref="L42:L45"/>
    <mergeCell ref="H165:N165"/>
    <mergeCell ref="B38:B41"/>
    <mergeCell ref="N118:O121"/>
    <mergeCell ref="A163:B163"/>
    <mergeCell ref="B78:B81"/>
    <mergeCell ref="B118:B121"/>
    <mergeCell ref="N86:O89"/>
    <mergeCell ref="C82:C85"/>
    <mergeCell ref="L46:L49"/>
    <mergeCell ref="C66:C69"/>
    <mergeCell ref="A102:A105"/>
    <mergeCell ref="C102:C105"/>
    <mergeCell ref="N94:O97"/>
    <mergeCell ref="L70:L73"/>
    <mergeCell ref="N134:O137"/>
    <mergeCell ref="C86:C89"/>
    <mergeCell ref="N62:O65"/>
    <mergeCell ref="B134:B137"/>
    <mergeCell ref="L98:L101"/>
    <mergeCell ref="A167:B167"/>
    <mergeCell ref="B90:B93"/>
    <mergeCell ref="H159:N159"/>
    <mergeCell ref="A94:A97"/>
    <mergeCell ref="B122:B125"/>
    <mergeCell ref="N46:O49"/>
    <mergeCell ref="M118:M121"/>
    <mergeCell ref="M50:M53"/>
    <mergeCell ref="C42:C45"/>
    <mergeCell ref="N98:O101"/>
    <mergeCell ref="M102:M105"/>
    <mergeCell ref="A78:A81"/>
    <mergeCell ref="B106:B109"/>
    <mergeCell ref="L106:L109"/>
    <mergeCell ref="B42:B45"/>
    <mergeCell ref="M110:M113"/>
    <mergeCell ref="L74:L77"/>
    <mergeCell ref="L130:L133"/>
    <mergeCell ref="L126:L129"/>
    <mergeCell ref="N90:O93"/>
    <mergeCell ref="B58:B61"/>
    <mergeCell ref="A157:G157"/>
    <mergeCell ref="C134:C137"/>
    <mergeCell ref="L58:L61"/>
    <mergeCell ref="M90:M93"/>
    <mergeCell ref="N74:O77"/>
    <mergeCell ref="L138:L141"/>
    <mergeCell ref="L82:L85"/>
    <mergeCell ref="A36:G36"/>
    <mergeCell ref="C114:C117"/>
    <mergeCell ref="C70:C73"/>
    <mergeCell ref="M74:M77"/>
    <mergeCell ref="A46:A49"/>
    <mergeCell ref="C46:C49"/>
    <mergeCell ref="C106:C109"/>
    <mergeCell ref="N138:O141"/>
    <mergeCell ref="C138:C141"/>
    <mergeCell ref="H164:N164"/>
    <mergeCell ref="L50:L53"/>
    <mergeCell ref="N66:O69"/>
    <mergeCell ref="N126:O129"/>
    <mergeCell ref="A106:A109"/>
    <mergeCell ref="A165:B165"/>
    <mergeCell ref="M66:M69"/>
    <mergeCell ref="H163:N163"/>
    <mergeCell ref="A38:A41"/>
    <mergeCell ref="B126:B129"/>
    <mergeCell ref="N50:O53"/>
    <mergeCell ref="N110:O113"/>
    <mergeCell ref="L86:L89"/>
    <mergeCell ref="A130:A133"/>
    <mergeCell ref="A82:A85"/>
    <mergeCell ref="B110:B113"/>
    <mergeCell ref="B54:B57"/>
    <mergeCell ref="M130:M133"/>
    <mergeCell ref="A58:A61"/>
    <mergeCell ref="C74:C77"/>
    <mergeCell ref="A166:B166"/>
    <mergeCell ref="B94:B97"/>
    <mergeCell ref="A110:A113"/>
    <mergeCell ref="C126:C129"/>
    <mergeCell ref="N42:O45"/>
    <mergeCell ref="N102:O105"/>
    <mergeCell ref="H158:N158"/>
    <mergeCell ref="L78:L81"/>
    <mergeCell ref="C58:C61"/>
    <mergeCell ref="L134:L137"/>
    <mergeCell ref="N38:O41"/>
    <mergeCell ref="B46:B49"/>
    <mergeCell ref="B102:B105"/>
    <mergeCell ref="A168:B168"/>
    <mergeCell ref="L62:L65"/>
    <mergeCell ref="M94:M97"/>
    <mergeCell ref="H160:N160"/>
    <mergeCell ref="A66:A69"/>
    <mergeCell ref="B98:B101"/>
    <mergeCell ref="A118:A121"/>
    <mergeCell ref="C118:C121"/>
    <mergeCell ref="M78:M81"/>
    <mergeCell ref="M62:M65"/>
    <mergeCell ref="A50:A53"/>
    <mergeCell ref="C50:C53"/>
    <mergeCell ref="B82:B85"/>
    <mergeCell ref="A86:A89"/>
    <mergeCell ref="M46:M49"/>
    <mergeCell ref="L54:L57"/>
    <mergeCell ref="L114:L117"/>
    <mergeCell ref="L38:L41"/>
    <mergeCell ref="H167:N167"/>
    <mergeCell ref="H161:N161"/>
    <mergeCell ref="B74:B77"/>
    <mergeCell ref="A42:A45"/>
    <mergeCell ref="N114:O117"/>
    <mergeCell ref="A134:A137"/>
    <mergeCell ref="C38:C41"/>
    <mergeCell ref="M134:M137"/>
    <mergeCell ref="A4:B4"/>
    <mergeCell ref="A62:A65"/>
    <mergeCell ref="A122:A125"/>
    <mergeCell ref="C122:C125"/>
    <mergeCell ref="C78:C81"/>
    <mergeCell ref="M122:M125"/>
    <mergeCell ref="A1:O1"/>
    <mergeCell ref="N106:O109"/>
    <mergeCell ref="A2:G2"/>
    <mergeCell ref="M106:M109"/>
    <mergeCell ref="M98:M101"/>
    <mergeCell ref="A114:A117"/>
    <mergeCell ref="M38:M41"/>
    <mergeCell ref="A70:A73"/>
    <mergeCell ref="M82:M85"/>
    <mergeCell ref="B86:B89"/>
    <mergeCell ref="A138:A141"/>
    <mergeCell ref="M58:M61"/>
    <mergeCell ref="N37:O37"/>
    <mergeCell ref="M54:M57"/>
    <mergeCell ref="B62:B65"/>
    <mergeCell ref="M138:M141"/>
    <mergeCell ref="B70:B73"/>
    <mergeCell ref="L118:L121"/>
    <mergeCell ref="N78:O81"/>
    <mergeCell ref="H166:N166"/>
    <mergeCell ref="L102:L105"/>
    <mergeCell ref="A158:B158"/>
    <mergeCell ref="L122:L125"/>
    <mergeCell ref="H168:N168"/>
    <mergeCell ref="C90:C93"/>
    <mergeCell ref="A126:A129"/>
    <mergeCell ref="N70:O73"/>
    <mergeCell ref="C130:C133"/>
    <mergeCell ref="A160:B160"/>
    <mergeCell ref="M86:M89"/>
    <mergeCell ref="L94:L97"/>
    <mergeCell ref="M126:M129"/>
    <mergeCell ref="N54:O57"/>
    <mergeCell ref="C110:C113"/>
    <mergeCell ref="A159:B159"/>
    <mergeCell ref="L90:L93"/>
    <mergeCell ref="B114:B117"/>
    <mergeCell ref="M42:M45"/>
    <mergeCell ref="L110:L113"/>
    <mergeCell ref="A161:B161"/>
    <mergeCell ref="B138:B141"/>
    <mergeCell ref="N122:O125"/>
    <mergeCell ref="C62:C65"/>
    <mergeCell ref="A98:A10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codeName="Sheet7">
    <tabColor rgb="FF002060"/>
    <outlinePr summaryBelow="1" summaryRight="1"/>
    <pageSetUpPr/>
  </sheetPr>
  <dimension ref="A1:O57"/>
  <sheetViews>
    <sheetView showGridLines="0" topLeftCell="A39" zoomScaleNormal="100" workbookViewId="0">
      <selection activeCell="N3" sqref="N3:O3"/>
    </sheetView>
  </sheetViews>
  <sheetFormatPr baseColWidth="8" defaultRowHeight="14.4"/>
  <cols>
    <col width="11" customWidth="1" min="1" max="1"/>
    <col width="30" bestFit="1" customWidth="1" min="2" max="2"/>
    <col width="18.77734375" customWidth="1" style="250" min="3" max="3"/>
    <col width="15.44140625" customWidth="1" min="4" max="4"/>
    <col width="23.44140625" customWidth="1" min="5" max="5"/>
    <col width="18.21875" bestFit="1" customWidth="1" min="6" max="6"/>
    <col width="9.21875" customWidth="1" min="11" max="11"/>
    <col width="9.33203125" customWidth="1" min="12" max="12"/>
    <col width="9.5546875" customWidth="1" min="13" max="13"/>
    <col width="9.44140625" customWidth="1" min="14" max="14"/>
  </cols>
  <sheetData>
    <row r="1" ht="25.8" customFormat="1" customHeight="1" s="1262">
      <c r="A1" s="1133" t="inlineStr">
        <is>
          <t>MODEL CALIBRATION</t>
        </is>
      </c>
    </row>
    <row r="2" ht="15" customFormat="1" customHeight="1" s="1262" thickBot="1">
      <c r="A2" s="1136" t="inlineStr">
        <is>
          <t>Industry Financial Model  |  Indian Steel Industry  |  Horizon FY2027E-FY2033E  |  Base year FY2026A</t>
        </is>
      </c>
    </row>
    <row r="3" ht="16.2" customFormat="1" customHeight="1" s="1262" thickBot="1">
      <c r="A3" s="1136" t="n"/>
      <c r="B3" s="1136" t="n"/>
      <c r="C3" s="260" t="n"/>
      <c r="D3" s="1136" t="n"/>
      <c r="E3" s="1136" t="n"/>
      <c r="F3" s="1136" t="n"/>
      <c r="G3" s="1136" t="n"/>
      <c r="H3" s="1136" t="n"/>
      <c r="I3" s="1136" t="n"/>
      <c r="J3" s="1136" t="n"/>
      <c r="L3" s="1400" t="inlineStr">
        <is>
          <t>Active Scenario</t>
        </is>
      </c>
      <c r="M3" s="1401" t="n"/>
      <c r="N3" s="1402">
        <f>'Control Panel'!$E$17</f>
        <v/>
      </c>
      <c r="O3" s="1354" t="n"/>
    </row>
    <row r="4" ht="15.6" customFormat="1" customHeight="1" s="1262">
      <c r="A4" s="1184" t="inlineStr">
        <is>
          <t>Purpose</t>
        </is>
      </c>
      <c r="I4" s="1136" t="n"/>
      <c r="J4" s="1136" t="n"/>
      <c r="K4" s="1136" t="n"/>
      <c r="L4" s="1136" t="n"/>
      <c r="M4" s="1136" t="n"/>
      <c r="N4" s="1136" t="n"/>
      <c r="O4" s="1136" t="n"/>
    </row>
    <row r="5" customFormat="1" s="1262">
      <c r="A5" s="1194" t="inlineStr">
        <is>
          <t>This sheet extracts the key industry benchmark values from the Master Industry Database and converts them into modelling variables used throughout the workbook.</t>
        </is>
      </c>
    </row>
    <row r="6" customFormat="1" s="1262">
      <c r="A6" s="1136" t="n"/>
      <c r="B6" s="1136" t="n"/>
      <c r="C6" s="260" t="n"/>
      <c r="D6" s="1136" t="n"/>
      <c r="E6" s="1136" t="n"/>
      <c r="F6" s="1136" t="n"/>
      <c r="G6" s="1136" t="n"/>
      <c r="H6" s="1136" t="n"/>
      <c r="I6" s="1136" t="n"/>
      <c r="J6" s="1136" t="n"/>
      <c r="K6" s="1136" t="n"/>
      <c r="L6" s="1136" t="n"/>
      <c r="M6" s="1136" t="n"/>
      <c r="N6" s="1136" t="n"/>
      <c r="O6" s="1136" t="n"/>
    </row>
    <row r="7" customFormat="1" s="1262">
      <c r="A7" s="1136" t="n"/>
      <c r="B7" s="1136" t="n"/>
      <c r="C7" s="260" t="n"/>
      <c r="D7" s="1136" t="n"/>
      <c r="E7" s="1136" t="n"/>
      <c r="F7" s="1136" t="n"/>
      <c r="G7" s="1136" t="n"/>
      <c r="H7" s="1136" t="n"/>
      <c r="I7" s="1136" t="n"/>
      <c r="J7" s="1136" t="n"/>
      <c r="K7" s="1136" t="n"/>
      <c r="L7" s="1136" t="n"/>
      <c r="M7" s="1136" t="n"/>
      <c r="N7" s="1136" t="n"/>
      <c r="O7" s="1136" t="n"/>
    </row>
    <row r="8" ht="16.2" customFormat="1" customHeight="1" s="1262" thickBot="1">
      <c r="A8" s="1184" t="inlineStr">
        <is>
          <t>Industry Size Calibration</t>
        </is>
      </c>
      <c r="I8" s="1136" t="n"/>
      <c r="J8" s="1136" t="n"/>
      <c r="K8" s="1136" t="n"/>
      <c r="L8" s="1136" t="n"/>
      <c r="M8" s="1136" t="n"/>
      <c r="N8" s="1136" t="n"/>
      <c r="O8" s="1136" t="n"/>
    </row>
    <row r="9" ht="15" customFormat="1" customHeight="1" s="1262" thickBot="1">
      <c r="A9" s="287" t="inlineStr">
        <is>
          <t>ID</t>
        </is>
      </c>
      <c r="B9" s="288" t="inlineStr">
        <is>
          <t>Variable</t>
        </is>
      </c>
      <c r="C9" s="289" t="inlineStr">
        <is>
          <t>Unit</t>
        </is>
      </c>
      <c r="D9" s="290" t="inlineStr">
        <is>
          <t>FY2026A</t>
        </is>
      </c>
      <c r="E9" s="289" t="inlineStr">
        <is>
          <t>Source</t>
        </is>
      </c>
      <c r="F9" s="288" t="inlineStr">
        <is>
          <t>Model Used In</t>
        </is>
      </c>
      <c r="G9" s="291" t="inlineStr">
        <is>
          <t>Status</t>
        </is>
      </c>
      <c r="H9" s="1136" t="n"/>
      <c r="I9" s="1136" t="n"/>
      <c r="J9" s="1136" t="n"/>
      <c r="K9" s="1136" t="n"/>
      <c r="L9" s="1136" t="n"/>
      <c r="M9" s="1136" t="n"/>
      <c r="N9" s="1136" t="n"/>
      <c r="O9" s="1136" t="n"/>
    </row>
    <row r="10" ht="15" customFormat="1" customHeight="1" s="1262" thickTop="1">
      <c r="A10" s="265" t="inlineStr">
        <is>
          <t>MC001</t>
        </is>
      </c>
      <c r="B10" s="1192" t="inlineStr">
        <is>
          <t>Crude Steel Production</t>
        </is>
      </c>
      <c r="C10" s="199" t="inlineStr">
        <is>
          <t>Mt</t>
        </is>
      </c>
      <c r="D10" s="1403">
        <f>'[1]Production Volume'!$H$6</f>
        <v/>
      </c>
      <c r="E10" s="1192" t="inlineStr">
        <is>
          <t>Database</t>
        </is>
      </c>
      <c r="F10" s="1192" t="inlineStr">
        <is>
          <t>Demand Model</t>
        </is>
      </c>
      <c r="G10" s="212" t="inlineStr">
        <is>
          <t>✅</t>
        </is>
      </c>
      <c r="H10" s="1136" t="n"/>
      <c r="I10" s="1136" t="n"/>
      <c r="J10" s="1136" t="n"/>
      <c r="K10" s="1136" t="n"/>
      <c r="L10" s="1136" t="n"/>
      <c r="M10" s="1136" t="n"/>
      <c r="N10" s="1136" t="n"/>
      <c r="O10" s="1136" t="n"/>
    </row>
    <row r="11" customFormat="1" s="1262">
      <c r="A11" s="265" t="inlineStr">
        <is>
          <t>MC002</t>
        </is>
      </c>
      <c r="B11" s="1192" t="inlineStr">
        <is>
          <t>Finished Steel Production</t>
        </is>
      </c>
      <c r="C11" s="199" t="inlineStr">
        <is>
          <t>Mt</t>
        </is>
      </c>
      <c r="D11" s="1403">
        <f>'[1]Production Volume'!$H$7</f>
        <v/>
      </c>
      <c r="E11" s="1192" t="inlineStr">
        <is>
          <t>Database</t>
        </is>
      </c>
      <c r="F11" s="1192" t="inlineStr">
        <is>
          <t>Supply Model</t>
        </is>
      </c>
      <c r="G11" s="212" t="inlineStr">
        <is>
          <t>✅</t>
        </is>
      </c>
      <c r="H11" s="1136" t="n"/>
      <c r="I11" s="1136" t="n"/>
      <c r="J11" s="1136" t="n"/>
      <c r="K11" s="1136" t="n"/>
      <c r="L11" s="1136" t="n"/>
      <c r="M11" s="1136" t="n"/>
      <c r="N11" s="1136" t="n"/>
      <c r="O11" s="1136" t="n"/>
    </row>
    <row r="12" customFormat="1" s="1262">
      <c r="A12" s="265" t="inlineStr">
        <is>
          <t>MC003</t>
        </is>
      </c>
      <c r="B12" s="1192" t="inlineStr">
        <is>
          <t>Finished Steel Consumption</t>
        </is>
      </c>
      <c r="C12" s="199" t="inlineStr">
        <is>
          <t>Mt</t>
        </is>
      </c>
      <c r="D12" s="1403">
        <f>'[1]Demand &amp; Consumption'!$H$6</f>
        <v/>
      </c>
      <c r="E12" s="1192" t="inlineStr">
        <is>
          <t>Database</t>
        </is>
      </c>
      <c r="F12" s="1192" t="inlineStr">
        <is>
          <t>Demand Model</t>
        </is>
      </c>
      <c r="G12" s="212" t="inlineStr">
        <is>
          <t>✅</t>
        </is>
      </c>
      <c r="H12" s="1136" t="n"/>
      <c r="I12" s="1136" t="n"/>
      <c r="J12" s="1136" t="n"/>
      <c r="K12" s="1136" t="n"/>
      <c r="L12" s="1136" t="n"/>
      <c r="M12" s="1136" t="n"/>
      <c r="N12" s="1136" t="n"/>
      <c r="O12" s="1136" t="n"/>
    </row>
    <row r="13" customFormat="1" s="1262">
      <c r="A13" s="265" t="inlineStr">
        <is>
          <t>MC004</t>
        </is>
      </c>
      <c r="B13" s="1192" t="inlineStr">
        <is>
          <t>Installed Capacity</t>
        </is>
      </c>
      <c r="C13" s="199" t="inlineStr">
        <is>
          <t>MTPA</t>
        </is>
      </c>
      <c r="D13" s="1403">
        <f>'[1]Production Capacity'!$H$6</f>
        <v/>
      </c>
      <c r="E13" s="1192" t="inlineStr">
        <is>
          <t>Database</t>
        </is>
      </c>
      <c r="F13" s="1192" t="inlineStr">
        <is>
          <t>Capacity Model</t>
        </is>
      </c>
      <c r="G13" s="212" t="inlineStr">
        <is>
          <t>✅</t>
        </is>
      </c>
      <c r="H13" s="1136" t="n"/>
      <c r="I13" s="1136" t="n"/>
      <c r="J13" s="1136" t="n"/>
      <c r="K13" s="1136" t="n"/>
      <c r="L13" s="1136" t="n"/>
      <c r="M13" s="1136" t="n"/>
      <c r="N13" s="1136" t="n"/>
      <c r="O13" s="1136" t="n"/>
    </row>
    <row r="14" ht="15" customFormat="1" customHeight="1" s="1262" thickBot="1">
      <c r="A14" s="266" t="inlineStr">
        <is>
          <t>MC005</t>
        </is>
      </c>
      <c r="B14" s="1267" t="inlineStr">
        <is>
          <t>Capacity Utilisation</t>
        </is>
      </c>
      <c r="C14" s="279" t="inlineStr">
        <is>
          <t>%</t>
        </is>
      </c>
      <c r="D14" s="281">
        <f>D10/D13</f>
        <v/>
      </c>
      <c r="E14" s="1267" t="inlineStr">
        <is>
          <t>Derived</t>
        </is>
      </c>
      <c r="F14" s="1267" t="inlineStr">
        <is>
          <t>Capacity Model</t>
        </is>
      </c>
      <c r="G14" s="214" t="inlineStr">
        <is>
          <t>✅</t>
        </is>
      </c>
      <c r="H14" s="1136" t="n"/>
      <c r="I14" s="1136" t="n"/>
      <c r="J14" s="1136" t="n"/>
      <c r="K14" s="1136" t="n"/>
      <c r="L14" s="1136" t="n"/>
      <c r="M14" s="1136" t="n"/>
      <c r="N14" s="1136" t="n"/>
      <c r="O14" s="1136" t="n"/>
    </row>
    <row r="15" customFormat="1" s="1262">
      <c r="A15" s="1136" t="n"/>
      <c r="B15" s="1136" t="n"/>
      <c r="C15" s="260" t="n"/>
      <c r="D15" s="1136" t="n"/>
      <c r="E15" s="1136" t="n"/>
      <c r="F15" s="1136" t="n"/>
      <c r="G15" s="1136" t="n"/>
      <c r="H15" s="1136" t="n"/>
      <c r="I15" s="1136" t="n"/>
      <c r="J15" s="1136" t="n"/>
      <c r="K15" s="1136" t="n"/>
      <c r="L15" s="1136" t="n"/>
      <c r="M15" s="1136" t="n"/>
      <c r="N15" s="1136" t="n"/>
      <c r="O15" s="1136" t="n"/>
    </row>
    <row r="16" customFormat="1" s="1262">
      <c r="A16" s="1136" t="n"/>
      <c r="B16" s="1136" t="n"/>
      <c r="C16" s="260" t="n"/>
      <c r="D16" s="1136" t="n"/>
      <c r="E16" s="1136" t="n"/>
      <c r="F16" s="1136" t="n"/>
      <c r="G16" s="1136" t="n"/>
      <c r="H16" s="1136" t="n"/>
      <c r="I16" s="1136" t="n"/>
      <c r="J16" s="1136" t="n"/>
      <c r="K16" s="1136" t="n"/>
      <c r="L16" s="1136" t="n"/>
      <c r="M16" s="1136" t="n"/>
      <c r="N16" s="1136" t="n"/>
      <c r="O16" s="1136" t="n"/>
    </row>
    <row r="17" ht="16.2" customFormat="1" customHeight="1" s="1262" thickBot="1">
      <c r="A17" s="1184" t="inlineStr">
        <is>
          <t>Industry Economics</t>
        </is>
      </c>
      <c r="I17" s="1136" t="n"/>
      <c r="J17" s="1136" t="n"/>
      <c r="K17" s="1136" t="n"/>
      <c r="L17" s="1136" t="n"/>
      <c r="M17" s="1136" t="n"/>
      <c r="N17" s="1136" t="n"/>
      <c r="O17" s="1136" t="n"/>
    </row>
    <row r="18" ht="15" customFormat="1" customHeight="1" s="1262" thickBot="1">
      <c r="A18" s="284" t="inlineStr">
        <is>
          <t>ID</t>
        </is>
      </c>
      <c r="B18" s="1204" t="inlineStr">
        <is>
          <t>Variable</t>
        </is>
      </c>
      <c r="C18" s="285" t="inlineStr">
        <is>
          <t>Unit</t>
        </is>
      </c>
      <c r="D18" s="285" t="inlineStr">
        <is>
          <t>FY2026A</t>
        </is>
      </c>
      <c r="E18" s="1204" t="inlineStr">
        <is>
          <t>Source</t>
        </is>
      </c>
      <c r="F18" s="1205" t="inlineStr">
        <is>
          <t>Model Used In</t>
        </is>
      </c>
      <c r="G18" s="268" t="n"/>
      <c r="H18" s="1136" t="n"/>
      <c r="I18" s="1136" t="n"/>
      <c r="J18" s="1136" t="n"/>
      <c r="K18" s="1136" t="n"/>
      <c r="L18" s="1136" t="n"/>
      <c r="M18" s="1136" t="n"/>
      <c r="N18" s="1136" t="n"/>
      <c r="O18" s="1136" t="n"/>
    </row>
    <row r="19" ht="15" customFormat="1" customHeight="1" s="1262" thickTop="1">
      <c r="A19" s="206" t="inlineStr">
        <is>
          <t>MC101</t>
        </is>
      </c>
      <c r="B19" s="1206" t="inlineStr">
        <is>
          <t>Average Steel Realisation</t>
        </is>
      </c>
      <c r="C19" s="280" t="inlineStr">
        <is>
          <t>₹/t</t>
        </is>
      </c>
      <c r="D19" s="632">
        <f>'[1]Steel Prices'!$H$12</f>
        <v/>
      </c>
      <c r="E19" s="1206" t="inlineStr">
        <is>
          <t>Database</t>
        </is>
      </c>
      <c r="F19" s="1207" t="inlineStr">
        <is>
          <t>Revenue Model</t>
        </is>
      </c>
      <c r="G19" s="239" t="n"/>
      <c r="H19" s="1136" t="n"/>
      <c r="I19" s="1136" t="n"/>
      <c r="J19" s="1136" t="n"/>
      <c r="K19" s="1136" t="n"/>
      <c r="L19" s="1136" t="n"/>
      <c r="M19" s="1136" t="n"/>
      <c r="N19" s="1136" t="n"/>
      <c r="O19" s="1136" t="n"/>
    </row>
    <row r="20" customFormat="1" s="1262">
      <c r="A20" s="207" t="inlineStr">
        <is>
          <t>MC102</t>
        </is>
      </c>
      <c r="B20" s="1199" t="inlineStr">
        <is>
          <t>EBITDA per Ton</t>
        </is>
      </c>
      <c r="C20" s="199" t="inlineStr">
        <is>
          <t>₹/t</t>
        </is>
      </c>
      <c r="D20" s="632">
        <f>'[1]Revenue &amp; EBITDA'!$H$43</f>
        <v/>
      </c>
      <c r="E20" s="1199" t="inlineStr">
        <is>
          <t>Database</t>
        </is>
      </c>
      <c r="F20" s="1200" t="inlineStr">
        <is>
          <t>EBITDA Model</t>
        </is>
      </c>
      <c r="G20" s="239" t="n"/>
      <c r="H20" s="1136" t="n"/>
      <c r="I20" s="1136" t="n"/>
      <c r="J20" s="1136" t="n"/>
      <c r="K20" s="1136" t="n"/>
      <c r="L20" s="1136" t="n"/>
      <c r="M20" s="1136" t="n"/>
      <c r="N20" s="1136" t="n"/>
      <c r="O20" s="1136" t="n"/>
    </row>
    <row r="21" customFormat="1" s="1262">
      <c r="A21" s="207" t="inlineStr">
        <is>
          <t>MC103</t>
        </is>
      </c>
      <c r="B21" s="1199" t="inlineStr">
        <is>
          <t>Cash Cost per Ton</t>
        </is>
      </c>
      <c r="C21" s="199" t="inlineStr">
        <is>
          <t>₹/t</t>
        </is>
      </c>
      <c r="D21" s="638">
        <f>D23-D20</f>
        <v/>
      </c>
      <c r="E21" s="1199" t="inlineStr">
        <is>
          <t>Derived</t>
        </is>
      </c>
      <c r="F21" s="1200" t="inlineStr">
        <is>
          <t>Cost Curve</t>
        </is>
      </c>
      <c r="G21" s="239" t="n"/>
      <c r="H21" s="637" t="n"/>
      <c r="I21" s="1136" t="n"/>
      <c r="J21" s="1136" t="n"/>
      <c r="K21" s="1136" t="n"/>
      <c r="L21" s="1136" t="n"/>
      <c r="M21" s="1136" t="n"/>
      <c r="N21" s="1136" t="n"/>
      <c r="O21" s="1136" t="n"/>
    </row>
    <row r="22" customFormat="1" s="1262">
      <c r="A22" s="207" t="inlineStr">
        <is>
          <t>MC104</t>
        </is>
      </c>
      <c r="B22" s="1199" t="inlineStr">
        <is>
          <t>EBITDA Margin</t>
        </is>
      </c>
      <c r="C22" s="199" t="inlineStr">
        <is>
          <t>%</t>
        </is>
      </c>
      <c r="D22" s="636">
        <f>'[1]Revenue &amp; EBITDA'!$H$33</f>
        <v/>
      </c>
      <c r="E22" s="1199" t="inlineStr">
        <is>
          <t>Database</t>
        </is>
      </c>
      <c r="F22" s="1200" t="inlineStr">
        <is>
          <t>Margin Model</t>
        </is>
      </c>
      <c r="G22" s="239" t="n"/>
      <c r="H22" s="1136" t="n"/>
      <c r="I22" s="1136" t="n"/>
      <c r="J22" s="1136" t="n"/>
      <c r="K22" s="1136" t="n"/>
      <c r="L22" s="1136" t="n"/>
      <c r="M22" s="1136" t="n"/>
      <c r="N22" s="1136" t="n"/>
      <c r="O22" s="1136" t="n"/>
    </row>
    <row r="23" ht="15" customFormat="1" customHeight="1" s="1262" thickBot="1">
      <c r="A23" s="208" t="inlineStr">
        <is>
          <t>MC105</t>
        </is>
      </c>
      <c r="B23" s="1201" t="inlineStr">
        <is>
          <t>Revenue per Ton</t>
        </is>
      </c>
      <c r="C23" s="279" t="inlineStr">
        <is>
          <t>₹/t</t>
        </is>
      </c>
      <c r="D23" s="639">
        <f>'Revenue Forecast'!$C$95/'Revenue Forecast'!$C$93*10</f>
        <v/>
      </c>
      <c r="E23" s="1201" t="inlineStr">
        <is>
          <t>Derived</t>
        </is>
      </c>
      <c r="F23" s="1202" t="inlineStr">
        <is>
          <t>Revenue Model</t>
        </is>
      </c>
      <c r="G23" s="239" t="n"/>
      <c r="H23" s="1136" t="n"/>
      <c r="I23" s="1136" t="n"/>
      <c r="J23" s="1136" t="n"/>
      <c r="K23" s="1136" t="n"/>
      <c r="L23" s="1136" t="n"/>
      <c r="M23" s="1136" t="n"/>
      <c r="N23" s="1136" t="n"/>
      <c r="O23" s="1136" t="n"/>
    </row>
    <row r="24" customFormat="1" s="1262">
      <c r="A24" s="1136" t="n"/>
      <c r="B24" s="1136" t="n"/>
      <c r="C24" s="260" t="n"/>
      <c r="D24" s="1136" t="n"/>
      <c r="E24" s="1136" t="n"/>
      <c r="F24" s="1136" t="n"/>
      <c r="G24" s="1136" t="n"/>
      <c r="H24" s="1136" t="n"/>
      <c r="I24" s="1136" t="n"/>
      <c r="J24" s="1136" t="n"/>
      <c r="K24" s="1136" t="n"/>
      <c r="L24" s="1136" t="n"/>
      <c r="M24" s="1136" t="n"/>
      <c r="N24" s="1136" t="n"/>
      <c r="O24" s="1136" t="n"/>
    </row>
    <row r="25" customFormat="1" s="1262">
      <c r="A25" s="1136" t="n"/>
      <c r="B25" s="1136" t="n"/>
      <c r="C25" s="260" t="n"/>
      <c r="D25" s="1136" t="n"/>
      <c r="E25" s="1136" t="n"/>
      <c r="F25" s="1136" t="n"/>
      <c r="G25" s="1136" t="n"/>
      <c r="H25" s="1136" t="n"/>
      <c r="I25" s="1136" t="n"/>
      <c r="J25" s="1136" t="n"/>
      <c r="K25" s="1136" t="n"/>
      <c r="L25" s="1136" t="n"/>
      <c r="M25" s="1136" t="n"/>
      <c r="N25" s="1136" t="n"/>
      <c r="O25" s="1136" t="n"/>
    </row>
    <row r="26" ht="16.2" customFormat="1" customHeight="1" s="1262" thickBot="1">
      <c r="A26" s="1184" t="inlineStr">
        <is>
          <t>Commodity Benchmarks</t>
        </is>
      </c>
      <c r="I26" s="1136" t="n"/>
      <c r="J26" s="1136" t="n"/>
      <c r="K26" s="1136" t="n"/>
      <c r="L26" s="1136" t="n"/>
      <c r="M26" s="1136" t="n"/>
      <c r="N26" s="1136" t="n"/>
      <c r="O26" s="1136" t="n"/>
    </row>
    <row r="27" ht="15" customFormat="1" customHeight="1" s="1262" thickBot="1">
      <c r="A27" s="284" t="inlineStr">
        <is>
          <t>ID</t>
        </is>
      </c>
      <c r="B27" s="1204" t="inlineStr">
        <is>
          <t>Variable</t>
        </is>
      </c>
      <c r="C27" s="285" t="inlineStr">
        <is>
          <t>Unit</t>
        </is>
      </c>
      <c r="D27" s="285" t="inlineStr">
        <is>
          <t>FY2026A</t>
        </is>
      </c>
      <c r="E27" s="1204" t="inlineStr">
        <is>
          <t>Source</t>
        </is>
      </c>
      <c r="F27" s="1205" t="inlineStr">
        <is>
          <t>Model Used In</t>
        </is>
      </c>
      <c r="G27" s="1136" t="n"/>
      <c r="H27" s="1136" t="n"/>
      <c r="I27" s="1136" t="n"/>
      <c r="J27" s="1136" t="n"/>
      <c r="K27" s="1136" t="n"/>
      <c r="L27" s="1136" t="n"/>
      <c r="M27" s="1136" t="n"/>
      <c r="N27" s="1136" t="n"/>
      <c r="O27" s="1136" t="n"/>
    </row>
    <row r="28" ht="15" customFormat="1" customHeight="1" s="1262" thickTop="1">
      <c r="A28" s="206" t="inlineStr">
        <is>
          <t>MC201</t>
        </is>
      </c>
      <c r="B28" s="1206" t="inlineStr">
        <is>
          <t>Iron Ore (62% Fe CFR China)</t>
        </is>
      </c>
      <c r="C28" s="280" t="inlineStr">
        <is>
          <t>US$/dmt</t>
        </is>
      </c>
      <c r="D28" s="634">
        <f>'[1]Raw Materials'!$H$6</f>
        <v/>
      </c>
      <c r="E28" s="1206" t="inlineStr">
        <is>
          <t>Database</t>
        </is>
      </c>
      <c r="F28" s="1207" t="inlineStr">
        <is>
          <t>Raw Material Model</t>
        </is>
      </c>
      <c r="G28" s="1136" t="n"/>
      <c r="H28" s="1136" t="n"/>
      <c r="I28" s="1136" t="n"/>
      <c r="J28" s="1136" t="n"/>
      <c r="K28" s="1136" t="n"/>
      <c r="L28" s="1136" t="n"/>
      <c r="M28" s="1136" t="n"/>
      <c r="N28" s="1136" t="n"/>
      <c r="O28" s="1136" t="n"/>
    </row>
    <row r="29" customFormat="1" s="1262">
      <c r="A29" s="207" t="inlineStr">
        <is>
          <t>MC202</t>
        </is>
      </c>
      <c r="B29" s="1199" t="inlineStr">
        <is>
          <t>Premium HCC Coal</t>
        </is>
      </c>
      <c r="C29" s="199" t="inlineStr">
        <is>
          <t>US$/t</t>
        </is>
      </c>
      <c r="D29" s="633">
        <f>'[1]Raw Materials'!$H$11</f>
        <v/>
      </c>
      <c r="E29" s="1199" t="inlineStr">
        <is>
          <t>Database</t>
        </is>
      </c>
      <c r="F29" s="1200" t="inlineStr">
        <is>
          <t>Raw Material Model</t>
        </is>
      </c>
      <c r="G29" s="1136" t="n"/>
      <c r="H29" s="1136" t="n"/>
      <c r="I29" s="1136" t="n"/>
      <c r="J29" s="1136" t="n"/>
      <c r="K29" s="1136" t="n"/>
      <c r="L29" s="1136" t="n"/>
      <c r="M29" s="1136" t="n"/>
      <c r="N29" s="1136" t="n"/>
      <c r="O29" s="1136" t="n"/>
    </row>
    <row r="30" customFormat="1" s="1262">
      <c r="A30" s="207" t="inlineStr">
        <is>
          <t>MC203</t>
        </is>
      </c>
      <c r="B30" s="1199" t="inlineStr">
        <is>
          <t>Thermal Coal</t>
        </is>
      </c>
      <c r="C30" s="199" t="inlineStr">
        <is>
          <t>US$/t</t>
        </is>
      </c>
      <c r="D30" s="633">
        <f>'[1]Raw Materials'!$H$13</f>
        <v/>
      </c>
      <c r="E30" s="1199" t="inlineStr">
        <is>
          <t>Database</t>
        </is>
      </c>
      <c r="F30" s="1200" t="inlineStr">
        <is>
          <t>Cost Model</t>
        </is>
      </c>
      <c r="G30" s="1136" t="n"/>
      <c r="H30" s="1136" t="n"/>
      <c r="I30" s="1136" t="n"/>
      <c r="J30" s="1136" t="n"/>
      <c r="K30" s="1136" t="n"/>
      <c r="L30" s="1136" t="n"/>
      <c r="M30" s="1136" t="n"/>
      <c r="N30" s="1136" t="n"/>
      <c r="O30" s="1136" t="n"/>
    </row>
    <row r="31" ht="15" customFormat="1" customHeight="1" s="1262" thickBot="1">
      <c r="A31" s="208" t="inlineStr">
        <is>
          <t>MC204</t>
        </is>
      </c>
      <c r="B31" s="1201" t="inlineStr">
        <is>
          <t>Domestic HRC Price</t>
        </is>
      </c>
      <c r="C31" s="279" t="inlineStr">
        <is>
          <t>₹/t</t>
        </is>
      </c>
      <c r="D31" s="640">
        <f>'[1]Steel Prices'!$H$6</f>
        <v/>
      </c>
      <c r="E31" s="1201" t="inlineStr">
        <is>
          <t>Database</t>
        </is>
      </c>
      <c r="F31" s="1202" t="inlineStr">
        <is>
          <t>Steel Price Model</t>
        </is>
      </c>
      <c r="G31" s="1136" t="n"/>
      <c r="H31" s="1136" t="n"/>
      <c r="I31" s="1136" t="n"/>
      <c r="J31" s="1136" t="n"/>
      <c r="K31" s="1136" t="n"/>
      <c r="L31" s="1136" t="n"/>
      <c r="M31" s="1136" t="n"/>
      <c r="N31" s="1136" t="n"/>
      <c r="O31" s="1136" t="n"/>
    </row>
    <row r="32" customFormat="1" s="1262">
      <c r="A32" s="1136" t="n"/>
      <c r="B32" s="1136" t="n"/>
      <c r="C32" s="260" t="n"/>
      <c r="D32" s="1136" t="n"/>
      <c r="E32" s="1136" t="n"/>
      <c r="F32" s="1136" t="n"/>
      <c r="G32" s="1136" t="n"/>
      <c r="H32" s="1136" t="n"/>
      <c r="I32" s="1136" t="n"/>
      <c r="J32" s="1136" t="n"/>
      <c r="K32" s="1136" t="n"/>
      <c r="L32" s="1136" t="n"/>
      <c r="M32" s="1136" t="n"/>
      <c r="N32" s="1136" t="n"/>
      <c r="O32" s="1136" t="n"/>
    </row>
    <row r="33" customFormat="1" s="1262">
      <c r="A33" s="1136" t="n"/>
      <c r="B33" s="1136" t="n"/>
      <c r="C33" s="260" t="n"/>
      <c r="D33" s="1136" t="n"/>
      <c r="E33" s="1136" t="n"/>
      <c r="F33" s="1136" t="n"/>
      <c r="G33" s="1136" t="n"/>
      <c r="H33" s="1136" t="n"/>
      <c r="I33" s="1136" t="n"/>
      <c r="J33" s="1136" t="n"/>
      <c r="K33" s="1136" t="n"/>
      <c r="L33" s="1136" t="n"/>
      <c r="M33" s="1136" t="n"/>
      <c r="N33" s="1136" t="n"/>
      <c r="O33" s="1136" t="n"/>
    </row>
    <row r="34" ht="16.2" customFormat="1" customHeight="1" s="1262" thickBot="1">
      <c r="A34" s="1184" t="inlineStr">
        <is>
          <t>Trade Benchmarks</t>
        </is>
      </c>
      <c r="I34" s="1136" t="n"/>
      <c r="J34" s="1136" t="n"/>
      <c r="K34" s="1136" t="n"/>
      <c r="L34" s="1136" t="n"/>
      <c r="M34" s="1136" t="n"/>
      <c r="N34" s="1136" t="n"/>
      <c r="O34" s="1136" t="n"/>
    </row>
    <row r="35" ht="15" customFormat="1" customHeight="1" s="1262" thickBot="1">
      <c r="A35" s="284" t="inlineStr">
        <is>
          <t>ID</t>
        </is>
      </c>
      <c r="B35" s="1204" t="inlineStr">
        <is>
          <t>Variable</t>
        </is>
      </c>
      <c r="C35" s="285" t="inlineStr">
        <is>
          <t>Unit</t>
        </is>
      </c>
      <c r="D35" s="285" t="inlineStr">
        <is>
          <t>FY2026A</t>
        </is>
      </c>
      <c r="E35" s="1204" t="inlineStr">
        <is>
          <t>Source</t>
        </is>
      </c>
      <c r="F35" s="1205" t="inlineStr">
        <is>
          <t>Model Used In</t>
        </is>
      </c>
      <c r="G35" s="1136" t="n"/>
      <c r="H35" s="1136" t="n"/>
      <c r="I35" s="1136" t="n"/>
      <c r="J35" s="1136" t="n"/>
      <c r="K35" s="1136" t="n"/>
      <c r="L35" s="1136" t="n"/>
      <c r="M35" s="1136" t="n"/>
      <c r="N35" s="1136" t="n"/>
      <c r="O35" s="1136" t="n"/>
    </row>
    <row r="36" ht="15" customHeight="1" thickTop="1">
      <c r="A36" s="206" t="inlineStr">
        <is>
          <t>MC301</t>
        </is>
      </c>
      <c r="B36" s="1206" t="inlineStr">
        <is>
          <t>Imports</t>
        </is>
      </c>
      <c r="C36" s="280" t="inlineStr">
        <is>
          <t>Mt</t>
        </is>
      </c>
      <c r="D36" s="1404">
        <f>'[1]Imports &amp; Exports'!$H$6</f>
        <v/>
      </c>
      <c r="E36" s="1206" t="inlineStr">
        <is>
          <t>Database</t>
        </is>
      </c>
      <c r="F36" s="1207" t="inlineStr">
        <is>
          <t>Trade Model</t>
        </is>
      </c>
    </row>
    <row r="37">
      <c r="A37" s="207" t="inlineStr">
        <is>
          <t>MC302</t>
        </is>
      </c>
      <c r="B37" s="1199" t="inlineStr">
        <is>
          <t>Exports</t>
        </is>
      </c>
      <c r="C37" s="199" t="inlineStr">
        <is>
          <t>Mt</t>
        </is>
      </c>
      <c r="D37" s="1404">
        <f>'[1]Imports &amp; Exports'!$H$7</f>
        <v/>
      </c>
      <c r="E37" s="1199" t="inlineStr">
        <is>
          <t>Database</t>
        </is>
      </c>
      <c r="F37" s="1200" t="inlineStr">
        <is>
          <t>Trade Model</t>
        </is>
      </c>
    </row>
    <row r="38" ht="15" customHeight="1" thickBot="1">
      <c r="A38" s="208" t="inlineStr">
        <is>
          <t>MC303</t>
        </is>
      </c>
      <c r="B38" s="1201" t="inlineStr">
        <is>
          <t>Stock Change</t>
        </is>
      </c>
      <c r="C38" s="279" t="inlineStr">
        <is>
          <t>Mt</t>
        </is>
      </c>
      <c r="D38" s="1405">
        <f>'[1]Demand &amp; Consumption'!$H$9</f>
        <v/>
      </c>
      <c r="E38" s="1201" t="inlineStr">
        <is>
          <t>Database</t>
        </is>
      </c>
      <c r="F38" s="1202" t="inlineStr">
        <is>
          <t>Trade Model</t>
        </is>
      </c>
    </row>
    <row r="39">
      <c r="A39" s="177" t="n"/>
      <c r="B39" s="177" t="n"/>
      <c r="C39" s="239" t="n"/>
      <c r="D39" s="262" t="n"/>
      <c r="E39" s="177" t="n"/>
      <c r="F39" s="177" t="n"/>
    </row>
    <row r="40">
      <c r="A40" s="177" t="n"/>
      <c r="B40" s="177" t="n"/>
      <c r="C40" s="239" t="n"/>
      <c r="D40" s="262" t="n"/>
      <c r="E40" s="177" t="n"/>
      <c r="F40" s="177" t="n"/>
    </row>
    <row r="41" ht="16.2" customHeight="1" thickBot="1">
      <c r="A41" s="1184" t="inlineStr">
        <is>
          <t>Industry Ratios</t>
        </is>
      </c>
    </row>
    <row r="42" ht="15" customHeight="1" thickBot="1">
      <c r="A42" s="284" t="inlineStr">
        <is>
          <t>ID</t>
        </is>
      </c>
      <c r="B42" s="1204" t="inlineStr">
        <is>
          <t>Variable</t>
        </is>
      </c>
      <c r="C42" s="285" t="inlineStr">
        <is>
          <t>FY2026A</t>
        </is>
      </c>
      <c r="D42" s="1204" t="inlineStr">
        <is>
          <t>Formula</t>
        </is>
      </c>
      <c r="E42" s="1205" t="inlineStr">
        <is>
          <t>Model Used In</t>
        </is>
      </c>
      <c r="F42" s="177" t="n"/>
    </row>
    <row r="43" ht="15" customHeight="1" thickTop="1">
      <c r="A43" s="206" t="inlineStr">
        <is>
          <t>MC401</t>
        </is>
      </c>
      <c r="B43" s="1206" t="inlineStr">
        <is>
          <t>Crude to Finished Ratio</t>
        </is>
      </c>
      <c r="C43" s="1406">
        <f>D10/D12</f>
        <v/>
      </c>
      <c r="D43" s="1206" t="inlineStr">
        <is>
          <t>Derived</t>
        </is>
      </c>
      <c r="E43" s="1207" t="inlineStr">
        <is>
          <t>Demand</t>
        </is>
      </c>
      <c r="F43" s="177" t="n"/>
    </row>
    <row r="44">
      <c r="A44" s="207" t="inlineStr">
        <is>
          <t>MC402</t>
        </is>
      </c>
      <c r="B44" s="1199" t="inlineStr">
        <is>
          <t>Per Capita Consumption</t>
        </is>
      </c>
      <c r="C44" s="633">
        <f>'[1]Demand &amp; Consumption'!$H$8</f>
        <v/>
      </c>
      <c r="D44" s="1199" t="inlineStr">
        <is>
          <t>Database</t>
        </is>
      </c>
      <c r="E44" s="1200" t="inlineStr">
        <is>
          <t>Demand</t>
        </is>
      </c>
      <c r="F44" s="177" t="n"/>
    </row>
    <row r="45">
      <c r="A45" s="207" t="inlineStr">
        <is>
          <t>MC403</t>
        </is>
      </c>
      <c r="B45" s="1199" t="inlineStr">
        <is>
          <t>Industry Volume Coverage</t>
        </is>
      </c>
      <c r="C45" s="636">
        <f>SUM('[1]Production Volume'!$H$15:$H$19)/'[1]Production Volume'!$H$21</f>
        <v/>
      </c>
      <c r="D45" s="1199" t="inlineStr">
        <is>
          <t>Derived</t>
        </is>
      </c>
      <c r="E45" s="1200" t="inlineStr">
        <is>
          <t>Calibration</t>
        </is>
      </c>
      <c r="F45" s="177" t="n"/>
    </row>
    <row r="46">
      <c r="A46" s="207" t="inlineStr">
        <is>
          <t>MC404</t>
        </is>
      </c>
      <c r="B46" s="1199" t="inlineStr">
        <is>
          <t>Capacity Utilisation</t>
        </is>
      </c>
      <c r="C46" s="283">
        <f>D10/D13</f>
        <v/>
      </c>
      <c r="D46" s="1199" t="inlineStr">
        <is>
          <t>Derived</t>
        </is>
      </c>
      <c r="E46" s="1200" t="inlineStr">
        <is>
          <t>Capacity</t>
        </is>
      </c>
      <c r="F46" s="177" t="n"/>
    </row>
    <row r="47" ht="15" customHeight="1" thickBot="1">
      <c r="A47" s="208" t="inlineStr">
        <is>
          <t>MC405</t>
        </is>
      </c>
      <c r="B47" s="1201" t="inlineStr">
        <is>
          <t>Import Dependency</t>
        </is>
      </c>
      <c r="C47" s="281">
        <f>D36/D12</f>
        <v/>
      </c>
      <c r="D47" s="1201" t="inlineStr">
        <is>
          <t>Derived</t>
        </is>
      </c>
      <c r="E47" s="1202" t="inlineStr">
        <is>
          <t>Trade</t>
        </is>
      </c>
      <c r="F47" s="177" t="n"/>
    </row>
    <row r="48">
      <c r="A48" s="177" t="n"/>
      <c r="B48" s="177" t="n"/>
      <c r="C48" s="239" t="n"/>
      <c r="D48" s="262" t="n"/>
      <c r="E48" s="177" t="n"/>
      <c r="F48" s="177" t="n"/>
    </row>
    <row r="49">
      <c r="A49" s="177" t="n"/>
      <c r="B49" s="177" t="n"/>
      <c r="C49" s="239" t="n"/>
      <c r="D49" s="262" t="n"/>
      <c r="E49" s="177" t="n"/>
      <c r="F49" s="177" t="n"/>
    </row>
    <row r="50" ht="15.6" customHeight="1">
      <c r="A50" s="1184" t="inlineStr">
        <is>
          <t>Calibration Checks</t>
        </is>
      </c>
    </row>
    <row r="51">
      <c r="A51" s="1193" t="inlineStr">
        <is>
          <t>ID</t>
        </is>
      </c>
      <c r="B51" s="1193" t="inlineStr">
        <is>
          <t>Check</t>
        </is>
      </c>
      <c r="C51" s="1193" t="inlineStr">
        <is>
          <t>Formula</t>
        </is>
      </c>
      <c r="D51" s="1360" t="n"/>
      <c r="E51" s="1237" t="inlineStr">
        <is>
          <t>Result</t>
        </is>
      </c>
      <c r="F51" s="177" t="n"/>
    </row>
    <row r="52">
      <c r="A52" s="1199" t="inlineStr">
        <is>
          <t>MC501</t>
        </is>
      </c>
      <c r="B52" s="1199" t="inlineStr">
        <is>
          <t>Production</t>
        </is>
      </c>
      <c r="C52" s="1192" t="inlineStr">
        <is>
          <t>Capacity × Utilisation</t>
        </is>
      </c>
      <c r="D52" s="1360" t="n"/>
      <c r="E52" s="367">
        <f>IF(ABS($D$13*$D$14-$D$10)&lt;0.05,"PASS","FAIL")</f>
        <v/>
      </c>
      <c r="F52" s="177" t="n"/>
    </row>
    <row r="53">
      <c r="A53" s="1199" t="inlineStr">
        <is>
          <t>MC502</t>
        </is>
      </c>
      <c r="B53" s="1199" t="inlineStr">
        <is>
          <t>Revenue</t>
        </is>
      </c>
      <c r="C53" s="1192" t="inlineStr">
        <is>
          <t>Price × Volume</t>
        </is>
      </c>
      <c r="D53" s="1360" t="n"/>
      <c r="E53" s="199">
        <f>IF(ABS(D11*D19/10-'Revenue Forecast'!C95)&lt;1,"PASS","FAIL")</f>
        <v/>
      </c>
      <c r="F53" s="177" t="n"/>
    </row>
    <row r="54">
      <c r="A54" s="1199" t="inlineStr">
        <is>
          <t>MC503</t>
        </is>
      </c>
      <c r="B54" s="1199" t="inlineStr">
        <is>
          <t>EBITDA</t>
        </is>
      </c>
      <c r="C54" s="1192" t="inlineStr">
        <is>
          <t>Revenue − Cost</t>
        </is>
      </c>
      <c r="D54" s="1360" t="n"/>
      <c r="E54" s="367">
        <f>IF(ABS(($D$19-$D$21)-$D$20)&lt;1,"PASS","FAIL")</f>
        <v/>
      </c>
      <c r="F54" s="177" t="n"/>
    </row>
    <row r="55">
      <c r="A55" s="1199" t="inlineStr">
        <is>
          <t>MC504</t>
        </is>
      </c>
      <c r="B55" s="1199" t="inlineStr">
        <is>
          <t>Consumption Identity Balances</t>
        </is>
      </c>
      <c r="C55" s="1192" t="inlineStr">
        <is>
          <t>Finished production = Consumption + Net exports + Variation in stock</t>
        </is>
      </c>
      <c r="D55" s="1360" t="n"/>
      <c r="E55" s="367">
        <f>IF(ABS($D$11-($D$12+($D$37-$D$36)+$D$38))&lt;0.02,"PASS","FAIL")</f>
        <v/>
      </c>
      <c r="F55" s="177" t="n"/>
    </row>
    <row r="56">
      <c r="A56" s="1199" t="inlineStr">
        <is>
          <t>MC505</t>
        </is>
      </c>
      <c r="B56" s="1199" t="inlineStr">
        <is>
          <t>Import/Export Balance</t>
        </is>
      </c>
      <c r="C56" s="1192" t="inlineStr">
        <is>
          <t>Exports less Imports = Net trade position</t>
        </is>
      </c>
      <c r="D56" s="1360" t="n"/>
      <c r="E56" s="199">
        <f>IF(ABS(($D$37-$D$36)-'Steel Supply Model'!$C$79)&lt;0.001,"PASS","FAIL")</f>
        <v/>
      </c>
      <c r="F56" s="177" t="n"/>
    </row>
    <row r="57">
      <c r="A57" s="177" t="n"/>
      <c r="B57" s="177" t="n"/>
      <c r="C57" s="239" t="n"/>
      <c r="D57" s="262" t="n"/>
      <c r="E57" s="177" t="n"/>
      <c r="F57" s="177" t="n"/>
    </row>
  </sheetData>
  <mergeCells count="18">
    <mergeCell ref="A50:H50"/>
    <mergeCell ref="A4:H4"/>
    <mergeCell ref="L3:M3"/>
    <mergeCell ref="A26:H26"/>
    <mergeCell ref="N3:O3"/>
    <mergeCell ref="A8:H8"/>
    <mergeCell ref="A2:O2"/>
    <mergeCell ref="C54:D54"/>
    <mergeCell ref="A34:H34"/>
    <mergeCell ref="C51:D51"/>
    <mergeCell ref="C55:D55"/>
    <mergeCell ref="A1:O1"/>
    <mergeCell ref="A41:H41"/>
    <mergeCell ref="A5:O5"/>
    <mergeCell ref="C52:D52"/>
    <mergeCell ref="C53:D53"/>
    <mergeCell ref="C56:D56"/>
    <mergeCell ref="A17:H17"/>
  </mergeCells>
  <conditionalFormatting sqref="E52:E56">
    <cfRule type="cellIs" priority="1" operator="equal" dxfId="2">
      <formula>"PASS"</formula>
    </cfRule>
    <cfRule type="cellIs" priority="2" operator="equal" dxfId="0">
      <formula>"FAIL"</formula>
    </cfRule>
    <cfRule type="cellIs" priority="3" operator="equal" dxfId="0" stopIfTrue="1">
      <formula>"""FAIL"""</formula>
    </cfRule>
  </conditionalFormatting>
  <pageMargins left="0.7" right="0.7" top="0.75" bottom="0.75" header="0.3" footer="0.3"/>
</worksheet>
</file>

<file path=xl/worksheets/sheet8.xml><?xml version="1.0" encoding="utf-8"?>
<worksheet xmlns="http://schemas.openxmlformats.org/spreadsheetml/2006/main">
  <sheetPr codeName="Sheet8">
    <tabColor rgb="FF002060"/>
    <outlinePr summaryBelow="1" summaryRight="1"/>
    <pageSetUpPr/>
  </sheetPr>
  <dimension ref="A1:Q60"/>
  <sheetViews>
    <sheetView showGridLines="0" zoomScaleNormal="100" workbookViewId="0">
      <selection activeCell="B13" sqref="B13"/>
    </sheetView>
  </sheetViews>
  <sheetFormatPr baseColWidth="8" defaultRowHeight="14.4"/>
  <cols>
    <col width="28.44140625" customWidth="1" min="1" max="1"/>
    <col width="11.5546875" customWidth="1" min="2" max="9"/>
    <col width="10.5546875" customWidth="1" min="10" max="10"/>
    <col width="11" customWidth="1" min="11" max="11"/>
    <col width="10.5546875" customWidth="1" min="12" max="12"/>
    <col width="13" customWidth="1" min="13" max="13"/>
  </cols>
  <sheetData>
    <row r="1" ht="25.8" customHeight="1">
      <c r="A1" s="1150" t="inlineStr">
        <is>
          <t>MACROECONOMIC MODEL</t>
        </is>
      </c>
    </row>
    <row r="2" ht="15" customHeight="1" thickBot="1">
      <c r="A2" s="1159" t="inlineStr">
        <is>
          <t>Industry Financial Model  |  Indian Steel Industry  |  Horizon FY2027E-FY2033E  |  Base year FY2026A</t>
        </is>
      </c>
    </row>
    <row r="3" ht="16.2" customHeight="1" thickBot="1">
      <c r="A3" s="1149" t="n"/>
      <c r="N3" s="1407" t="inlineStr">
        <is>
          <t>Active Scenario</t>
        </is>
      </c>
      <c r="O3" s="1401" t="n"/>
      <c r="P3" s="760">
        <f>'Control Panel'!$E$17</f>
        <v/>
      </c>
      <c r="Q3" s="1354" t="n"/>
    </row>
    <row r="4" ht="15.6" customHeight="1">
      <c r="A4" s="1254" t="inlineStr">
        <is>
          <t>OBJECTIVE</t>
        </is>
      </c>
      <c r="N4" s="1218" t="n"/>
      <c r="P4" s="1219" t="n"/>
    </row>
    <row r="5">
      <c r="A5" s="1217" t="inlineStr">
        <is>
          <t>Convert macroeconomic assumptions into economic drivers for the steel industry.</t>
        </is>
      </c>
    </row>
    <row r="6">
      <c r="A6" s="1254" t="inlineStr">
        <is>
          <t>METHODOLOGY</t>
        </is>
      </c>
    </row>
    <row r="7" ht="29.4" customHeight="1">
      <c r="A7" s="1217" t="inlineStr">
        <is>
          <t>Real GDP growth and CPI are taken from RBI's June-2026 Monetary Policy Committee projections for FY2027 and converge to a steady state thereafter, because no Indian official body publishes a real GDP path beyond roughly five years. USD/INR is anchored on the 22-Jun-2026 spot of 94. Index rows compound the growth rates so that cumulative effects are visible rather than implied.</t>
        </is>
      </c>
    </row>
    <row r="8">
      <c r="A8" s="1254" t="inlineStr">
        <is>
          <t>UNITS</t>
        </is>
      </c>
    </row>
    <row r="9">
      <c r="A9" s="1217" t="inlineStr">
        <is>
          <t>Percentages as decimals. Indices FY2026A = ~100 (USD/INR) in rupees per dollar.</t>
        </is>
      </c>
    </row>
    <row r="10">
      <c r="A10" s="1217" t="n"/>
      <c r="B10" s="1217" t="n"/>
      <c r="C10" s="1217" t="n"/>
      <c r="D10" s="1217" t="n"/>
      <c r="E10" s="1217" t="n"/>
      <c r="F10" s="1217" t="n"/>
      <c r="G10" s="1217" t="n"/>
      <c r="H10" s="1217" t="n"/>
      <c r="I10" s="1217" t="n"/>
      <c r="J10" s="1217" t="n"/>
      <c r="K10" s="1217" t="n"/>
      <c r="L10" s="1217" t="n"/>
      <c r="M10" s="1217" t="n"/>
    </row>
    <row r="11" ht="16.2" customHeight="1" thickBot="1">
      <c r="A11" s="1157" t="inlineStr">
        <is>
          <t>Executive Summary</t>
        </is>
      </c>
      <c r="B11" s="444" t="n"/>
      <c r="C11" s="444" t="n"/>
      <c r="D11" s="444" t="n"/>
      <c r="E11" s="444" t="n"/>
      <c r="F11" s="444" t="n"/>
      <c r="G11" s="444" t="n"/>
      <c r="H11" s="444" t="n"/>
      <c r="I11" s="444" t="n"/>
      <c r="J11" s="1217" t="n"/>
      <c r="K11" s="1217" t="n"/>
      <c r="L11" s="1217" t="n"/>
      <c r="M11" s="1217" t="n"/>
    </row>
    <row r="12" ht="15.6" customHeight="1" thickBot="1" thickTop="1">
      <c r="A12" s="326" t="inlineStr">
        <is>
          <t>Metric</t>
        </is>
      </c>
      <c r="B12" s="524" t="inlineStr">
        <is>
          <t>FY2026A</t>
        </is>
      </c>
      <c r="C12" s="524" t="inlineStr">
        <is>
          <t>FY2027E</t>
        </is>
      </c>
      <c r="D12" s="524" t="inlineStr">
        <is>
          <t>FY2028E</t>
        </is>
      </c>
      <c r="E12" s="524" t="inlineStr">
        <is>
          <t>FY2029E</t>
        </is>
      </c>
      <c r="F12" s="524" t="inlineStr">
        <is>
          <t>FY2030E</t>
        </is>
      </c>
      <c r="G12" s="524" t="inlineStr">
        <is>
          <t>FY2031E</t>
        </is>
      </c>
      <c r="H12" s="524" t="inlineStr">
        <is>
          <t>FY2032E</t>
        </is>
      </c>
      <c r="I12" s="883" t="inlineStr">
        <is>
          <t>FY2033E</t>
        </is>
      </c>
      <c r="J12" s="1237" t="inlineStr">
        <is>
          <t>Audit Code</t>
        </is>
      </c>
      <c r="K12" s="1217" t="n"/>
      <c r="L12" s="1217" t="n"/>
      <c r="M12" s="1217" t="n"/>
    </row>
    <row r="13" ht="15" customHeight="1" thickTop="1">
      <c r="A13" s="206" t="inlineStr">
        <is>
          <t>GDP Growth (%)</t>
        </is>
      </c>
      <c r="B13" s="657">
        <f>'Model Assumptions'!D8</f>
        <v/>
      </c>
      <c r="C13" s="657">
        <f>'Model Assumptions'!E8</f>
        <v/>
      </c>
      <c r="D13" s="657">
        <f>'Model Assumptions'!F8</f>
        <v/>
      </c>
      <c r="E13" s="657">
        <f>'Model Assumptions'!G8</f>
        <v/>
      </c>
      <c r="F13" s="657">
        <f>'Model Assumptions'!H8</f>
        <v/>
      </c>
      <c r="G13" s="657">
        <f>'Model Assumptions'!I8</f>
        <v/>
      </c>
      <c r="H13" s="657">
        <f>'Model Assumptions'!J8</f>
        <v/>
      </c>
      <c r="I13" s="884">
        <f>'Model Assumptions'!K8</f>
        <v/>
      </c>
      <c r="J13" s="823" t="inlineStr">
        <is>
          <t>MM01</t>
        </is>
      </c>
      <c r="K13" s="1217" t="n"/>
      <c r="L13" s="1217" t="n"/>
      <c r="M13" s="1217" t="n"/>
    </row>
    <row r="14">
      <c r="A14" s="207" t="inlineStr">
        <is>
          <t>CPI Inflation (%)</t>
        </is>
      </c>
      <c r="B14" s="1408">
        <f>'Model Assumptions'!D11</f>
        <v/>
      </c>
      <c r="C14" s="1408">
        <f>'Model Assumptions'!E11</f>
        <v/>
      </c>
      <c r="D14" s="1408">
        <f>'Model Assumptions'!F11</f>
        <v/>
      </c>
      <c r="E14" s="1408">
        <f>'Model Assumptions'!G11</f>
        <v/>
      </c>
      <c r="F14" s="1408">
        <f>'Model Assumptions'!H11</f>
        <v/>
      </c>
      <c r="G14" s="1408">
        <f>'Model Assumptions'!I11</f>
        <v/>
      </c>
      <c r="H14" s="1408">
        <f>'Model Assumptions'!J11</f>
        <v/>
      </c>
      <c r="I14" s="1409">
        <f>'Model Assumptions'!K11</f>
        <v/>
      </c>
      <c r="J14" s="823" t="inlineStr">
        <is>
          <t>MM02</t>
        </is>
      </c>
      <c r="K14" s="1217" t="n"/>
      <c r="L14" s="1217" t="n"/>
      <c r="M14" s="1217" t="n"/>
    </row>
    <row r="15">
      <c r="A15" s="207" t="inlineStr">
        <is>
          <t>Repo Rate (%)</t>
        </is>
      </c>
      <c r="B15" s="659" t="n">
        <v>0.0525</v>
      </c>
      <c r="C15" s="659" t="n">
        <v>0.0525</v>
      </c>
      <c r="D15" s="659" t="n">
        <v>0.0525</v>
      </c>
      <c r="E15" s="659" t="n">
        <v>0.0525</v>
      </c>
      <c r="F15" s="659" t="n">
        <v>0.0525</v>
      </c>
      <c r="G15" s="659" t="n">
        <v>0.0525</v>
      </c>
      <c r="H15" s="659" t="n">
        <v>0.0525</v>
      </c>
      <c r="I15" s="886" t="n">
        <v>0.0525</v>
      </c>
      <c r="J15" s="823" t="inlineStr">
        <is>
          <t>MM03</t>
        </is>
      </c>
      <c r="K15" s="1217" t="n"/>
      <c r="L15" s="1217" t="n"/>
      <c r="M15" s="1217" t="n"/>
    </row>
    <row r="16">
      <c r="A16" s="207" t="inlineStr">
        <is>
          <t>Real GDP Index</t>
        </is>
      </c>
      <c r="B16" s="660" t="n">
        <v>100</v>
      </c>
      <c r="C16" s="661">
        <f>B16*(1+C13)</f>
        <v/>
      </c>
      <c r="D16" s="661">
        <f>C16*(1+D13)</f>
        <v/>
      </c>
      <c r="E16" s="661">
        <f>D16*(1+E13)</f>
        <v/>
      </c>
      <c r="F16" s="661">
        <f>E16*(1+F13)</f>
        <v/>
      </c>
      <c r="G16" s="661">
        <f>F16*(1+G13)</f>
        <v/>
      </c>
      <c r="H16" s="661">
        <f>G16*(1+H13)</f>
        <v/>
      </c>
      <c r="I16" s="887">
        <f>H16*(1+I13)</f>
        <v/>
      </c>
      <c r="J16" s="823" t="inlineStr">
        <is>
          <t>MM04</t>
        </is>
      </c>
      <c r="K16" s="1217" t="n"/>
      <c r="L16" s="1217" t="n"/>
      <c r="M16" s="1217" t="n"/>
    </row>
    <row r="17">
      <c r="A17" s="207" t="inlineStr">
        <is>
          <t>Nominal GDP Index</t>
        </is>
      </c>
      <c r="B17" s="660" t="n">
        <v>100</v>
      </c>
      <c r="C17" s="661">
        <f>B17*(1+C13)*(1+C14)</f>
        <v/>
      </c>
      <c r="D17" s="661">
        <f>C17*(1+D13)*(1+D14)</f>
        <v/>
      </c>
      <c r="E17" s="661">
        <f>D17*(1+E13)*(1+E14)</f>
        <v/>
      </c>
      <c r="F17" s="661">
        <f>E17*(1+F13)*(1+F14)</f>
        <v/>
      </c>
      <c r="G17" s="661">
        <f>F17*(1+G13)*(1+G14)</f>
        <v/>
      </c>
      <c r="H17" s="661">
        <f>G17*(1+H13)*(1+H14)</f>
        <v/>
      </c>
      <c r="I17" s="887">
        <f>H17*(1+I13)*(1+I14)</f>
        <v/>
      </c>
      <c r="J17" s="823" t="inlineStr">
        <is>
          <t>MM05</t>
        </is>
      </c>
      <c r="K17" s="1217" t="n"/>
      <c r="L17" s="1217" t="n"/>
      <c r="M17" s="1217" t="n"/>
    </row>
    <row r="18">
      <c r="A18" s="207" t="inlineStr">
        <is>
          <t>USD/INR</t>
        </is>
      </c>
      <c r="B18" s="1410">
        <f>'Model Assumptions'!D10</f>
        <v/>
      </c>
      <c r="C18" s="1410">
        <f>'Model Assumptions'!E10</f>
        <v/>
      </c>
      <c r="D18" s="1410">
        <f>'Model Assumptions'!F10</f>
        <v/>
      </c>
      <c r="E18" s="1410">
        <f>'Model Assumptions'!G10</f>
        <v/>
      </c>
      <c r="F18" s="1410">
        <f>'Model Assumptions'!H10</f>
        <v/>
      </c>
      <c r="G18" s="1410">
        <f>'Model Assumptions'!I10</f>
        <v/>
      </c>
      <c r="H18" s="1410">
        <f>'Model Assumptions'!J10</f>
        <v/>
      </c>
      <c r="I18" s="1411">
        <f>'Model Assumptions'!K10</f>
        <v/>
      </c>
      <c r="J18" s="823" t="inlineStr">
        <is>
          <t>MM06</t>
        </is>
      </c>
      <c r="K18" s="1217" t="n"/>
      <c r="L18" s="1217" t="n"/>
      <c r="M18" s="1217" t="n"/>
    </row>
    <row r="19">
      <c r="A19" s="496" t="inlineStr">
        <is>
          <t>INR Depreciation</t>
        </is>
      </c>
      <c r="B19" s="1412" t="n"/>
      <c r="C19" s="664">
        <f>C18/B18-1</f>
        <v/>
      </c>
      <c r="D19" s="664">
        <f>D18/C18-1</f>
        <v/>
      </c>
      <c r="E19" s="664">
        <f>E18/D18-1</f>
        <v/>
      </c>
      <c r="F19" s="664">
        <f>F18/E18-1</f>
        <v/>
      </c>
      <c r="G19" s="664">
        <f>G18/F18-1</f>
        <v/>
      </c>
      <c r="H19" s="664">
        <f>H18/G18-1</f>
        <v/>
      </c>
      <c r="I19" s="889">
        <f>I18/H18-1</f>
        <v/>
      </c>
      <c r="J19" s="823" t="inlineStr">
        <is>
          <t>MM07</t>
        </is>
      </c>
      <c r="K19" s="1217" t="n"/>
      <c r="L19" s="1217" t="n"/>
      <c r="M19" s="1217" t="n"/>
    </row>
    <row r="20">
      <c r="A20" s="496" t="inlineStr">
        <is>
          <t>Brent Oil (US$/bbl)</t>
        </is>
      </c>
      <c r="B20" s="1413" t="n">
        <v>79</v>
      </c>
      <c r="C20" s="1413" t="n">
        <v>79</v>
      </c>
      <c r="D20" s="1413" t="n">
        <v>79</v>
      </c>
      <c r="E20" s="1413" t="n">
        <v>79</v>
      </c>
      <c r="F20" s="1413" t="n">
        <v>79</v>
      </c>
      <c r="G20" s="1413" t="n">
        <v>79</v>
      </c>
      <c r="H20" s="1413" t="n">
        <v>79</v>
      </c>
      <c r="I20" s="1414" t="n">
        <v>79</v>
      </c>
      <c r="J20" s="823" t="inlineStr">
        <is>
          <t>MM08</t>
        </is>
      </c>
      <c r="K20" s="1217" t="n"/>
      <c r="L20" s="1217" t="n"/>
      <c r="M20" s="1217" t="n"/>
    </row>
    <row r="21">
      <c r="A21" s="669" t="inlineStr">
        <is>
          <t>10 Year G Sec Yield</t>
        </is>
      </c>
      <c r="B21" s="1415" t="n">
        <v>0.068</v>
      </c>
      <c r="C21" s="1415" t="n">
        <v>0.068</v>
      </c>
      <c r="D21" s="1415" t="n">
        <v>0.068</v>
      </c>
      <c r="E21" s="1415" t="n">
        <v>0.068</v>
      </c>
      <c r="F21" s="1415" t="n">
        <v>0.068</v>
      </c>
      <c r="G21" s="1415" t="n">
        <v>0.068</v>
      </c>
      <c r="H21" s="1415" t="n">
        <v>0.068</v>
      </c>
      <c r="I21" s="1416" t="n">
        <v>0.068</v>
      </c>
      <c r="J21" s="823" t="inlineStr">
        <is>
          <t>MM09</t>
        </is>
      </c>
      <c r="K21" s="1217" t="n"/>
      <c r="L21" s="1217" t="n"/>
      <c r="M21" s="1217" t="n"/>
    </row>
    <row r="22" ht="15" customHeight="1" thickBot="1">
      <c r="A22" s="670" t="inlineStr">
        <is>
          <t>WACC (Nominal)</t>
        </is>
      </c>
      <c r="B22" s="1417">
        <f>'Model Assumptions'!D27</f>
        <v/>
      </c>
      <c r="C22" s="1417">
        <f>'Model Assumptions'!E27</f>
        <v/>
      </c>
      <c r="D22" s="1417">
        <f>'Model Assumptions'!F27</f>
        <v/>
      </c>
      <c r="E22" s="1417">
        <f>'Model Assumptions'!G27</f>
        <v/>
      </c>
      <c r="F22" s="1417">
        <f>'Model Assumptions'!H27</f>
        <v/>
      </c>
      <c r="G22" s="1417">
        <f>'Model Assumptions'!I27</f>
        <v/>
      </c>
      <c r="H22" s="1417">
        <f>'Model Assumptions'!J27</f>
        <v/>
      </c>
      <c r="I22" s="1418">
        <f>'Model Assumptions'!K27</f>
        <v/>
      </c>
      <c r="J22" s="823" t="inlineStr">
        <is>
          <t>MM10</t>
        </is>
      </c>
      <c r="K22" s="1217" t="n"/>
      <c r="L22" s="1217" t="n"/>
      <c r="M22" s="1217" t="n"/>
    </row>
    <row r="23">
      <c r="A23" s="667" t="n"/>
      <c r="B23" s="1419" t="n"/>
      <c r="C23" s="1419" t="n"/>
      <c r="D23" s="1419" t="n"/>
      <c r="E23" s="1419" t="n"/>
      <c r="F23" s="1419" t="n"/>
      <c r="G23" s="1419" t="n"/>
      <c r="H23" s="1419" t="n"/>
      <c r="I23" s="1419" t="n"/>
      <c r="J23" s="1217" t="n"/>
      <c r="K23" s="1217" t="n"/>
      <c r="L23" s="1217" t="n"/>
      <c r="M23" s="1217" t="n"/>
    </row>
    <row r="24">
      <c r="A24" s="1217" t="n"/>
      <c r="B24" s="1217" t="n"/>
      <c r="C24" s="1217" t="n"/>
      <c r="D24" s="1217" t="n"/>
      <c r="E24" s="1217" t="n"/>
      <c r="F24" s="1217" t="n"/>
      <c r="G24" s="1217" t="n"/>
      <c r="H24" s="1217" t="n"/>
      <c r="I24" s="1217" t="n"/>
      <c r="J24" s="1217" t="n"/>
      <c r="K24" s="1217" t="n"/>
      <c r="L24" s="1217" t="n"/>
      <c r="M24" s="1217" t="n"/>
    </row>
    <row r="25" ht="15.6" customHeight="1">
      <c r="A25" s="1184" t="inlineStr">
        <is>
          <t>Leading Indicators</t>
        </is>
      </c>
      <c r="J25" s="1217" t="n"/>
      <c r="K25" s="1217" t="n"/>
      <c r="L25" s="1217" t="n"/>
      <c r="M25" s="1217" t="n"/>
    </row>
    <row r="26">
      <c r="A26" s="1193" t="inlineStr">
        <is>
          <t>Indicator</t>
        </is>
      </c>
      <c r="B26" s="1237" t="inlineStr">
        <is>
          <t>FY2025A</t>
        </is>
      </c>
      <c r="C26" s="1237" t="inlineStr">
        <is>
          <t>FY2026A</t>
        </is>
      </c>
      <c r="D26" s="1237" t="inlineStr">
        <is>
          <t>Trend</t>
        </is>
      </c>
      <c r="E26" s="1237" t="inlineStr">
        <is>
          <t>Impact</t>
        </is>
      </c>
      <c r="F26" s="1217" t="n"/>
      <c r="G26" s="1217" t="n"/>
      <c r="H26" s="1217" t="n"/>
      <c r="I26" s="1217" t="n"/>
      <c r="J26" s="1217" t="n"/>
      <c r="K26" s="1217" t="n"/>
      <c r="L26" s="1217" t="n"/>
      <c r="M26" s="1217" t="n"/>
    </row>
    <row r="27">
      <c r="A27" s="1199" t="inlineStr">
        <is>
          <t>PMI Manufacturing</t>
        </is>
      </c>
      <c r="B27" s="463" t="n"/>
      <c r="C27" s="463" t="n"/>
      <c r="D27" s="336">
        <f>IF(C27&gt;B27,"▲",IF(C27&lt;B27,"▼","►"))</f>
        <v/>
      </c>
      <c r="E27" s="1199" t="n"/>
      <c r="F27" s="1217" t="n"/>
      <c r="G27" s="1217" t="n"/>
      <c r="H27" s="1217" t="n"/>
      <c r="I27" s="1217" t="n"/>
      <c r="J27" s="1217" t="n"/>
      <c r="K27" s="1217" t="n"/>
      <c r="L27" s="1217" t="n"/>
      <c r="M27" s="1217" t="n"/>
    </row>
    <row r="28">
      <c r="A28" s="1199" t="inlineStr">
        <is>
          <t>Core Sector Growth</t>
        </is>
      </c>
      <c r="B28" s="463" t="n"/>
      <c r="C28" s="463" t="n"/>
      <c r="D28" s="336">
        <f>IF(C28&gt;B28,"▲",IF(C28&lt;B28,"▼","►"))</f>
        <v/>
      </c>
      <c r="E28" s="1199" t="n"/>
      <c r="F28" s="1217" t="n"/>
      <c r="G28" s="1217" t="n"/>
      <c r="H28" s="1217" t="n"/>
      <c r="I28" s="1217" t="n"/>
      <c r="J28" s="1217" t="n"/>
      <c r="K28" s="1217" t="n"/>
      <c r="L28" s="1217" t="n"/>
      <c r="M28" s="1217" t="n"/>
    </row>
    <row r="29">
      <c r="A29" s="1199" t="inlineStr">
        <is>
          <t>Infrastructure Spending</t>
        </is>
      </c>
      <c r="B29" s="463" t="n"/>
      <c r="C29" s="463" t="n"/>
      <c r="D29" s="336">
        <f>IF(C29&gt;B29,"▲",IF(C29&lt;B29,"▼","►"))</f>
        <v/>
      </c>
      <c r="E29" s="1199" t="n"/>
      <c r="F29" s="1217" t="n"/>
      <c r="G29" s="1217" t="n"/>
      <c r="H29" s="1217" t="n"/>
      <c r="I29" s="1217" t="n"/>
      <c r="J29" s="1217" t="n"/>
      <c r="K29" s="1217" t="n"/>
      <c r="L29" s="1217" t="n"/>
      <c r="M29" s="1217" t="n"/>
    </row>
    <row r="30">
      <c r="A30" s="1199" t="inlineStr">
        <is>
          <t>Government Capex</t>
        </is>
      </c>
      <c r="B30" s="463" t="n"/>
      <c r="C30" s="463" t="n"/>
      <c r="D30" s="336">
        <f>IF(C30&gt;B30,"▲",IF(C30&lt;B30,"▼","►"))</f>
        <v/>
      </c>
      <c r="E30" s="1199" t="n"/>
      <c r="F30" s="1217" t="n"/>
      <c r="G30" s="1217" t="n"/>
      <c r="H30" s="1217" t="n"/>
      <c r="I30" s="1217" t="n"/>
      <c r="J30" s="1217" t="n"/>
      <c r="K30" s="1217" t="n"/>
      <c r="L30" s="1217" t="n"/>
      <c r="M30" s="1217" t="n"/>
    </row>
    <row r="31">
      <c r="A31" s="1199" t="inlineStr">
        <is>
          <t>Housing Completions</t>
        </is>
      </c>
      <c r="B31" s="463" t="n"/>
      <c r="C31" s="463" t="n"/>
      <c r="D31" s="336">
        <f>IF(C31&gt;B31,"▲",IF(C31&lt;B31,"▼","►"))</f>
        <v/>
      </c>
      <c r="E31" s="1199" t="n"/>
      <c r="F31" s="1217" t="n"/>
      <c r="G31" s="1217" t="n"/>
      <c r="H31" s="1217" t="n"/>
      <c r="I31" s="1217" t="n"/>
      <c r="J31" s="1217" t="n"/>
      <c r="K31" s="1217" t="n"/>
      <c r="L31" s="1217" t="n"/>
      <c r="M31" s="1217" t="n"/>
    </row>
    <row r="32">
      <c r="A32" s="1199" t="inlineStr">
        <is>
          <t>Vehicle Production</t>
        </is>
      </c>
      <c r="B32" s="463" t="n"/>
      <c r="C32" s="463" t="n"/>
      <c r="D32" s="336">
        <f>IF(C32&gt;B32,"▲",IF(C32&lt;B32,"▼","►"))</f>
        <v/>
      </c>
      <c r="E32" s="1199" t="n"/>
      <c r="F32" s="1217" t="n"/>
      <c r="G32" s="1217" t="n"/>
      <c r="H32" s="1217" t="n"/>
      <c r="I32" s="1217" t="n"/>
      <c r="J32" s="1217" t="n"/>
      <c r="K32" s="1217" t="n"/>
      <c r="L32" s="1217" t="n"/>
      <c r="M32" s="1217" t="n"/>
    </row>
    <row r="33">
      <c r="A33" s="1199" t="inlineStr">
        <is>
          <t>Railway Capex</t>
        </is>
      </c>
      <c r="B33" s="463" t="n"/>
      <c r="C33" s="463" t="n"/>
      <c r="D33" s="336">
        <f>IF(C33&gt;B33,"▲",IF(C33&lt;B33,"▼","►"))</f>
        <v/>
      </c>
      <c r="E33" s="1199" t="n"/>
      <c r="F33" s="1217" t="n"/>
      <c r="G33" s="1217" t="n"/>
      <c r="H33" s="1217" t="n"/>
      <c r="I33" s="1217" t="n"/>
      <c r="J33" s="1217" t="n"/>
      <c r="K33" s="1217" t="n"/>
      <c r="L33" s="1217" t="n"/>
      <c r="M33" s="1217" t="n"/>
    </row>
    <row r="34">
      <c r="A34" s="1217" t="n"/>
      <c r="B34" s="1217" t="n"/>
      <c r="C34" s="1217" t="n"/>
      <c r="D34" s="1217" t="n"/>
      <c r="E34" s="1217" t="n"/>
      <c r="F34" s="1217" t="n"/>
      <c r="G34" s="1217" t="n"/>
      <c r="H34" s="1217" t="n"/>
      <c r="I34" s="1217" t="n"/>
      <c r="J34" s="1217" t="n"/>
      <c r="K34" s="1217" t="n"/>
      <c r="L34" s="1217" t="n"/>
      <c r="M34" s="1217" t="n"/>
    </row>
    <row r="35">
      <c r="A35" s="1217" t="n"/>
      <c r="B35" s="1217" t="n"/>
      <c r="C35" s="1217" t="n"/>
      <c r="D35" s="1217" t="n"/>
      <c r="E35" s="1217" t="n"/>
      <c r="F35" s="1217" t="n"/>
      <c r="G35" s="1217" t="n"/>
      <c r="H35" s="1217" t="n"/>
      <c r="I35" s="1217" t="n"/>
      <c r="J35" s="1217" t="n"/>
      <c r="K35" s="1217" t="n"/>
      <c r="L35" s="1217" t="n"/>
      <c r="M35" s="1217" t="n"/>
    </row>
    <row r="36" ht="16.2" customHeight="1" thickBot="1">
      <c r="A36" s="1203" t="inlineStr">
        <is>
          <t>Commodity Environment</t>
        </is>
      </c>
      <c r="B36" s="444" t="n"/>
      <c r="C36" s="444" t="n"/>
      <c r="D36" s="444" t="n"/>
      <c r="E36" s="1137" t="n"/>
      <c r="F36" s="1137" t="n"/>
      <c r="G36" s="1137" t="n"/>
      <c r="H36" s="1137" t="n"/>
      <c r="I36" s="1137" t="n"/>
      <c r="J36" s="1217" t="n"/>
      <c r="K36" s="1217" t="n"/>
      <c r="L36" s="1217" t="n"/>
      <c r="M36" s="1217" t="n"/>
    </row>
    <row r="37" ht="15.6" customHeight="1" thickBot="1" thickTop="1">
      <c r="A37" s="328" t="inlineStr">
        <is>
          <t>Commodity</t>
        </is>
      </c>
      <c r="B37" s="332" t="inlineStr">
        <is>
          <t>FY2026A</t>
        </is>
      </c>
      <c r="C37" s="332" t="inlineStr">
        <is>
          <t>FY2033E</t>
        </is>
      </c>
      <c r="D37" s="333" t="inlineStr">
        <is>
          <t>Trend</t>
        </is>
      </c>
      <c r="E37" s="1237" t="inlineStr">
        <is>
          <t>Audit Code</t>
        </is>
      </c>
      <c r="F37" s="1217" t="n"/>
      <c r="G37" s="1217" t="n"/>
      <c r="H37" s="1217" t="n"/>
      <c r="I37" s="1217" t="n"/>
      <c r="J37" s="1217" t="n"/>
      <c r="K37" s="1217" t="n"/>
      <c r="L37" s="1217" t="n"/>
      <c r="M37" s="1217" t="n"/>
    </row>
    <row r="38" ht="15" customHeight="1" thickTop="1">
      <c r="A38" s="206" t="inlineStr">
        <is>
          <t>Brent Oil</t>
        </is>
      </c>
      <c r="B38" s="1420">
        <f>$B$20</f>
        <v/>
      </c>
      <c r="C38" s="1420">
        <f>$I$20</f>
        <v/>
      </c>
      <c r="D38" s="893">
        <f>IF(C38&gt;B38,"▲ Increase",IF(C38&lt;B38,"▼ Decrease","► Stable"))</f>
        <v/>
      </c>
      <c r="E38" s="823" t="inlineStr">
        <is>
          <t>MM11</t>
        </is>
      </c>
      <c r="F38" s="1217" t="n"/>
      <c r="G38" s="1217" t="n"/>
      <c r="H38" s="1217" t="n"/>
      <c r="I38" s="1217" t="n"/>
      <c r="J38" s="1217" t="n"/>
      <c r="K38" s="1217" t="n"/>
      <c r="L38" s="1217" t="n"/>
      <c r="M38" s="1217" t="n"/>
    </row>
    <row r="39">
      <c r="A39" s="207" t="inlineStr">
        <is>
          <t>Iron Ore</t>
        </is>
      </c>
      <c r="B39" s="1421">
        <f>'Raw Material Forecast'!$C$61</f>
        <v/>
      </c>
      <c r="C39" s="1421">
        <f>'Raw Material Forecast'!$J$61</f>
        <v/>
      </c>
      <c r="D39" s="894">
        <f>IF(C39&gt;B39,"▲ Increase",IF(C39&lt;B39,"▼ Decrease","► Stable"))</f>
        <v/>
      </c>
      <c r="E39" s="823" t="inlineStr">
        <is>
          <t>MM12</t>
        </is>
      </c>
      <c r="F39" s="1217" t="n"/>
      <c r="G39" s="1217" t="n"/>
      <c r="H39" s="1217" t="n"/>
      <c r="I39" s="1217" t="n"/>
      <c r="J39" s="1217" t="n"/>
      <c r="K39" s="1217" t="n"/>
      <c r="L39" s="1217" t="n"/>
      <c r="M39" s="1217" t="n"/>
    </row>
    <row r="40">
      <c r="A40" s="207" t="inlineStr">
        <is>
          <t>HCC Coal</t>
        </is>
      </c>
      <c r="B40" s="1421">
        <f>'Raw Material Forecast'!$C$62</f>
        <v/>
      </c>
      <c r="C40" s="1421">
        <f>'Raw Material Forecast'!$J$62</f>
        <v/>
      </c>
      <c r="D40" s="894">
        <f>IF(C40&gt;B40,"▲ Increase",IF(C40&lt;B40,"▼ Decrease","► Stable"))</f>
        <v/>
      </c>
      <c r="E40" s="823" t="inlineStr">
        <is>
          <t>MM13</t>
        </is>
      </c>
      <c r="F40" s="1217" t="n"/>
      <c r="G40" s="1217" t="n"/>
      <c r="H40" s="1217" t="n"/>
      <c r="I40" s="1217" t="n"/>
      <c r="J40" s="1217" t="n"/>
      <c r="K40" s="1217" t="n"/>
      <c r="L40" s="1217" t="n"/>
      <c r="M40" s="1217" t="n"/>
    </row>
    <row r="41" ht="15" customHeight="1" thickBot="1">
      <c r="A41" s="208" t="inlineStr">
        <is>
          <t>Thermal Coal</t>
        </is>
      </c>
      <c r="B41" s="1422" t="n">
        <v>111.5</v>
      </c>
      <c r="C41" s="279" t="n"/>
      <c r="D41" s="895">
        <f>IF(C41&gt;B41,"▲ Increase",IF(C41&lt;B41,"▼ Decrease","► Stable"))</f>
        <v/>
      </c>
      <c r="E41" s="823" t="inlineStr">
        <is>
          <t>MM14</t>
        </is>
      </c>
      <c r="F41" s="1217" t="n"/>
      <c r="G41" s="1217" t="n"/>
      <c r="H41" s="1217" t="n"/>
      <c r="I41" s="1217" t="n"/>
      <c r="J41" s="1217" t="n"/>
      <c r="K41" s="1217" t="n"/>
      <c r="L41" s="1217" t="n"/>
      <c r="M41" s="1217" t="n"/>
    </row>
    <row r="42">
      <c r="A42" s="1217" t="n"/>
      <c r="B42" s="1217" t="n"/>
      <c r="C42" s="1217" t="n"/>
      <c r="D42" s="1217" t="n"/>
      <c r="E42" s="1217" t="n"/>
      <c r="F42" s="1217" t="n"/>
      <c r="G42" s="1217" t="n"/>
      <c r="H42" s="1217" t="n"/>
      <c r="I42" s="1217" t="n"/>
      <c r="J42" s="1217" t="n"/>
      <c r="K42" s="1217" t="n"/>
      <c r="L42" s="1217" t="n"/>
      <c r="M42" s="1217" t="n"/>
    </row>
    <row r="43">
      <c r="A43" s="1217" t="n"/>
      <c r="B43" s="1217" t="n"/>
      <c r="C43" s="1217" t="n"/>
      <c r="D43" s="1217" t="n"/>
      <c r="E43" s="1217" t="n"/>
      <c r="F43" s="1217" t="n"/>
      <c r="G43" s="1217" t="n"/>
      <c r="H43" s="1217" t="n"/>
      <c r="I43" s="1217" t="n"/>
      <c r="J43" s="1217" t="n"/>
      <c r="K43" s="1217" t="n"/>
      <c r="L43" s="1217" t="n"/>
      <c r="M43" s="1217" t="n"/>
    </row>
    <row r="44" ht="16.2" customHeight="1" thickBot="1">
      <c r="A44" s="1157" t="inlineStr">
        <is>
          <t>Macro Outlook</t>
        </is>
      </c>
      <c r="B44" s="444" t="n"/>
      <c r="C44" s="444" t="n"/>
      <c r="D44" s="444" t="n"/>
      <c r="E44" s="444" t="n"/>
      <c r="F44" s="444" t="n"/>
      <c r="G44" s="444" t="n"/>
      <c r="H44" s="444" t="n"/>
      <c r="I44" s="444" t="n"/>
      <c r="J44" s="444" t="n"/>
      <c r="K44" s="444" t="n"/>
      <c r="L44" s="444" t="n"/>
      <c r="M44" s="444" t="n"/>
    </row>
    <row r="45" ht="25.8" customHeight="1" thickTop="1">
      <c r="A45" s="1208" t="inlineStr">
        <is>
          <t>GROWTH. The RBI cut its FY2027 real GDP projection to 6.6% from 6.9% at the 05-Jun-2026 MPC, citing the West Asia conflict, energy prices and monsoon risk, against an estimated 7.6% for FY2026 and a Q4FY2026 actual of 7.7%. The base case adopts 6.6% unchanged and converges to a 6.5% steady state; it does not extrapolate the FY2026 outturn, which was flattered by a low base and front-loaded government capex.</t>
        </is>
      </c>
      <c r="B45" s="1339" t="n"/>
      <c r="C45" s="1339" t="n"/>
      <c r="D45" s="1339" t="n"/>
      <c r="E45" s="1339" t="n"/>
      <c r="F45" s="1339" t="n"/>
      <c r="G45" s="1339" t="n"/>
      <c r="H45" s="1339" t="n"/>
      <c r="I45" s="1339" t="n"/>
      <c r="J45" s="1339" t="n"/>
      <c r="K45" s="1339" t="n"/>
      <c r="L45" s="1339" t="n"/>
      <c r="M45" s="1423" t="n"/>
    </row>
    <row r="46" ht="25.8" customHeight="1">
      <c r="A46" s="1211" t="inlineStr">
        <is>
          <t>PRICES AND POLICY. CPI is projected at 5.1% for FY2027, 50bps above the previous projection, converging to the 4.5% mid-point of the RBI target band. The repo rate was held at 5.25% and the 10-year G-sec was 6.833% on 31-Jul-2026. Conversion cost inflation in the model is anchored on this CPI path rather than on a separately asserted wage or power series.</t>
        </is>
      </c>
      <c r="B46" s="1342" t="n"/>
      <c r="C46" s="1342" t="n"/>
      <c r="D46" s="1342" t="n"/>
      <c r="E46" s="1342" t="n"/>
      <c r="F46" s="1342" t="n"/>
      <c r="G46" s="1342" t="n"/>
      <c r="H46" s="1342" t="n"/>
      <c r="I46" s="1342" t="n"/>
      <c r="J46" s="1342" t="n"/>
      <c r="K46" s="1342" t="n"/>
      <c r="L46" s="1342" t="n"/>
      <c r="M46" s="1360" t="n"/>
    </row>
    <row r="47" ht="25.8" customHeight="1">
      <c r="A47" s="1211" t="inlineStr">
        <is>
          <t>CURRENCY. USD/INR averaged 88.4 in FY2026 and was 94 spot on 22-Jun-2026 within an 85 to 98 52-week range. The base case takes the rupee to 100.5 by FY2033E. This is the second largest single driver of industry EBITDA in the model, because iron ore and coking coal are priced in dollars while realisation is in rupees.</t>
        </is>
      </c>
      <c r="B47" s="1342" t="n"/>
      <c r="C47" s="1342" t="n"/>
      <c r="D47" s="1342" t="n"/>
      <c r="E47" s="1342" t="n"/>
      <c r="F47" s="1342" t="n"/>
      <c r="G47" s="1342" t="n"/>
      <c r="H47" s="1342" t="n"/>
      <c r="I47" s="1342" t="n"/>
      <c r="J47" s="1342" t="n"/>
      <c r="K47" s="1342" t="n"/>
      <c r="L47" s="1342" t="n"/>
      <c r="M47" s="1360" t="n"/>
    </row>
    <row r="48" ht="25.8" customHeight="1" thickBot="1">
      <c r="A48" s="1214" t="inlineStr">
        <is>
          <t>TRANSMISSION TO STEEL. Macro reaches steel demand through exactly one channel in this model: real GDP growth multiplied by a demand elasticity of 1.15x tapering to 1.05x. That elasticity is the realised FY2015-FY2026 outturn, not an assertion. Everything downstream - supply, utilisation, price, cost, margin, cash flow and valuation - follows from that single link, which is why the GDP and elasticity rows are the two most important cells in the workbook.</t>
        </is>
      </c>
      <c r="B48" s="1424" t="n"/>
      <c r="C48" s="1424" t="n"/>
      <c r="D48" s="1424" t="n"/>
      <c r="E48" s="1424" t="n"/>
      <c r="F48" s="1424" t="n"/>
      <c r="G48" s="1424" t="n"/>
      <c r="H48" s="1424" t="n"/>
      <c r="I48" s="1424" t="n"/>
      <c r="J48" s="1424" t="n"/>
      <c r="K48" s="1424" t="n"/>
      <c r="L48" s="1424" t="n"/>
      <c r="M48" s="1425" t="n"/>
    </row>
    <row r="49">
      <c r="A49" s="1217" t="n"/>
      <c r="B49" s="1217" t="n"/>
      <c r="C49" s="1217" t="n"/>
      <c r="D49" s="1217" t="n"/>
      <c r="E49" s="1217" t="n"/>
      <c r="F49" s="1217" t="n"/>
      <c r="G49" s="1217" t="n"/>
      <c r="H49" s="1217" t="n"/>
      <c r="I49" s="1217" t="n"/>
      <c r="J49" s="1217" t="n"/>
      <c r="K49" s="1217" t="n"/>
      <c r="L49" s="1217" t="n"/>
      <c r="M49" s="1217" t="n"/>
    </row>
    <row r="50">
      <c r="A50" s="1217" t="n"/>
      <c r="B50" s="1217" t="n"/>
      <c r="C50" s="1217" t="n"/>
      <c r="D50" s="1217" t="n"/>
      <c r="E50" s="1217" t="n"/>
      <c r="F50" s="1217" t="n"/>
      <c r="G50" s="1217" t="n"/>
      <c r="H50" s="1217" t="n"/>
      <c r="I50" s="1217" t="n"/>
      <c r="J50" s="1217" t="n"/>
      <c r="K50" s="1217" t="n"/>
      <c r="L50" s="1217" t="n"/>
      <c r="M50" s="1217" t="n"/>
    </row>
    <row r="51" ht="16.2" customHeight="1" thickBot="1">
      <c r="A51" s="1184" t="inlineStr">
        <is>
          <t>Outputs to Downstream Models</t>
        </is>
      </c>
      <c r="J51" s="1217" t="n"/>
      <c r="K51" s="1217" t="n"/>
      <c r="L51" s="1217" t="n"/>
      <c r="M51" s="1217" t="n"/>
    </row>
    <row r="52" ht="15" customHeight="1" thickBot="1">
      <c r="A52" s="284" t="inlineStr">
        <is>
          <t>Output Variable</t>
        </is>
      </c>
      <c r="B52" s="1204" t="inlineStr">
        <is>
          <t>Destination</t>
        </is>
      </c>
      <c r="C52" s="1336" t="n"/>
      <c r="D52" s="1217" t="n"/>
      <c r="E52" s="1217" t="n"/>
      <c r="F52" s="1217" t="n"/>
      <c r="G52" s="1217" t="n"/>
      <c r="H52" s="1217" t="n"/>
      <c r="I52" s="1217" t="n"/>
      <c r="J52" s="1217" t="n"/>
      <c r="K52" s="1217" t="n"/>
      <c r="L52" s="1217" t="n"/>
      <c r="M52" s="1217" t="n"/>
    </row>
    <row r="53" ht="15" customHeight="1" thickTop="1">
      <c r="A53" s="206" t="inlineStr">
        <is>
          <t>GDP Growth</t>
        </is>
      </c>
      <c r="B53" s="1206" t="inlineStr">
        <is>
          <t>Demand Model</t>
        </is>
      </c>
      <c r="C53" s="1423" t="n"/>
      <c r="D53" s="1217" t="n"/>
      <c r="E53" s="1217" t="n"/>
      <c r="F53" s="1217" t="n"/>
      <c r="G53" s="1217" t="n"/>
      <c r="H53" s="1217" t="n"/>
      <c r="I53" s="1217" t="n"/>
      <c r="J53" s="1217" t="n"/>
      <c r="K53" s="1217" t="n"/>
      <c r="L53" s="1217" t="n"/>
      <c r="M53" s="1217" t="n"/>
    </row>
    <row r="54">
      <c r="A54" s="207" t="inlineStr">
        <is>
          <t>Construction Growth</t>
        </is>
      </c>
      <c r="B54" s="1199" t="inlineStr">
        <is>
          <t>Demand Model</t>
        </is>
      </c>
      <c r="C54" s="1360" t="n"/>
      <c r="D54" s="1217" t="n"/>
      <c r="E54" s="1217" t="n"/>
      <c r="F54" s="1217" t="n"/>
      <c r="G54" s="1217" t="n"/>
      <c r="H54" s="1217" t="n"/>
      <c r="I54" s="1217" t="n"/>
      <c r="J54" s="1217" t="n"/>
      <c r="K54" s="1217" t="n"/>
      <c r="L54" s="1217" t="n"/>
      <c r="M54" s="1217" t="n"/>
    </row>
    <row r="55">
      <c r="A55" s="207" t="inlineStr">
        <is>
          <t>Auto Growth</t>
        </is>
      </c>
      <c r="B55" s="1199" t="inlineStr">
        <is>
          <t>Demand Model</t>
        </is>
      </c>
      <c r="C55" s="1360" t="n"/>
      <c r="D55" s="1217" t="n"/>
      <c r="E55" s="1217" t="n"/>
      <c r="F55" s="1217" t="n"/>
      <c r="G55" s="1217" t="n"/>
      <c r="H55" s="1217" t="n"/>
      <c r="I55" s="1217" t="n"/>
      <c r="J55" s="1217" t="n"/>
      <c r="K55" s="1217" t="n"/>
      <c r="L55" s="1217" t="n"/>
      <c r="M55" s="1217" t="n"/>
    </row>
    <row r="56">
      <c r="A56" s="207" t="inlineStr">
        <is>
          <t>Infrastructure Growth</t>
        </is>
      </c>
      <c r="B56" s="1199" t="inlineStr">
        <is>
          <t>Demand Model</t>
        </is>
      </c>
      <c r="C56" s="1360" t="n"/>
      <c r="D56" s="1217" t="n"/>
      <c r="E56" s="1217" t="n"/>
      <c r="F56" s="1217" t="n"/>
      <c r="G56" s="1217" t="n"/>
      <c r="H56" s="1217" t="n"/>
      <c r="I56" s="1217" t="n"/>
      <c r="J56" s="1217" t="n"/>
      <c r="K56" s="1217" t="n"/>
      <c r="L56" s="1217" t="n"/>
      <c r="M56" s="1217" t="n"/>
    </row>
    <row r="57">
      <c r="A57" s="207" t="inlineStr">
        <is>
          <t>Inflation</t>
        </is>
      </c>
      <c r="B57" s="1199" t="inlineStr">
        <is>
          <t>Revenue Model</t>
        </is>
      </c>
      <c r="C57" s="1360" t="n"/>
      <c r="D57" s="1217" t="n"/>
      <c r="E57" s="1217" t="n"/>
      <c r="F57" s="1217" t="n"/>
      <c r="G57" s="1217" t="n"/>
      <c r="H57" s="1217" t="n"/>
      <c r="I57" s="1217" t="n"/>
      <c r="J57" s="1217" t="n"/>
      <c r="K57" s="1217" t="n"/>
      <c r="L57" s="1217" t="n"/>
      <c r="M57" s="1217" t="n"/>
    </row>
    <row r="58">
      <c r="A58" s="207" t="inlineStr">
        <is>
          <t>USD/INR</t>
        </is>
      </c>
      <c r="B58" s="1199" t="inlineStr">
        <is>
          <t>Cost Model</t>
        </is>
      </c>
      <c r="C58" s="1360" t="n"/>
      <c r="D58" s="1217" t="n"/>
      <c r="E58" s="1217" t="n"/>
      <c r="F58" s="1217" t="n"/>
      <c r="G58" s="1217" t="n"/>
      <c r="H58" s="1217" t="n"/>
      <c r="I58" s="1217" t="n"/>
      <c r="J58" s="1217" t="n"/>
      <c r="K58" s="1217" t="n"/>
      <c r="L58" s="1217" t="n"/>
      <c r="M58" s="1217" t="n"/>
    </row>
    <row r="59" ht="15" customHeight="1" thickBot="1">
      <c r="A59" s="208" t="inlineStr">
        <is>
          <t>Repo Rate</t>
        </is>
      </c>
      <c r="B59" s="1201" t="inlineStr">
        <is>
          <t>Valuation</t>
        </is>
      </c>
      <c r="C59" s="1425" t="n"/>
      <c r="D59" s="1217" t="n"/>
      <c r="E59" s="1217" t="n"/>
      <c r="F59" s="1217" t="n"/>
      <c r="G59" s="1217" t="n"/>
      <c r="H59" s="1217" t="n"/>
      <c r="I59" s="1217" t="n"/>
      <c r="J59" s="1217" t="n"/>
      <c r="K59" s="1217" t="n"/>
      <c r="L59" s="1217" t="n"/>
      <c r="M59" s="1217" t="n"/>
    </row>
    <row r="60">
      <c r="A60" s="1217" t="n"/>
      <c r="B60" s="1217" t="n"/>
      <c r="C60" s="1217" t="n"/>
      <c r="D60" s="1217" t="n"/>
      <c r="E60" s="1217" t="n"/>
      <c r="F60" s="1217" t="n"/>
      <c r="G60" s="1217" t="n"/>
      <c r="H60" s="1217" t="n"/>
      <c r="I60" s="1217" t="n"/>
      <c r="J60" s="1217" t="n"/>
      <c r="K60" s="1217" t="n"/>
      <c r="L60" s="1217" t="n"/>
      <c r="M60" s="1217" t="n"/>
    </row>
  </sheetData>
  <mergeCells count="26">
    <mergeCell ref="P4:Q4"/>
    <mergeCell ref="A25:I25"/>
    <mergeCell ref="B54:C54"/>
    <mergeCell ref="A5:M5"/>
    <mergeCell ref="B59:C59"/>
    <mergeCell ref="N4:O4"/>
    <mergeCell ref="B56:C56"/>
    <mergeCell ref="A1:Q1"/>
    <mergeCell ref="B58:C58"/>
    <mergeCell ref="A2:F2"/>
    <mergeCell ref="B52:C52"/>
    <mergeCell ref="N3:O3"/>
    <mergeCell ref="A44:M44"/>
    <mergeCell ref="A9:M9"/>
    <mergeCell ref="A48:M48"/>
    <mergeCell ref="B57:C57"/>
    <mergeCell ref="B53:C53"/>
    <mergeCell ref="A36:D36"/>
    <mergeCell ref="A45:M45"/>
    <mergeCell ref="A7:M7"/>
    <mergeCell ref="A46:M46"/>
    <mergeCell ref="B55:C55"/>
    <mergeCell ref="P3:Q3"/>
    <mergeCell ref="A11:I11"/>
    <mergeCell ref="A51:I51"/>
    <mergeCell ref="A47:M47"/>
  </mergeCells>
  <pageMargins left="0.7" right="0.7" top="0.75" bottom="0.75" header="0.3" footer="0.3"/>
</worksheet>
</file>

<file path=xl/worksheets/sheet9.xml><?xml version="1.0" encoding="utf-8"?>
<worksheet xmlns="http://schemas.openxmlformats.org/spreadsheetml/2006/main">
  <sheetPr codeName="Sheet9">
    <tabColor rgb="FF002060"/>
    <outlinePr summaryBelow="1" summaryRight="1"/>
    <pageSetUpPr/>
  </sheetPr>
  <dimension ref="A1:P82"/>
  <sheetViews>
    <sheetView showGridLines="0" topLeftCell="A56" zoomScaleNormal="100" workbookViewId="0">
      <selection activeCell="C75" sqref="C75"/>
    </sheetView>
  </sheetViews>
  <sheetFormatPr baseColWidth="8" defaultRowHeight="14.4"/>
  <cols>
    <col width="31.5546875" customWidth="1" style="1262" min="1" max="1"/>
    <col width="12.88671875" customWidth="1" style="107" min="2" max="9"/>
    <col width="12.21875" customWidth="1" style="1262" min="10" max="10"/>
    <col width="10.6640625" customWidth="1" style="1262" min="11" max="11"/>
    <col width="8.88671875" customWidth="1" style="1262" min="12" max="16384"/>
  </cols>
  <sheetData>
    <row r="1" ht="25.8" customHeight="1">
      <c r="A1" s="1133" t="inlineStr">
        <is>
          <t>STEEL DEMAND MODEL</t>
        </is>
      </c>
    </row>
    <row r="2" ht="15" customHeight="1" thickBot="1">
      <c r="A2" s="1136" t="inlineStr">
        <is>
          <t>Industry Financial Model  |  Indian Steel Industry  |  Horizon FY2027E-FY2033E  |  Base year FY2026A</t>
        </is>
      </c>
    </row>
    <row r="3" ht="16.2" customHeight="1" thickBot="1">
      <c r="A3" s="1167" t="n"/>
      <c r="M3" s="1400" t="inlineStr">
        <is>
          <t>Active Scenario</t>
        </is>
      </c>
      <c r="N3" s="1401" t="n"/>
      <c r="O3" s="1402">
        <f>'Control Panel'!$E$17</f>
        <v/>
      </c>
      <c r="P3" s="1354" t="n"/>
    </row>
    <row r="4">
      <c r="A4" s="1145" t="inlineStr">
        <is>
          <t>OBJECTIVE</t>
        </is>
      </c>
    </row>
    <row r="5">
      <c r="A5" s="1134" t="inlineStr">
        <is>
          <t>Forecasts India's apparent finished steel consumption, the demand anchor for the whole model.</t>
        </is>
      </c>
    </row>
    <row r="6">
      <c r="A6" s="1134" t="n"/>
      <c r="B6" s="311" t="n"/>
      <c r="C6" s="311" t="n"/>
      <c r="D6" s="311" t="n"/>
      <c r="E6" s="311" t="n"/>
      <c r="F6" s="311" t="n"/>
      <c r="G6" s="311" t="n"/>
      <c r="H6" s="311" t="n"/>
      <c r="I6" s="311" t="n"/>
      <c r="J6" s="1134" t="n"/>
    </row>
    <row r="7" ht="16.2" customHeight="1" thickBot="1">
      <c r="A7" s="1157" t="inlineStr">
        <is>
          <t>Executive Summary</t>
        </is>
      </c>
      <c r="B7" s="444" t="n"/>
      <c r="C7" s="444" t="n"/>
      <c r="D7" s="444" t="n"/>
      <c r="E7" s="444" t="n"/>
      <c r="F7" s="444" t="n"/>
      <c r="G7" s="444" t="n"/>
      <c r="H7" s="444" t="n"/>
      <c r="I7" s="444" t="n"/>
      <c r="J7" s="1134" t="n"/>
    </row>
    <row r="8" ht="15.6" customHeight="1" thickBot="1" thickTop="1">
      <c r="A8" s="328" t="inlineStr">
        <is>
          <t>Metric</t>
        </is>
      </c>
      <c r="B8" s="332" t="inlineStr">
        <is>
          <t>FY26A</t>
        </is>
      </c>
      <c r="C8" s="332" t="inlineStr">
        <is>
          <t>FY27E</t>
        </is>
      </c>
      <c r="D8" s="332" t="inlineStr">
        <is>
          <t>FY28E</t>
        </is>
      </c>
      <c r="E8" s="332" t="inlineStr">
        <is>
          <t>FY29E</t>
        </is>
      </c>
      <c r="F8" s="332" t="inlineStr">
        <is>
          <t>FY30E</t>
        </is>
      </c>
      <c r="G8" s="332" t="inlineStr">
        <is>
          <t>FY31E</t>
        </is>
      </c>
      <c r="H8" s="332" t="inlineStr">
        <is>
          <t>FY32E</t>
        </is>
      </c>
      <c r="I8" s="900" t="inlineStr">
        <is>
          <t>FY33E</t>
        </is>
      </c>
      <c r="J8" s="1237" t="inlineStr">
        <is>
          <t>Audit Code</t>
        </is>
      </c>
    </row>
    <row r="9" ht="15" customHeight="1" thickTop="1">
      <c r="A9" s="896" t="inlineStr">
        <is>
          <t>Apparent Steel Consumption (Mt)</t>
        </is>
      </c>
      <c r="B9" s="1420">
        <f>$C$75</f>
        <v/>
      </c>
      <c r="C9" s="1420">
        <f>$D$75</f>
        <v/>
      </c>
      <c r="D9" s="1420">
        <f>$E$75</f>
        <v/>
      </c>
      <c r="E9" s="1420">
        <f>$F$75</f>
        <v/>
      </c>
      <c r="F9" s="1420">
        <f>$G$75</f>
        <v/>
      </c>
      <c r="G9" s="1420">
        <f>$H$75</f>
        <v/>
      </c>
      <c r="H9" s="1420">
        <f>$I$75</f>
        <v/>
      </c>
      <c r="I9" s="1426">
        <f>$J$75</f>
        <v/>
      </c>
      <c r="J9" s="860" t="inlineStr">
        <is>
          <t>SD01</t>
        </is>
      </c>
      <c r="K9" s="903" t="n"/>
      <c r="L9" s="903" t="n"/>
      <c r="M9" s="903" t="n"/>
      <c r="N9" s="903" t="n"/>
      <c r="O9" s="903" t="n"/>
      <c r="P9" s="903" t="n"/>
    </row>
    <row r="10">
      <c r="A10" s="897" t="inlineStr">
        <is>
          <t>Demand Growth (%)</t>
        </is>
      </c>
      <c r="B10" s="1427">
        <f>$C$74</f>
        <v/>
      </c>
      <c r="C10" s="1427">
        <f>$D$74</f>
        <v/>
      </c>
      <c r="D10" s="1427">
        <f>$E$74</f>
        <v/>
      </c>
      <c r="E10" s="1427">
        <f>$F$74</f>
        <v/>
      </c>
      <c r="F10" s="1427">
        <f>$G$74</f>
        <v/>
      </c>
      <c r="G10" s="1427">
        <f>$H$74</f>
        <v/>
      </c>
      <c r="H10" s="1427">
        <f>$I$74</f>
        <v/>
      </c>
      <c r="I10" s="1428">
        <f>$J$74</f>
        <v/>
      </c>
      <c r="J10" s="860" t="inlineStr">
        <is>
          <t>SD02</t>
        </is>
      </c>
      <c r="K10" s="903" t="n"/>
      <c r="L10" s="903" t="n"/>
      <c r="M10" s="903" t="n"/>
      <c r="N10" s="903" t="n"/>
      <c r="O10" s="903" t="n"/>
      <c r="P10" s="903" t="n"/>
    </row>
    <row r="11">
      <c r="A11" s="897" t="inlineStr">
        <is>
          <t>Per Capita Consumption (kg)</t>
        </is>
      </c>
      <c r="B11" s="1421">
        <f>$C$80</f>
        <v/>
      </c>
      <c r="C11" s="1421">
        <f>$D$80</f>
        <v/>
      </c>
      <c r="D11" s="1421">
        <f>$E$80</f>
        <v/>
      </c>
      <c r="E11" s="1421">
        <f>$F$80</f>
        <v/>
      </c>
      <c r="F11" s="1421">
        <f>$G$80</f>
        <v/>
      </c>
      <c r="G11" s="1421">
        <f>$H$80</f>
        <v/>
      </c>
      <c r="H11" s="1421">
        <f>$I$80</f>
        <v/>
      </c>
      <c r="I11" s="1429">
        <f>$J$80</f>
        <v/>
      </c>
      <c r="J11" s="860" t="inlineStr">
        <is>
          <t>SD03</t>
        </is>
      </c>
      <c r="K11" s="903" t="n"/>
      <c r="L11" s="903" t="n"/>
      <c r="M11" s="903" t="n"/>
      <c r="N11" s="903" t="n"/>
      <c r="O11" s="903" t="n"/>
      <c r="P11" s="903" t="n"/>
    </row>
    <row r="12">
      <c r="A12" s="897" t="inlineStr">
        <is>
          <t>Domestic Demand Share (%)</t>
        </is>
      </c>
      <c r="B12" s="1430">
        <f>IFERROR(C75/(C75+'Trade Model'!C72),"")</f>
        <v/>
      </c>
      <c r="C12" s="1430">
        <f>IFERROR(D75/(D75+'Trade Model'!D72),"")</f>
        <v/>
      </c>
      <c r="D12" s="1430">
        <f>IFERROR(E75/(E75+'Trade Model'!E72),"")</f>
        <v/>
      </c>
      <c r="E12" s="1430">
        <f>IFERROR(F75/(F75+'Trade Model'!F72),"")</f>
        <v/>
      </c>
      <c r="F12" s="1430">
        <f>IFERROR(G75/(G75+'Trade Model'!G72),"")</f>
        <v/>
      </c>
      <c r="G12" s="1430">
        <f>IFERROR(H75/(H75+'Trade Model'!H72),"")</f>
        <v/>
      </c>
      <c r="H12" s="1430">
        <f>IFERROR(I75/(I75+'Trade Model'!I72),"")</f>
        <v/>
      </c>
      <c r="I12" s="1431">
        <f>IFERROR(J75/(J75+'Trade Model'!J72),"")</f>
        <v/>
      </c>
      <c r="J12" s="860" t="inlineStr">
        <is>
          <t>SD04</t>
        </is>
      </c>
      <c r="K12" s="903" t="n"/>
      <c r="L12" s="903" t="n"/>
      <c r="M12" s="903" t="n"/>
      <c r="N12" s="903" t="n"/>
      <c r="O12" s="903" t="n"/>
      <c r="P12" s="903" t="n"/>
    </row>
    <row r="13" ht="15" customHeight="1" thickBot="1">
      <c r="A13" s="898" t="inlineStr">
        <is>
          <t>CAGR (FY26–FY33)</t>
        </is>
      </c>
      <c r="B13" s="1432" t="n"/>
      <c r="C13" s="1432">
        <f>(C9-B9)/B9</f>
        <v/>
      </c>
      <c r="D13" s="1432">
        <f>(D9-C9)/C9</f>
        <v/>
      </c>
      <c r="E13" s="1432">
        <f>(E9-D9)/D9</f>
        <v/>
      </c>
      <c r="F13" s="1432">
        <f>(F9-E9)/E9</f>
        <v/>
      </c>
      <c r="G13" s="1432">
        <f>(G9-F9)/F9</f>
        <v/>
      </c>
      <c r="H13" s="1432">
        <f>(H9-G9)/G9</f>
        <v/>
      </c>
      <c r="I13" s="1433">
        <f>(I9-H9)/H9</f>
        <v/>
      </c>
      <c r="J13" s="860" t="inlineStr">
        <is>
          <t>SD05</t>
        </is>
      </c>
      <c r="K13" s="903" t="n"/>
      <c r="L13" s="903" t="n"/>
      <c r="M13" s="903" t="n"/>
      <c r="N13" s="903" t="n"/>
      <c r="O13" s="903" t="n"/>
      <c r="P13" s="903" t="n"/>
    </row>
    <row r="14">
      <c r="A14" s="1134" t="n"/>
      <c r="B14" s="311" t="n"/>
      <c r="C14" s="311" t="n"/>
      <c r="D14" s="311" t="n"/>
      <c r="E14" s="311" t="n"/>
      <c r="F14" s="311" t="n"/>
      <c r="G14" s="311" t="n"/>
      <c r="H14" s="311" t="n"/>
      <c r="I14" s="311" t="n"/>
      <c r="J14" s="1134" t="n"/>
    </row>
    <row r="15">
      <c r="A15" s="1134" t="n"/>
      <c r="B15" s="311" t="n"/>
      <c r="C15" s="311" t="n"/>
      <c r="D15" s="311" t="n"/>
      <c r="E15" s="311" t="n"/>
      <c r="F15" s="311" t="n"/>
      <c r="G15" s="311" t="n"/>
      <c r="H15" s="311" t="n"/>
      <c r="I15" s="311" t="n"/>
      <c r="J15" s="1134" t="n"/>
    </row>
    <row r="16" ht="15.6" customHeight="1">
      <c r="A16" s="1184" t="inlineStr">
        <is>
          <t>Historical Demand</t>
        </is>
      </c>
      <c r="J16" s="1134" t="n"/>
    </row>
    <row r="17" ht="28.8" customHeight="1">
      <c r="A17" s="1193" t="inlineStr">
        <is>
          <t>Year</t>
        </is>
      </c>
      <c r="B17" s="1237" t="inlineStr">
        <is>
          <t>Consumption (Mt)</t>
        </is>
      </c>
      <c r="C17" s="1237" t="inlineStr">
        <is>
          <t>Growth %</t>
        </is>
      </c>
      <c r="D17" s="1237" t="inlineStr">
        <is>
          <t>Source</t>
        </is>
      </c>
      <c r="E17" s="1360" t="n"/>
      <c r="F17" s="1237" t="inlineStr">
        <is>
          <t>Audit Code</t>
        </is>
      </c>
      <c r="G17" s="311" t="n"/>
      <c r="H17" s="311" t="n"/>
      <c r="I17" s="311" t="n"/>
      <c r="J17" s="1134" t="n"/>
    </row>
    <row r="18">
      <c r="A18" s="1199" t="inlineStr">
        <is>
          <t>FY21</t>
        </is>
      </c>
      <c r="B18" s="1434">
        <f>'[1]Demand &amp; Consumption'!$C$6</f>
        <v/>
      </c>
      <c r="C18" s="1435" t="n">
        <v>-0.0527</v>
      </c>
      <c r="D18" s="1238" t="inlineStr">
        <is>
          <t>JPC / Ministry of Steel</t>
        </is>
      </c>
      <c r="E18" s="1360" t="n"/>
      <c r="F18" s="860" t="inlineStr">
        <is>
          <t>SD06</t>
        </is>
      </c>
      <c r="G18" s="311" t="n"/>
      <c r="H18" s="311" t="n"/>
      <c r="I18" s="311" t="n"/>
      <c r="J18" s="1134" t="n"/>
    </row>
    <row r="19">
      <c r="A19" s="1199" t="inlineStr">
        <is>
          <t>FY22</t>
        </is>
      </c>
      <c r="B19" s="1434">
        <f>'[1]Demand &amp; Consumption'!$D$6</f>
        <v/>
      </c>
      <c r="C19" s="1430">
        <f>(B19-B18)/B18</f>
        <v/>
      </c>
      <c r="D19" s="1238" t="inlineStr">
        <is>
          <t>JPC / Ministry of Steel</t>
        </is>
      </c>
      <c r="E19" s="1360" t="n"/>
      <c r="F19" s="860" t="inlineStr">
        <is>
          <t>SD07</t>
        </is>
      </c>
      <c r="G19" s="904" t="n"/>
      <c r="H19" s="311" t="n"/>
      <c r="I19" s="311" t="n"/>
      <c r="J19" s="1134" t="n"/>
    </row>
    <row r="20">
      <c r="A20" s="1199" t="inlineStr">
        <is>
          <t>FY23</t>
        </is>
      </c>
      <c r="B20" s="1434">
        <f>'[1]Demand &amp; Consumption'!$E$6</f>
        <v/>
      </c>
      <c r="C20" s="1430">
        <f>(B20-B19)/B19</f>
        <v/>
      </c>
      <c r="D20" s="1238" t="inlineStr">
        <is>
          <t>JPC / Ministry of Steel</t>
        </is>
      </c>
      <c r="E20" s="1360" t="n"/>
      <c r="F20" s="860" t="inlineStr">
        <is>
          <t>SD08</t>
        </is>
      </c>
      <c r="G20" s="311" t="n"/>
      <c r="H20" s="311" t="n"/>
      <c r="I20" s="311" t="n"/>
      <c r="J20" s="1134" t="n"/>
    </row>
    <row r="21">
      <c r="A21" s="1199" t="inlineStr">
        <is>
          <t>FY24</t>
        </is>
      </c>
      <c r="B21" s="1434">
        <f>'[1]Demand &amp; Consumption'!$F$6</f>
        <v/>
      </c>
      <c r="C21" s="1430">
        <f>(B21-B20)/B20</f>
        <v/>
      </c>
      <c r="D21" s="1238" t="inlineStr">
        <is>
          <t>JPC / Ministry of Steel</t>
        </is>
      </c>
      <c r="E21" s="1360" t="n"/>
      <c r="F21" s="860" t="inlineStr">
        <is>
          <t>SD09</t>
        </is>
      </c>
      <c r="G21" s="311" t="n"/>
      <c r="H21" s="311" t="n"/>
      <c r="I21" s="311" t="n"/>
      <c r="J21" s="1134" t="n"/>
    </row>
    <row r="22">
      <c r="A22" s="1199" t="inlineStr">
        <is>
          <t>FY25</t>
        </is>
      </c>
      <c r="B22" s="1434">
        <f>'[1]Demand &amp; Consumption'!$G$6</f>
        <v/>
      </c>
      <c r="C22" s="1430">
        <f>(B22-B21)/B21</f>
        <v/>
      </c>
      <c r="D22" s="1238" t="inlineStr">
        <is>
          <t>JPC / Ministry of Steel</t>
        </is>
      </c>
      <c r="E22" s="1360" t="n"/>
      <c r="F22" s="860" t="inlineStr">
        <is>
          <t>SD10</t>
        </is>
      </c>
      <c r="G22" s="311" t="n"/>
      <c r="H22" s="311" t="n"/>
      <c r="I22" s="311" t="n"/>
      <c r="J22" s="1134" t="n"/>
    </row>
    <row r="23">
      <c r="A23" s="1199" t="inlineStr">
        <is>
          <t>FY26</t>
        </is>
      </c>
      <c r="B23" s="1434">
        <f>'[1]Demand &amp; Consumption'!$H$6</f>
        <v/>
      </c>
      <c r="C23" s="1430">
        <f>(B23-B22)/B22</f>
        <v/>
      </c>
      <c r="D23" s="1238" t="inlineStr">
        <is>
          <t>JPC / Ministry of Steel</t>
        </is>
      </c>
      <c r="E23" s="1360" t="n"/>
      <c r="F23" s="860" t="inlineStr">
        <is>
          <t>SD11</t>
        </is>
      </c>
      <c r="G23" s="311" t="n"/>
      <c r="H23" s="311" t="n"/>
      <c r="I23" s="311" t="n"/>
      <c r="J23" s="1134" t="n"/>
    </row>
    <row r="24">
      <c r="A24" s="1134" t="n"/>
      <c r="B24" s="311" t="n"/>
      <c r="C24" s="311" t="n"/>
      <c r="D24" s="311" t="n"/>
      <c r="E24" s="311" t="n"/>
      <c r="F24" s="311" t="n"/>
      <c r="G24" s="311" t="n"/>
      <c r="H24" s="311" t="n"/>
      <c r="I24" s="311" t="n"/>
      <c r="J24" s="1134" t="n"/>
    </row>
    <row r="25">
      <c r="A25" s="1134" t="n"/>
      <c r="B25" s="311" t="n"/>
      <c r="C25" s="311" t="n"/>
      <c r="D25" s="311" t="n"/>
      <c r="E25" s="311" t="n"/>
      <c r="F25" s="311" t="n"/>
      <c r="G25" s="311" t="n"/>
      <c r="H25" s="311" t="n"/>
      <c r="I25" s="311" t="n"/>
      <c r="J25" s="1134" t="n"/>
    </row>
    <row r="26" ht="16.2" customHeight="1" thickBot="1">
      <c r="A26" s="1184" t="inlineStr">
        <is>
          <t>Per Capita Analysis</t>
        </is>
      </c>
      <c r="J26" s="1134" t="n"/>
    </row>
    <row r="27" ht="43.8" customHeight="1" thickBot="1">
      <c r="A27" s="284" t="inlineStr">
        <is>
          <t>Year</t>
        </is>
      </c>
      <c r="B27" s="469" t="inlineStr">
        <is>
          <t>Population (Mn)</t>
        </is>
      </c>
      <c r="C27" s="469" t="inlineStr">
        <is>
          <t>Steel Consumption (Mt)</t>
        </is>
      </c>
      <c r="D27" s="471" t="inlineStr">
        <is>
          <t>Per Capita (kg)</t>
        </is>
      </c>
      <c r="E27" s="1237" t="inlineStr">
        <is>
          <t>Audit Code</t>
        </is>
      </c>
      <c r="F27" s="311" t="n"/>
      <c r="G27" s="311" t="n"/>
      <c r="H27" s="311" t="n"/>
      <c r="I27" s="311" t="n"/>
      <c r="J27" s="1134" t="n"/>
    </row>
    <row r="28" ht="15" customHeight="1" thickTop="1">
      <c r="A28" s="206" t="inlineStr">
        <is>
          <t>FY26</t>
        </is>
      </c>
      <c r="B28" s="1436">
        <f>$C$78*1000</f>
        <v/>
      </c>
      <c r="C28" s="1436">
        <f>$C$75</f>
        <v/>
      </c>
      <c r="D28" s="1437">
        <f>IFERROR(C28/B28*1000,"")</f>
        <v/>
      </c>
      <c r="E28" s="860" t="inlineStr">
        <is>
          <t>SD12</t>
        </is>
      </c>
      <c r="F28" s="311" t="n"/>
      <c r="G28" s="311" t="n"/>
      <c r="H28" s="311" t="n"/>
      <c r="I28" s="311" t="n"/>
      <c r="J28" s="1134" t="n"/>
    </row>
    <row r="29">
      <c r="A29" s="207" t="inlineStr">
        <is>
          <t>FY27</t>
        </is>
      </c>
      <c r="B29" s="1438">
        <f>$D$78*1000</f>
        <v/>
      </c>
      <c r="C29" s="1438">
        <f>$D$75</f>
        <v/>
      </c>
      <c r="D29" s="1439">
        <f>IFERROR(C29/B29*1000,"")</f>
        <v/>
      </c>
      <c r="E29" s="860" t="inlineStr">
        <is>
          <t>SD13</t>
        </is>
      </c>
      <c r="F29" s="311" t="n"/>
      <c r="G29" s="311" t="n"/>
      <c r="H29" s="311" t="n"/>
      <c r="I29" s="311" t="n"/>
      <c r="J29" s="1134" t="n"/>
    </row>
    <row r="30">
      <c r="A30" s="207" t="inlineStr">
        <is>
          <t>FY28</t>
        </is>
      </c>
      <c r="B30" s="1438">
        <f>$E$78*1000</f>
        <v/>
      </c>
      <c r="C30" s="1438">
        <f>$E$75</f>
        <v/>
      </c>
      <c r="D30" s="1439">
        <f>IFERROR(C30/B30*1000,"")</f>
        <v/>
      </c>
      <c r="E30" s="860" t="inlineStr">
        <is>
          <t>SD14</t>
        </is>
      </c>
      <c r="F30" s="311" t="n"/>
      <c r="G30" s="311" t="n"/>
      <c r="H30" s="311" t="n"/>
      <c r="I30" s="311" t="n"/>
      <c r="J30" s="1134" t="n"/>
    </row>
    <row r="31">
      <c r="A31" s="207" t="inlineStr">
        <is>
          <t>FY29</t>
        </is>
      </c>
      <c r="B31" s="1438">
        <f>$F$78*1000</f>
        <v/>
      </c>
      <c r="C31" s="1438">
        <f>$F$75</f>
        <v/>
      </c>
      <c r="D31" s="1439">
        <f>IFERROR(C31/B31*1000,"")</f>
        <v/>
      </c>
      <c r="E31" s="860" t="inlineStr">
        <is>
          <t>SD15</t>
        </is>
      </c>
      <c r="F31" s="311" t="n"/>
      <c r="G31" s="311" t="n"/>
      <c r="H31" s="311" t="n"/>
      <c r="I31" s="311" t="n"/>
      <c r="J31" s="1134" t="n"/>
    </row>
    <row r="32">
      <c r="A32" s="207" t="inlineStr">
        <is>
          <t>FY30</t>
        </is>
      </c>
      <c r="B32" s="1438">
        <f>$G$78*1000</f>
        <v/>
      </c>
      <c r="C32" s="1438">
        <f>$G$75</f>
        <v/>
      </c>
      <c r="D32" s="1439">
        <f>IFERROR(C32/B32*1000,"")</f>
        <v/>
      </c>
      <c r="E32" s="860" t="inlineStr">
        <is>
          <t>SD16</t>
        </is>
      </c>
      <c r="F32" s="311" t="n"/>
      <c r="G32" s="311" t="n"/>
      <c r="H32" s="311" t="n"/>
      <c r="I32" s="311" t="n"/>
      <c r="J32" s="1134" t="n"/>
    </row>
    <row r="33">
      <c r="A33" s="207" t="inlineStr">
        <is>
          <t>FY31</t>
        </is>
      </c>
      <c r="B33" s="1438">
        <f>$H$78*1000</f>
        <v/>
      </c>
      <c r="C33" s="1438">
        <f>$H$75</f>
        <v/>
      </c>
      <c r="D33" s="1439">
        <f>IFERROR(C33/B33*1000,"")</f>
        <v/>
      </c>
      <c r="E33" s="860" t="inlineStr">
        <is>
          <t>SD17</t>
        </is>
      </c>
      <c r="F33" s="311" t="n"/>
      <c r="G33" s="311" t="n"/>
      <c r="H33" s="311" t="n"/>
      <c r="I33" s="311" t="n"/>
      <c r="J33" s="1134" t="n"/>
    </row>
    <row r="34">
      <c r="A34" s="207" t="inlineStr">
        <is>
          <t>FY32</t>
        </is>
      </c>
      <c r="B34" s="1438">
        <f>$I$78*1000</f>
        <v/>
      </c>
      <c r="C34" s="1438">
        <f>$I$75</f>
        <v/>
      </c>
      <c r="D34" s="1439">
        <f>IFERROR(C34/B34*1000,"")</f>
        <v/>
      </c>
      <c r="E34" s="860" t="inlineStr">
        <is>
          <t>SD18</t>
        </is>
      </c>
      <c r="F34" s="311" t="n"/>
      <c r="G34" s="311" t="n"/>
      <c r="H34" s="311" t="n"/>
      <c r="I34" s="311" t="n"/>
      <c r="J34" s="1134" t="n"/>
    </row>
    <row r="35" ht="15" customHeight="1" thickBot="1">
      <c r="A35" s="208" t="inlineStr">
        <is>
          <t>FY33</t>
        </is>
      </c>
      <c r="B35" s="1440">
        <f>$J$78*1000</f>
        <v/>
      </c>
      <c r="C35" s="1440">
        <f>$J$75</f>
        <v/>
      </c>
      <c r="D35" s="1441">
        <f>IFERROR(C35/B35*1000,"")</f>
        <v/>
      </c>
      <c r="E35" s="860" t="inlineStr">
        <is>
          <t>SD19</t>
        </is>
      </c>
      <c r="F35" s="311" t="n"/>
      <c r="G35" s="311" t="n"/>
      <c r="H35" s="311" t="n"/>
      <c r="I35" s="311" t="n"/>
      <c r="J35" s="1134" t="n"/>
    </row>
    <row r="36">
      <c r="A36" s="1134" t="n"/>
      <c r="B36" s="311" t="n"/>
      <c r="C36" s="311" t="n"/>
      <c r="D36" s="311" t="n"/>
      <c r="E36" s="311" t="n"/>
      <c r="F36" s="311" t="n"/>
      <c r="G36" s="311" t="n"/>
      <c r="H36" s="311" t="n"/>
      <c r="I36" s="311" t="n"/>
      <c r="J36" s="1134" t="n"/>
    </row>
    <row r="37">
      <c r="A37" s="1134" t="n"/>
      <c r="B37" s="311" t="n"/>
      <c r="C37" s="311" t="n"/>
      <c r="D37" s="311" t="n"/>
      <c r="E37" s="311" t="n"/>
      <c r="F37" s="311" t="n"/>
      <c r="G37" s="311" t="n"/>
      <c r="H37" s="311" t="n"/>
      <c r="I37" s="311" t="n"/>
      <c r="J37" s="1134" t="n"/>
    </row>
    <row r="38" ht="16.2" customHeight="1" thickBot="1">
      <c r="A38" s="1184" t="inlineStr">
        <is>
          <t>International Comparision</t>
        </is>
      </c>
      <c r="J38" s="1134" t="n"/>
    </row>
    <row r="39" ht="15" customHeight="1" thickBot="1">
      <c r="A39" s="284" t="inlineStr">
        <is>
          <t>Country</t>
        </is>
      </c>
      <c r="B39" s="1205" t="inlineStr">
        <is>
          <t>Per Capita Steel Consumption (kg)</t>
        </is>
      </c>
      <c r="C39" s="1442" t="n"/>
      <c r="D39" s="1443" t="n"/>
      <c r="E39" s="1237" t="inlineStr">
        <is>
          <t>Audit Code</t>
        </is>
      </c>
      <c r="F39" s="311" t="n"/>
      <c r="G39" s="311" t="n"/>
      <c r="H39" s="311" t="n"/>
      <c r="I39" s="311" t="n"/>
      <c r="J39" s="1134" t="n"/>
    </row>
    <row r="40" ht="15" customHeight="1" thickTop="1">
      <c r="A40" s="206" t="inlineStr">
        <is>
          <t>India</t>
        </is>
      </c>
      <c r="B40" s="1444">
        <f>C80</f>
        <v/>
      </c>
      <c r="C40" s="1339" t="n"/>
      <c r="D40" s="1340" t="n"/>
      <c r="E40" s="860" t="inlineStr">
        <is>
          <t>SD20</t>
        </is>
      </c>
      <c r="F40" s="311" t="n"/>
      <c r="G40" s="311" t="n"/>
      <c r="H40" s="311" t="n"/>
      <c r="I40" s="311" t="n"/>
      <c r="J40" s="1134" t="n"/>
    </row>
    <row r="41">
      <c r="A41" s="207" t="inlineStr">
        <is>
          <t>China</t>
        </is>
      </c>
      <c r="B41" s="1445" t="n">
        <v>604</v>
      </c>
      <c r="C41" s="1342" t="n"/>
      <c r="D41" s="1343" t="n"/>
      <c r="E41" s="860" t="inlineStr">
        <is>
          <t>SD21</t>
        </is>
      </c>
      <c r="F41" s="311" t="n"/>
      <c r="G41" s="311" t="n"/>
      <c r="H41" s="311" t="n"/>
      <c r="I41" s="311" t="n"/>
      <c r="J41" s="1134" t="n"/>
    </row>
    <row r="42">
      <c r="A42" s="207" t="inlineStr">
        <is>
          <t>Japan</t>
        </is>
      </c>
      <c r="B42" s="1446" t="n"/>
      <c r="C42" s="1342" t="n"/>
      <c r="D42" s="1343" t="n"/>
      <c r="E42" s="860" t="inlineStr">
        <is>
          <t>SD22</t>
        </is>
      </c>
      <c r="F42" s="311" t="n"/>
      <c r="G42" s="311" t="n"/>
      <c r="H42" s="311" t="n"/>
      <c r="I42" s="311" t="n"/>
      <c r="J42" s="1134" t="n"/>
    </row>
    <row r="43">
      <c r="A43" s="207" t="inlineStr">
        <is>
          <t>South Korea</t>
        </is>
      </c>
      <c r="B43" s="1446" t="n"/>
      <c r="C43" s="1342" t="n"/>
      <c r="D43" s="1343" t="n"/>
      <c r="E43" s="860" t="inlineStr">
        <is>
          <t>SD23</t>
        </is>
      </c>
      <c r="F43" s="311" t="n"/>
      <c r="G43" s="311" t="n"/>
      <c r="H43" s="311" t="n"/>
      <c r="I43" s="311" t="n"/>
      <c r="J43" s="1134" t="n"/>
    </row>
    <row r="44">
      <c r="A44" s="207" t="inlineStr">
        <is>
          <t>USA</t>
        </is>
      </c>
      <c r="B44" s="1446" t="n"/>
      <c r="C44" s="1342" t="n"/>
      <c r="D44" s="1343" t="n"/>
      <c r="E44" s="860" t="inlineStr">
        <is>
          <t>SD24</t>
        </is>
      </c>
      <c r="F44" s="311" t="n"/>
      <c r="G44" s="311" t="n"/>
      <c r="H44" s="311" t="n"/>
      <c r="I44" s="311" t="n"/>
      <c r="J44" s="1134" t="n"/>
    </row>
    <row r="45" ht="15" customHeight="1" thickBot="1">
      <c r="A45" s="208" t="inlineStr">
        <is>
          <t>Global Average</t>
        </is>
      </c>
      <c r="B45" s="1447" t="n">
        <v>215</v>
      </c>
      <c r="C45" s="1424" t="n"/>
      <c r="D45" s="1448" t="n"/>
      <c r="E45" s="860" t="inlineStr">
        <is>
          <t>SD25</t>
        </is>
      </c>
      <c r="F45" s="311" t="n"/>
      <c r="G45" s="311" t="n"/>
      <c r="H45" s="311" t="n"/>
      <c r="I45" s="311" t="n"/>
      <c r="J45" s="1134" t="n"/>
    </row>
    <row r="46">
      <c r="A46" s="1134" t="n"/>
      <c r="B46" s="311" t="n"/>
      <c r="C46" s="311" t="n"/>
      <c r="D46" s="311" t="n"/>
      <c r="E46" s="311" t="n"/>
      <c r="F46" s="311" t="n"/>
      <c r="G46" s="311" t="n"/>
      <c r="H46" s="311" t="n"/>
      <c r="I46" s="311" t="n"/>
      <c r="J46" s="1134" t="n"/>
    </row>
    <row r="47">
      <c r="A47" s="1134" t="n"/>
      <c r="B47" s="311" t="n"/>
      <c r="C47" s="311" t="n"/>
      <c r="D47" s="311" t="n"/>
      <c r="E47" s="311" t="n"/>
      <c r="F47" s="311" t="n"/>
      <c r="G47" s="311" t="n"/>
      <c r="H47" s="311" t="n"/>
      <c r="I47" s="311" t="n"/>
      <c r="J47" s="1134" t="n"/>
    </row>
    <row r="48" ht="16.2" customHeight="1" thickBot="1">
      <c r="A48" s="1184" t="inlineStr">
        <is>
          <t>Demand Forecast</t>
        </is>
      </c>
      <c r="J48" s="1134" t="n"/>
    </row>
    <row r="49" ht="29.4" customHeight="1" thickBot="1">
      <c r="A49" s="284" t="inlineStr">
        <is>
          <t>Year</t>
        </is>
      </c>
      <c r="B49" s="469" t="inlineStr">
        <is>
          <t>Base Demand</t>
        </is>
      </c>
      <c r="C49" s="469" t="inlineStr">
        <is>
          <t>Macro Adjustment</t>
        </is>
      </c>
      <c r="D49" s="1449" t="inlineStr">
        <is>
          <t>Sector Adjustment</t>
        </is>
      </c>
      <c r="E49" s="471" t="inlineStr">
        <is>
          <t>Final Demand</t>
        </is>
      </c>
      <c r="F49" s="1237" t="inlineStr">
        <is>
          <t>Audit Code</t>
        </is>
      </c>
      <c r="G49" s="311" t="n"/>
      <c r="H49" s="311" t="n"/>
      <c r="I49" s="311" t="n"/>
      <c r="J49" s="1134" t="n"/>
    </row>
    <row r="50" ht="15" customHeight="1" thickTop="1">
      <c r="A50" s="206" t="inlineStr">
        <is>
          <t>FY27</t>
        </is>
      </c>
      <c r="B50" s="1436">
        <f>$C$75</f>
        <v/>
      </c>
      <c r="C50" s="1450">
        <f>1+D$74</f>
        <v/>
      </c>
      <c r="D50" s="1451" t="n">
        <v>1</v>
      </c>
      <c r="E50" s="1452">
        <f>B50*C50*D50</f>
        <v/>
      </c>
      <c r="F50" s="860" t="inlineStr">
        <is>
          <t>SD26</t>
        </is>
      </c>
      <c r="G50" s="311" t="n"/>
      <c r="H50" s="311" t="n"/>
      <c r="I50" s="311" t="n"/>
      <c r="J50" s="1134" t="n"/>
    </row>
    <row r="51">
      <c r="A51" s="207" t="inlineStr">
        <is>
          <t>FY28</t>
        </is>
      </c>
      <c r="B51" s="1438">
        <f>E50</f>
        <v/>
      </c>
      <c r="C51" s="1453">
        <f>1+E$74</f>
        <v/>
      </c>
      <c r="D51" s="1454" t="n">
        <v>1</v>
      </c>
      <c r="E51" s="1452">
        <f>B51*C51*D51</f>
        <v/>
      </c>
      <c r="F51" s="860" t="inlineStr">
        <is>
          <t>SD27</t>
        </is>
      </c>
      <c r="G51" s="311" t="n"/>
      <c r="H51" s="311" t="n"/>
      <c r="I51" s="311" t="n"/>
      <c r="J51" s="1134" t="n"/>
    </row>
    <row r="52">
      <c r="A52" s="207" t="inlineStr">
        <is>
          <t>FY29</t>
        </is>
      </c>
      <c r="B52" s="1438">
        <f>E51</f>
        <v/>
      </c>
      <c r="C52" s="1453">
        <f>1+F$74</f>
        <v/>
      </c>
      <c r="D52" s="1454" t="n">
        <v>1</v>
      </c>
      <c r="E52" s="1452">
        <f>B52*C52*D52</f>
        <v/>
      </c>
      <c r="F52" s="860" t="inlineStr">
        <is>
          <t>SD28</t>
        </is>
      </c>
      <c r="G52" s="311" t="n"/>
      <c r="H52" s="311" t="n"/>
      <c r="I52" s="311" t="n"/>
      <c r="J52" s="1134" t="n"/>
    </row>
    <row r="53">
      <c r="A53" s="207" t="inlineStr">
        <is>
          <t>FY30</t>
        </is>
      </c>
      <c r="B53" s="1438">
        <f>E52</f>
        <v/>
      </c>
      <c r="C53" s="1453">
        <f>1+G$74</f>
        <v/>
      </c>
      <c r="D53" s="1454" t="n">
        <v>1</v>
      </c>
      <c r="E53" s="1452">
        <f>B53*C53*D53</f>
        <v/>
      </c>
      <c r="F53" s="860" t="inlineStr">
        <is>
          <t>SD29</t>
        </is>
      </c>
      <c r="G53" s="311" t="n"/>
      <c r="H53" s="311" t="n"/>
      <c r="I53" s="311" t="n"/>
      <c r="J53" s="1134" t="n"/>
    </row>
    <row r="54">
      <c r="A54" s="207" t="inlineStr">
        <is>
          <t>FY31</t>
        </is>
      </c>
      <c r="B54" s="1438">
        <f>E53</f>
        <v/>
      </c>
      <c r="C54" s="1453">
        <f>1+H$74</f>
        <v/>
      </c>
      <c r="D54" s="1454" t="n">
        <v>1</v>
      </c>
      <c r="E54" s="1452">
        <f>B54*C54*D54</f>
        <v/>
      </c>
      <c r="F54" s="860" t="inlineStr">
        <is>
          <t>SD30</t>
        </is>
      </c>
      <c r="G54" s="311" t="n"/>
      <c r="H54" s="311" t="n"/>
      <c r="I54" s="311" t="n"/>
      <c r="J54" s="1134" t="n"/>
    </row>
    <row r="55">
      <c r="A55" s="207" t="inlineStr">
        <is>
          <t>FY32</t>
        </is>
      </c>
      <c r="B55" s="1438">
        <f>E54</f>
        <v/>
      </c>
      <c r="C55" s="1453">
        <f>1+I$74</f>
        <v/>
      </c>
      <c r="D55" s="1454" t="n">
        <v>1</v>
      </c>
      <c r="E55" s="1452">
        <f>B55*C55*D55</f>
        <v/>
      </c>
      <c r="F55" s="860" t="inlineStr">
        <is>
          <t>SD31</t>
        </is>
      </c>
      <c r="G55" s="311" t="n"/>
      <c r="H55" s="311" t="n"/>
      <c r="I55" s="311" t="n"/>
      <c r="J55" s="1134" t="n"/>
    </row>
    <row r="56" ht="15" customHeight="1" thickBot="1">
      <c r="A56" s="208" t="inlineStr">
        <is>
          <t>FY33</t>
        </is>
      </c>
      <c r="B56" s="1440">
        <f>E55</f>
        <v/>
      </c>
      <c r="C56" s="1455">
        <f>1+J$74</f>
        <v/>
      </c>
      <c r="D56" s="1456" t="n">
        <v>1</v>
      </c>
      <c r="E56" s="1457">
        <f>B56*C56*D56</f>
        <v/>
      </c>
      <c r="F56" s="860" t="inlineStr">
        <is>
          <t>SD32</t>
        </is>
      </c>
      <c r="G56" s="311" t="n"/>
      <c r="H56" s="311" t="n"/>
      <c r="I56" s="311" t="n"/>
      <c r="J56" s="1134" t="n"/>
    </row>
    <row r="57">
      <c r="A57" s="1134" t="n"/>
      <c r="B57" s="311" t="n"/>
      <c r="C57" s="311" t="n"/>
      <c r="D57" s="311" t="n"/>
      <c r="E57" s="311" t="n"/>
      <c r="F57" s="311" t="n"/>
      <c r="G57" s="311" t="n"/>
      <c r="H57" s="311" t="n"/>
      <c r="I57" s="311" t="n"/>
      <c r="J57" s="1134" t="n"/>
    </row>
    <row r="58">
      <c r="A58" s="1134" t="n"/>
      <c r="B58" s="311" t="n"/>
      <c r="C58" s="311" t="n"/>
      <c r="D58" s="311" t="n"/>
      <c r="E58" s="311" t="n"/>
      <c r="F58" s="311" t="n"/>
      <c r="G58" s="311" t="n"/>
      <c r="H58" s="311" t="n"/>
      <c r="I58" s="311" t="n"/>
      <c r="J58" s="1134" t="n"/>
    </row>
    <row r="59" ht="16.2" customHeight="1" thickBot="1">
      <c r="A59" s="1203" t="inlineStr">
        <is>
          <t>Scenario Analysis</t>
        </is>
      </c>
      <c r="B59" s="444" t="n"/>
      <c r="C59" s="444" t="n"/>
      <c r="D59" s="444" t="n"/>
      <c r="E59" s="444" t="n"/>
      <c r="F59" s="1137" t="n"/>
      <c r="G59" s="1137" t="n"/>
      <c r="H59" s="1137" t="n"/>
      <c r="I59" s="1137" t="n"/>
      <c r="J59" s="1134" t="n"/>
    </row>
    <row r="60" ht="15.6" customHeight="1" thickBot="1" thickTop="1">
      <c r="A60" s="326" t="inlineStr">
        <is>
          <t>Year</t>
        </is>
      </c>
      <c r="B60" s="1278" t="inlineStr">
        <is>
          <t>Base</t>
        </is>
      </c>
      <c r="C60" s="1278" t="inlineStr">
        <is>
          <t>Bull</t>
        </is>
      </c>
      <c r="D60" s="1278" t="inlineStr">
        <is>
          <t>Bear</t>
        </is>
      </c>
      <c r="E60" s="1279" t="inlineStr">
        <is>
          <t>Stress</t>
        </is>
      </c>
      <c r="F60" s="311" t="n"/>
      <c r="G60" s="311" t="n"/>
      <c r="H60" s="311" t="n"/>
      <c r="I60" s="311" t="n"/>
      <c r="J60" s="1134" t="n"/>
    </row>
    <row r="61" ht="15" customHeight="1" thickTop="1">
      <c r="A61" s="206" t="inlineStr">
        <is>
          <t>FY27</t>
        </is>
      </c>
      <c r="B61" s="1458">
        <f>'Scenario Manager'!$D$92</f>
        <v/>
      </c>
      <c r="C61" s="1458">
        <f>'Scenario Manager'!$D$159</f>
        <v/>
      </c>
      <c r="D61" s="1458">
        <f>'Scenario Manager'!$D$226</f>
        <v/>
      </c>
      <c r="E61" s="1459">
        <f>'Scenario Manager'!$D$293</f>
        <v/>
      </c>
      <c r="F61" s="311" t="n"/>
      <c r="G61" s="311" t="n"/>
      <c r="H61" s="311" t="n"/>
      <c r="I61" s="311" t="n"/>
      <c r="J61" s="1134" t="n"/>
    </row>
    <row r="62">
      <c r="A62" s="207" t="inlineStr">
        <is>
          <t>FY28</t>
        </is>
      </c>
      <c r="B62" s="1460">
        <f>'Scenario Manager'!$E$92</f>
        <v/>
      </c>
      <c r="C62" s="1458">
        <f>'Scenario Manager'!$E$159</f>
        <v/>
      </c>
      <c r="D62" s="1458">
        <f>'Scenario Manager'!$E$226</f>
        <v/>
      </c>
      <c r="E62" s="1459">
        <f>'Scenario Manager'!$E$293</f>
        <v/>
      </c>
      <c r="F62" s="311" t="n"/>
      <c r="G62" s="311" t="n"/>
      <c r="H62" s="311" t="n"/>
      <c r="I62" s="311" t="n"/>
      <c r="J62" s="1134" t="n"/>
    </row>
    <row r="63">
      <c r="A63" s="207" t="inlineStr">
        <is>
          <t>FY29</t>
        </is>
      </c>
      <c r="B63" s="1460">
        <f>'Scenario Manager'!$F$92</f>
        <v/>
      </c>
      <c r="C63" s="1458">
        <f>'Scenario Manager'!$F$159</f>
        <v/>
      </c>
      <c r="D63" s="1458">
        <f>'Scenario Manager'!$F$226</f>
        <v/>
      </c>
      <c r="E63" s="1459">
        <f>'Scenario Manager'!$F$293</f>
        <v/>
      </c>
      <c r="F63" s="311" t="n"/>
      <c r="G63" s="311" t="n"/>
      <c r="H63" s="311" t="n"/>
      <c r="I63" s="311" t="n"/>
      <c r="J63" s="1134" t="n"/>
    </row>
    <row r="64">
      <c r="A64" s="207" t="inlineStr">
        <is>
          <t>FY30</t>
        </is>
      </c>
      <c r="B64" s="1460">
        <f>'Scenario Manager'!$G$92</f>
        <v/>
      </c>
      <c r="C64" s="1458">
        <f>'Scenario Manager'!$G$159</f>
        <v/>
      </c>
      <c r="D64" s="1458">
        <f>'Scenario Manager'!$G$226</f>
        <v/>
      </c>
      <c r="E64" s="1459">
        <f>'Scenario Manager'!$G$293</f>
        <v/>
      </c>
      <c r="F64" s="311" t="n"/>
      <c r="G64" s="311" t="n"/>
      <c r="H64" s="311" t="n"/>
      <c r="I64" s="311" t="n"/>
      <c r="J64" s="1134" t="n"/>
    </row>
    <row r="65">
      <c r="A65" s="207" t="inlineStr">
        <is>
          <t>FY31</t>
        </is>
      </c>
      <c r="B65" s="1460">
        <f>'Scenario Manager'!$H$92</f>
        <v/>
      </c>
      <c r="C65" s="1458">
        <f>'Scenario Manager'!$H$159</f>
        <v/>
      </c>
      <c r="D65" s="1458">
        <f>'Scenario Manager'!$H$226</f>
        <v/>
      </c>
      <c r="E65" s="1459">
        <f>'Scenario Manager'!$H$293</f>
        <v/>
      </c>
      <c r="F65" s="311" t="n"/>
      <c r="G65" s="311" t="n"/>
      <c r="H65" s="311" t="n"/>
      <c r="I65" s="311" t="n"/>
      <c r="J65" s="1134" t="n"/>
    </row>
    <row r="66">
      <c r="A66" s="207" t="inlineStr">
        <is>
          <t>FY32</t>
        </is>
      </c>
      <c r="B66" s="1460">
        <f>'Scenario Manager'!#REF!</f>
        <v/>
      </c>
      <c r="C66" s="1458">
        <f>'Scenario Manager'!#REF!</f>
        <v/>
      </c>
      <c r="D66" s="1458">
        <f>'Scenario Manager'!#REF!</f>
        <v/>
      </c>
      <c r="E66" s="1459">
        <f>'Scenario Manager'!#REF!</f>
        <v/>
      </c>
      <c r="F66" s="311" t="n"/>
      <c r="G66" s="311" t="n"/>
      <c r="H66" s="311" t="n"/>
      <c r="I66" s="311" t="n"/>
      <c r="J66" s="1134" t="n"/>
    </row>
    <row r="67" ht="15" customHeight="1" thickBot="1">
      <c r="A67" s="208" t="inlineStr">
        <is>
          <t>FY33</t>
        </is>
      </c>
      <c r="B67" s="1461">
        <f>'Scenario Manager'!$I$92</f>
        <v/>
      </c>
      <c r="C67" s="1462">
        <f>'Scenario Manager'!$I$159</f>
        <v/>
      </c>
      <c r="D67" s="1462">
        <f>'Scenario Manager'!$I$226</f>
        <v/>
      </c>
      <c r="E67" s="1463">
        <f>'Scenario Manager'!$I$293</f>
        <v/>
      </c>
      <c r="F67" s="311" t="n"/>
      <c r="G67" s="311" t="n"/>
      <c r="H67" s="311" t="n"/>
      <c r="I67" s="311" t="n"/>
      <c r="J67" s="1134" t="n"/>
    </row>
    <row r="68">
      <c r="A68" s="1134" t="n"/>
      <c r="B68" s="311" t="n"/>
      <c r="C68" s="311" t="n"/>
      <c r="D68" s="311" t="n"/>
      <c r="E68" s="311" t="n"/>
      <c r="F68" s="311" t="n"/>
      <c r="G68" s="311" t="n"/>
      <c r="H68" s="311" t="n"/>
      <c r="I68" s="311" t="n"/>
      <c r="J68" s="1134" t="n"/>
    </row>
    <row r="69">
      <c r="A69" s="1134" t="n"/>
      <c r="B69" s="311" t="n"/>
      <c r="C69" s="311" t="n"/>
      <c r="D69" s="311" t="n"/>
      <c r="E69" s="311" t="n"/>
      <c r="F69" s="311" t="n"/>
      <c r="G69" s="311" t="n"/>
      <c r="H69" s="311" t="n"/>
      <c r="I69" s="311" t="n"/>
      <c r="J69" s="1134" t="n"/>
    </row>
    <row r="70" ht="16.2" customHeight="1" thickBot="1">
      <c r="A70" s="1157" t="inlineStr">
        <is>
          <t>Workbook</t>
        </is>
      </c>
      <c r="B70" s="444" t="n"/>
      <c r="C70" s="444" t="n"/>
      <c r="D70" s="444" t="n"/>
      <c r="E70" s="444" t="n"/>
      <c r="F70" s="444" t="n"/>
      <c r="G70" s="444" t="n"/>
      <c r="H70" s="444" t="n"/>
      <c r="I70" s="444" t="n"/>
      <c r="J70" s="444" t="n"/>
    </row>
    <row r="71" ht="16.8" customHeight="1" thickBot="1" thickTop="1">
      <c r="A71" s="494" t="inlineStr">
        <is>
          <t>Line item</t>
        </is>
      </c>
      <c r="B71" s="495" t="inlineStr">
        <is>
          <t>Unit</t>
        </is>
      </c>
      <c r="C71" s="569" t="inlineStr">
        <is>
          <t>FY2026A</t>
        </is>
      </c>
      <c r="D71" s="569" t="inlineStr">
        <is>
          <t>FY2027E</t>
        </is>
      </c>
      <c r="E71" s="569" t="inlineStr">
        <is>
          <t>FY2028E</t>
        </is>
      </c>
      <c r="F71" s="569" t="inlineStr">
        <is>
          <t>FY2029E</t>
        </is>
      </c>
      <c r="G71" s="569" t="inlineStr">
        <is>
          <t>FY2030E</t>
        </is>
      </c>
      <c r="H71" s="569" t="inlineStr">
        <is>
          <t>FY2031E</t>
        </is>
      </c>
      <c r="I71" s="569" t="inlineStr">
        <is>
          <t>FY2032E</t>
        </is>
      </c>
      <c r="J71" s="905" t="inlineStr">
        <is>
          <t>FY2033E</t>
        </is>
      </c>
      <c r="K71" s="1237" t="inlineStr">
        <is>
          <t>Audit Code</t>
        </is>
      </c>
    </row>
    <row r="72" ht="15" customHeight="1" thickTop="1">
      <c r="A72" s="429" t="inlineStr">
        <is>
          <t>India real GDP growth</t>
        </is>
      </c>
      <c r="B72" s="683" t="inlineStr">
        <is>
          <t>%</t>
        </is>
      </c>
      <c r="C72" s="1464">
        <f>'Model Assumptions'!D8</f>
        <v/>
      </c>
      <c r="D72" s="1464">
        <f>'Model Assumptions'!E8</f>
        <v/>
      </c>
      <c r="E72" s="1464">
        <f>'Model Assumptions'!F8</f>
        <v/>
      </c>
      <c r="F72" s="1464">
        <f>'Model Assumptions'!G8</f>
        <v/>
      </c>
      <c r="G72" s="1464">
        <f>'Model Assumptions'!H8</f>
        <v/>
      </c>
      <c r="H72" s="1464">
        <f>'Model Assumptions'!I8</f>
        <v/>
      </c>
      <c r="I72" s="1464">
        <f>'Model Assumptions'!J8</f>
        <v/>
      </c>
      <c r="J72" s="1465">
        <f>'Model Assumptions'!K8</f>
        <v/>
      </c>
      <c r="K72" s="860" t="inlineStr">
        <is>
          <t>SD33</t>
        </is>
      </c>
    </row>
    <row r="73" ht="16.2" customHeight="1">
      <c r="A73" s="423" t="inlineStr">
        <is>
          <t>Steel demand elasticity to GDP</t>
        </is>
      </c>
      <c r="B73" s="456" t="inlineStr">
        <is>
          <t>x</t>
        </is>
      </c>
      <c r="C73" s="1466">
        <f>'Model Assumptions'!D9</f>
        <v/>
      </c>
      <c r="D73" s="1466">
        <f>'Model Assumptions'!E9</f>
        <v/>
      </c>
      <c r="E73" s="1466">
        <f>'Model Assumptions'!F9</f>
        <v/>
      </c>
      <c r="F73" s="1466">
        <f>'Model Assumptions'!G9</f>
        <v/>
      </c>
      <c r="G73" s="1466">
        <f>'Model Assumptions'!H9</f>
        <v/>
      </c>
      <c r="H73" s="1466">
        <f>'Model Assumptions'!I9</f>
        <v/>
      </c>
      <c r="I73" s="1466">
        <f>'Model Assumptions'!J9</f>
        <v/>
      </c>
      <c r="J73" s="1467">
        <f>'Model Assumptions'!K9</f>
        <v/>
      </c>
      <c r="K73" s="421" t="inlineStr">
        <is>
          <t>SD34</t>
        </is>
      </c>
    </row>
    <row r="74">
      <c r="A74" s="423" t="inlineStr">
        <is>
          <t>Implied consumption growth</t>
        </is>
      </c>
      <c r="B74" s="456" t="inlineStr">
        <is>
          <t>%</t>
        </is>
      </c>
      <c r="C74" s="1468">
        <f>C72*C73</f>
        <v/>
      </c>
      <c r="D74" s="1468">
        <f>D72*D73</f>
        <v/>
      </c>
      <c r="E74" s="1468">
        <f>E72*E73</f>
        <v/>
      </c>
      <c r="F74" s="1468">
        <f>F72*F73</f>
        <v/>
      </c>
      <c r="G74" s="1468">
        <f>G72*G73</f>
        <v/>
      </c>
      <c r="H74" s="1468">
        <f>H72*H73</f>
        <v/>
      </c>
      <c r="I74" s="1468">
        <f>I72*I73</f>
        <v/>
      </c>
      <c r="J74" s="1469">
        <f>J72*J73</f>
        <v/>
      </c>
      <c r="K74" s="860" t="inlineStr">
        <is>
          <t>SD35</t>
        </is>
      </c>
    </row>
    <row r="75" ht="15" customHeight="1">
      <c r="A75" s="480" t="inlineStr">
        <is>
          <t>Apparent finished steel consumption</t>
        </is>
      </c>
      <c r="B75" s="456" t="inlineStr">
        <is>
          <t>Mt</t>
        </is>
      </c>
      <c r="C75" s="1017">
        <f>'Model Calibration'!D12</f>
        <v/>
      </c>
      <c r="D75" s="1470">
        <f>C75*(1+D74)</f>
        <v/>
      </c>
      <c r="E75" s="1470">
        <f>D75*(1+E74)</f>
        <v/>
      </c>
      <c r="F75" s="1470">
        <f>E75*(1+F74)</f>
        <v/>
      </c>
      <c r="G75" s="1470">
        <f>F75*(1+G74)</f>
        <v/>
      </c>
      <c r="H75" s="1470">
        <f>G75*(1+H74)</f>
        <v/>
      </c>
      <c r="I75" s="1470">
        <f>H75*(1+I74)</f>
        <v/>
      </c>
      <c r="J75" s="1471">
        <f>I75*(1+J74)</f>
        <v/>
      </c>
      <c r="K75" s="421" t="inlineStr">
        <is>
          <t>SD36</t>
        </is>
      </c>
    </row>
    <row r="76" ht="27.6" customHeight="1">
      <c r="A76" s="423" t="inlineStr">
        <is>
          <t xml:space="preserve">  Memo: June-2026 JPC vintage, FY2026 actual</t>
        </is>
      </c>
      <c r="B76" s="456" t="inlineStr">
        <is>
          <t>Mt</t>
        </is>
      </c>
      <c r="C76" s="1472">
        <f>C75</f>
        <v/>
      </c>
      <c r="D76" s="490" t="n"/>
      <c r="E76" s="490" t="n"/>
      <c r="F76" s="490" t="n"/>
      <c r="G76" s="490" t="n"/>
      <c r="H76" s="490" t="n"/>
      <c r="I76" s="490" t="n"/>
      <c r="J76" s="881" t="n"/>
      <c r="K76" s="860" t="inlineStr">
        <is>
          <t>SD37</t>
        </is>
      </c>
    </row>
    <row r="77">
      <c r="A77" s="1220" t="inlineStr">
        <is>
          <t>DEMAND INTENSITY</t>
        </is>
      </c>
      <c r="B77" s="1342" t="n"/>
      <c r="C77" s="1342" t="n"/>
      <c r="D77" s="1342" t="n"/>
      <c r="E77" s="1342" t="n"/>
      <c r="F77" s="1342" t="n"/>
      <c r="G77" s="1342" t="n"/>
      <c r="H77" s="1342" t="n"/>
      <c r="I77" s="1342" t="n"/>
      <c r="J77" s="1360" t="n"/>
      <c r="K77" s="477" t="n"/>
    </row>
    <row r="78">
      <c r="A78" s="423" t="inlineStr">
        <is>
          <t>Population</t>
        </is>
      </c>
      <c r="B78" s="456" t="inlineStr">
        <is>
          <t>bn</t>
        </is>
      </c>
      <c r="C78" s="1473" t="n">
        <v>1.4191</v>
      </c>
      <c r="D78" s="1474">
        <f>C78*(1+$C$79)</f>
        <v/>
      </c>
      <c r="E78" s="1474">
        <f>D78*(1+$C$79)</f>
        <v/>
      </c>
      <c r="F78" s="1474">
        <f>E78*(1+$C$79)</f>
        <v/>
      </c>
      <c r="G78" s="1474">
        <f>F78*(1+$C$79)</f>
        <v/>
      </c>
      <c r="H78" s="1474">
        <f>G78*(1+$C$79)</f>
        <v/>
      </c>
      <c r="I78" s="1474">
        <f>H78*(1+$C$79)</f>
        <v/>
      </c>
      <c r="J78" s="1475">
        <f>I78*(1+$C$79)</f>
        <v/>
      </c>
      <c r="K78" s="860" t="inlineStr">
        <is>
          <t>SD38</t>
        </is>
      </c>
    </row>
    <row r="79">
      <c r="A79" s="423" t="inlineStr">
        <is>
          <t>Population growth</t>
        </is>
      </c>
      <c r="B79" s="456" t="inlineStr">
        <is>
          <t>%</t>
        </is>
      </c>
      <c r="C79" s="1468" t="n">
        <v>0.008500000000000001</v>
      </c>
      <c r="D79" s="1476">
        <f>C79</f>
        <v/>
      </c>
      <c r="E79" s="1476">
        <f>D79</f>
        <v/>
      </c>
      <c r="F79" s="1476">
        <f>E79</f>
        <v/>
      </c>
      <c r="G79" s="1476">
        <f>F79</f>
        <v/>
      </c>
      <c r="H79" s="1476">
        <f>G79</f>
        <v/>
      </c>
      <c r="I79" s="1476">
        <f>H79</f>
        <v/>
      </c>
      <c r="J79" s="1477">
        <f>I79</f>
        <v/>
      </c>
      <c r="K79" s="421" t="inlineStr">
        <is>
          <t>SD39</t>
        </is>
      </c>
    </row>
    <row r="80" ht="15" customHeight="1" thickBot="1">
      <c r="A80" s="689" t="inlineStr">
        <is>
          <t>Per capita finished steel consumption</t>
        </is>
      </c>
      <c r="B80" s="690" t="inlineStr">
        <is>
          <t>kg</t>
        </is>
      </c>
      <c r="C80" s="1478">
        <f>C75/C78</f>
        <v/>
      </c>
      <c r="D80" s="1478">
        <f>D75/D78</f>
        <v/>
      </c>
      <c r="E80" s="1478">
        <f>E75/E78</f>
        <v/>
      </c>
      <c r="F80" s="1478">
        <f>F75/F78</f>
        <v/>
      </c>
      <c r="G80" s="1478">
        <f>G75/G78</f>
        <v/>
      </c>
      <c r="H80" s="1478">
        <f>H75/H78</f>
        <v/>
      </c>
      <c r="I80" s="1478">
        <f>I75/I78</f>
        <v/>
      </c>
      <c r="J80" s="1479">
        <f>J75/J78</f>
        <v/>
      </c>
      <c r="K80" s="421" t="inlineStr">
        <is>
          <t>SD40</t>
        </is>
      </c>
    </row>
    <row r="82">
      <c r="A82" s="1132" t="inlineStr">
        <is>
          <t>Demand is the ONLY block in this model that is not capacity-aware. The capacity ceiling is applied on 05 Steel Supply, so consumption here is unconstrained demand.</t>
        </is>
      </c>
    </row>
  </sheetData>
  <mergeCells count="28">
    <mergeCell ref="D20:E20"/>
    <mergeCell ref="A5:J5"/>
    <mergeCell ref="O3:P3"/>
    <mergeCell ref="A7:I7"/>
    <mergeCell ref="B42:D42"/>
    <mergeCell ref="A59:E59"/>
    <mergeCell ref="D19:E19"/>
    <mergeCell ref="D22:E22"/>
    <mergeCell ref="B44:D44"/>
    <mergeCell ref="A26:I26"/>
    <mergeCell ref="D21:E21"/>
    <mergeCell ref="A77:J77"/>
    <mergeCell ref="B40:D40"/>
    <mergeCell ref="D17:E17"/>
    <mergeCell ref="A82:J82"/>
    <mergeCell ref="A38:I38"/>
    <mergeCell ref="B45:D45"/>
    <mergeCell ref="A2:E2"/>
    <mergeCell ref="A1:P1"/>
    <mergeCell ref="B41:D41"/>
    <mergeCell ref="A70:J70"/>
    <mergeCell ref="M3:N3"/>
    <mergeCell ref="D18:E18"/>
    <mergeCell ref="A48:I48"/>
    <mergeCell ref="D23:E23"/>
    <mergeCell ref="B43:D43"/>
    <mergeCell ref="B39:D39"/>
    <mergeCell ref="A16:I16"/>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codeName="Sheet10">
    <tabColor rgb="FF002060"/>
    <outlinePr summaryBelow="1" summaryRight="1"/>
    <pageSetUpPr/>
  </sheetPr>
  <dimension ref="A1:Q93"/>
  <sheetViews>
    <sheetView showGridLines="0" topLeftCell="A76" workbookViewId="0">
      <selection activeCell="C80" sqref="C80"/>
    </sheetView>
  </sheetViews>
  <sheetFormatPr baseColWidth="8" defaultRowHeight="14.4"/>
  <cols>
    <col width="28.5546875" customWidth="1" min="1" max="1"/>
    <col width="11.88671875" customWidth="1" style="250" min="2" max="2"/>
    <col width="12.21875" customWidth="1" style="250" min="3" max="9"/>
    <col width="12.21875" customWidth="1" min="10" max="10"/>
    <col width="11.33203125" customWidth="1" style="250" min="11" max="11"/>
  </cols>
  <sheetData>
    <row r="1" ht="25.8" customHeight="1">
      <c r="A1" s="1150" t="inlineStr">
        <is>
          <t>STEEL SUPLY MODEL</t>
        </is>
      </c>
    </row>
    <row r="2" ht="15" customHeight="1" thickBot="1">
      <c r="A2" s="1159" t="inlineStr">
        <is>
          <t>Industry Financial Model  |  Indian Steel Industry  |  Horizon FY2027E-FY2033E  |  Base year FY2026A</t>
        </is>
      </c>
    </row>
    <row r="3" ht="16.2" customHeight="1" thickBot="1">
      <c r="A3" s="1149" t="n"/>
      <c r="N3" s="1407" t="inlineStr">
        <is>
          <t>Active Scenario</t>
        </is>
      </c>
      <c r="O3" s="1401" t="n"/>
      <c r="P3" s="760">
        <f>'Control Panel'!$E$17</f>
        <v/>
      </c>
      <c r="Q3" s="1354" t="n"/>
    </row>
    <row r="4">
      <c r="A4" s="1254" t="inlineStr">
        <is>
          <t>OBJECTIVE</t>
        </is>
      </c>
      <c r="B4" s="302" t="n"/>
      <c r="C4" s="302" t="n"/>
      <c r="D4" s="302" t="n"/>
      <c r="E4" s="302" t="n"/>
      <c r="F4" s="302" t="n"/>
      <c r="G4" s="302" t="n"/>
      <c r="H4" s="302" t="n"/>
      <c r="I4" s="302" t="n"/>
      <c r="J4" s="55" t="n"/>
    </row>
    <row r="5">
      <c r="A5" s="1217" t="inlineStr">
        <is>
          <t>Forecast India's finished steel supply and reconcile it with domestic demand, capacity, imports, exports, and inventory changes.</t>
        </is>
      </c>
    </row>
    <row r="6">
      <c r="A6" s="1217" t="n"/>
      <c r="B6" s="301" t="n"/>
      <c r="C6" s="301" t="n"/>
      <c r="D6" s="301" t="n"/>
      <c r="E6" s="301" t="n"/>
      <c r="F6" s="301" t="n"/>
      <c r="G6" s="301" t="n"/>
      <c r="H6" s="301" t="n"/>
      <c r="I6" s="301" t="n"/>
      <c r="J6" s="1217" t="n"/>
    </row>
    <row r="7" ht="16.2" customHeight="1" thickBot="1">
      <c r="A7" s="1157" t="inlineStr">
        <is>
          <t>Executive Summary</t>
        </is>
      </c>
      <c r="B7" s="444" t="n"/>
      <c r="C7" s="444" t="n"/>
      <c r="D7" s="444" t="n"/>
      <c r="E7" s="444" t="n"/>
      <c r="F7" s="444" t="n"/>
      <c r="G7" s="444" t="n"/>
      <c r="H7" s="444" t="n"/>
      <c r="I7" s="444" t="n"/>
      <c r="J7" s="1217" t="n"/>
    </row>
    <row r="8" ht="15.6" customHeight="1" thickBot="1" thickTop="1">
      <c r="A8" s="326" t="inlineStr">
        <is>
          <t>KPI</t>
        </is>
      </c>
      <c r="B8" s="524" t="inlineStr">
        <is>
          <t>FY26A</t>
        </is>
      </c>
      <c r="C8" s="524" t="inlineStr">
        <is>
          <t>FY27E</t>
        </is>
      </c>
      <c r="D8" s="524" t="inlineStr">
        <is>
          <t>FY28E</t>
        </is>
      </c>
      <c r="E8" s="524" t="inlineStr">
        <is>
          <t>FY29E</t>
        </is>
      </c>
      <c r="F8" s="524" t="inlineStr">
        <is>
          <t>FY30E</t>
        </is>
      </c>
      <c r="G8" s="524" t="inlineStr">
        <is>
          <t>FY31E</t>
        </is>
      </c>
      <c r="H8" s="524" t="inlineStr">
        <is>
          <t>FY32E</t>
        </is>
      </c>
      <c r="I8" s="525" t="inlineStr">
        <is>
          <t>FY33E</t>
        </is>
      </c>
      <c r="J8" s="1217" t="n"/>
    </row>
    <row r="9" ht="15" customHeight="1" thickTop="1">
      <c r="A9" s="206" t="inlineStr">
        <is>
          <t>Crude Steel Production (Mt)</t>
        </is>
      </c>
      <c r="B9" s="1480">
        <f>$C$88</f>
        <v/>
      </c>
      <c r="C9" s="1480">
        <f>$D$88</f>
        <v/>
      </c>
      <c r="D9" s="1480">
        <f>$E$88</f>
        <v/>
      </c>
      <c r="E9" s="1480">
        <f>$F$88</f>
        <v/>
      </c>
      <c r="F9" s="1480">
        <f>$G$88</f>
        <v/>
      </c>
      <c r="G9" s="1480">
        <f>$H$88</f>
        <v/>
      </c>
      <c r="H9" s="1480">
        <f>$I$88</f>
        <v/>
      </c>
      <c r="I9" s="1481">
        <f>$J$88</f>
        <v/>
      </c>
      <c r="J9" s="1217" t="n"/>
    </row>
    <row r="10">
      <c r="A10" s="207" t="inlineStr">
        <is>
          <t>Finished Steel Production (Mt)</t>
        </is>
      </c>
      <c r="B10" s="1482">
        <f>$C$90</f>
        <v/>
      </c>
      <c r="C10" s="1482">
        <f>$D$90</f>
        <v/>
      </c>
      <c r="D10" s="1482">
        <f>$E$90</f>
        <v/>
      </c>
      <c r="E10" s="1482">
        <f>$F$90</f>
        <v/>
      </c>
      <c r="F10" s="1482">
        <f>$G$90</f>
        <v/>
      </c>
      <c r="G10" s="1482">
        <f>$H$90</f>
        <v/>
      </c>
      <c r="H10" s="1482">
        <f>$I$90</f>
        <v/>
      </c>
      <c r="I10" s="1483">
        <f>$J$90</f>
        <v/>
      </c>
      <c r="J10" s="1217" t="n"/>
    </row>
    <row r="11">
      <c r="A11" s="207" t="inlineStr">
        <is>
          <t>Installed Capacity (MTPA)</t>
        </is>
      </c>
      <c r="B11" s="1438">
        <f>'Capacity Forecast'!C$96</f>
        <v/>
      </c>
      <c r="C11" s="1438">
        <f>'Capacity Forecast'!D$96</f>
        <v/>
      </c>
      <c r="D11" s="1438">
        <f>'Capacity Forecast'!E$96</f>
        <v/>
      </c>
      <c r="E11" s="1438">
        <f>'Capacity Forecast'!F$96</f>
        <v/>
      </c>
      <c r="F11" s="1438">
        <f>'Capacity Forecast'!G$96</f>
        <v/>
      </c>
      <c r="G11" s="1438">
        <f>'Capacity Forecast'!H$96</f>
        <v/>
      </c>
      <c r="H11" s="1438">
        <f>'Capacity Forecast'!I$96</f>
        <v/>
      </c>
      <c r="I11" s="1484">
        <f>'Capacity Forecast'!J$96</f>
        <v/>
      </c>
      <c r="J11" s="1217" t="n"/>
    </row>
    <row r="12">
      <c r="A12" s="207" t="inlineStr">
        <is>
          <t>Capacity Utilisation (%)</t>
        </is>
      </c>
      <c r="B12" s="1485">
        <f>'Capacity Utilisation'!C$65</f>
        <v/>
      </c>
      <c r="C12" s="1485">
        <f>'Capacity Utilisation'!D$65</f>
        <v/>
      </c>
      <c r="D12" s="1485">
        <f>'Capacity Utilisation'!E$65</f>
        <v/>
      </c>
      <c r="E12" s="1485">
        <f>'Capacity Utilisation'!F$65</f>
        <v/>
      </c>
      <c r="F12" s="1485">
        <f>'Capacity Utilisation'!G$65</f>
        <v/>
      </c>
      <c r="G12" s="1485">
        <f>'Capacity Utilisation'!H$65</f>
        <v/>
      </c>
      <c r="H12" s="1485">
        <f>'Capacity Utilisation'!I$65</f>
        <v/>
      </c>
      <c r="I12" s="1486">
        <f>'Capacity Utilisation'!J$65</f>
        <v/>
      </c>
      <c r="J12" s="1217" t="n"/>
    </row>
    <row r="13">
      <c r="A13" s="207" t="inlineStr">
        <is>
          <t>Domestic Supply (Mt)</t>
        </is>
      </c>
      <c r="B13" s="1487">
        <f>C90+'Trade Model'!C70-'Trade Model'!C72</f>
        <v/>
      </c>
      <c r="C13" s="1487">
        <f>D90+'Trade Model'!D70-'Trade Model'!D72</f>
        <v/>
      </c>
      <c r="D13" s="1487">
        <f>E90+'Trade Model'!E70-'Trade Model'!E72</f>
        <v/>
      </c>
      <c r="E13" s="1487">
        <f>F90+'Trade Model'!F70-'Trade Model'!F72</f>
        <v/>
      </c>
      <c r="F13" s="1487">
        <f>G90+'Trade Model'!G70-'Trade Model'!G72</f>
        <v/>
      </c>
      <c r="G13" s="1487">
        <f>H90+'Trade Model'!H70-'Trade Model'!H72</f>
        <v/>
      </c>
      <c r="H13" s="1487">
        <f>I90+'Trade Model'!I70-'Trade Model'!I72</f>
        <v/>
      </c>
      <c r="I13" s="1439">
        <f>J90+'Trade Model'!J70-'Trade Model'!J72</f>
        <v/>
      </c>
      <c r="J13" s="1217" t="n"/>
    </row>
    <row r="14">
      <c r="A14" s="207" t="inlineStr">
        <is>
          <t>Import Dependency (%)</t>
        </is>
      </c>
      <c r="B14" s="1485">
        <f>'Trade Model'!C$77</f>
        <v/>
      </c>
      <c r="C14" s="1485">
        <f>'Trade Model'!D$77</f>
        <v/>
      </c>
      <c r="D14" s="1485">
        <f>'Trade Model'!E$77</f>
        <v/>
      </c>
      <c r="E14" s="1485">
        <f>'Trade Model'!F$77</f>
        <v/>
      </c>
      <c r="F14" s="1485">
        <f>'Trade Model'!G$77</f>
        <v/>
      </c>
      <c r="G14" s="1485">
        <f>'Trade Model'!H$77</f>
        <v/>
      </c>
      <c r="H14" s="1485">
        <f>'Trade Model'!I$77</f>
        <v/>
      </c>
      <c r="I14" s="1486">
        <f>'Trade Model'!J$77</f>
        <v/>
      </c>
      <c r="J14" s="1217" t="n"/>
    </row>
    <row r="15">
      <c r="A15" s="207" t="inlineStr">
        <is>
          <t>Export Share (%)</t>
        </is>
      </c>
      <c r="B15" s="1485">
        <f>'Trade Model'!C$78</f>
        <v/>
      </c>
      <c r="C15" s="1485">
        <f>'Trade Model'!D$78</f>
        <v/>
      </c>
      <c r="D15" s="1485">
        <f>'Trade Model'!E$78</f>
        <v/>
      </c>
      <c r="E15" s="1485">
        <f>'Trade Model'!F$78</f>
        <v/>
      </c>
      <c r="F15" s="1485">
        <f>'Trade Model'!G$78</f>
        <v/>
      </c>
      <c r="G15" s="1485">
        <f>'Trade Model'!H$78</f>
        <v/>
      </c>
      <c r="H15" s="1485">
        <f>'Trade Model'!I$78</f>
        <v/>
      </c>
      <c r="I15" s="1486">
        <f>'Trade Model'!J$78</f>
        <v/>
      </c>
      <c r="J15" s="1217" t="n"/>
    </row>
    <row r="16" ht="15" customHeight="1" thickBot="1">
      <c r="A16" s="208" t="inlineStr">
        <is>
          <t>Supply Surplus / Deficit (Mt)</t>
        </is>
      </c>
      <c r="B16" s="1488">
        <f>B13-'Steel Demand Model'!B9</f>
        <v/>
      </c>
      <c r="C16" s="1488">
        <f>C13-'Steel Demand Model'!C9</f>
        <v/>
      </c>
      <c r="D16" s="1488">
        <f>D13-'Steel Demand Model'!D9</f>
        <v/>
      </c>
      <c r="E16" s="1488">
        <f>E13-'Steel Demand Model'!E9</f>
        <v/>
      </c>
      <c r="F16" s="1488">
        <f>F13-'Steel Demand Model'!F9</f>
        <v/>
      </c>
      <c r="G16" s="1488">
        <f>G13-'Steel Demand Model'!G9</f>
        <v/>
      </c>
      <c r="H16" s="1488">
        <f>H13-'Steel Demand Model'!H9</f>
        <v/>
      </c>
      <c r="I16" s="1489">
        <f>I13-'Steel Demand Model'!I9</f>
        <v/>
      </c>
      <c r="J16" s="1217" t="n"/>
    </row>
    <row r="17">
      <c r="A17" s="1217" t="n"/>
      <c r="B17" s="301" t="n"/>
      <c r="C17" s="301" t="n"/>
      <c r="D17" s="301" t="n"/>
      <c r="E17" s="301" t="n"/>
      <c r="F17" s="301" t="n"/>
      <c r="G17" s="301" t="n"/>
      <c r="H17" s="301" t="n"/>
      <c r="I17" s="301" t="n"/>
      <c r="J17" s="1217" t="n"/>
    </row>
    <row r="18">
      <c r="A18" s="1217" t="n"/>
      <c r="B18" s="301" t="n"/>
      <c r="C18" s="301" t="n"/>
      <c r="D18" s="301" t="n"/>
      <c r="E18" s="301" t="n"/>
      <c r="F18" s="301" t="n"/>
      <c r="G18" s="301" t="n"/>
      <c r="H18" s="301" t="n"/>
      <c r="I18" s="301" t="n"/>
      <c r="J18" s="1217" t="n"/>
    </row>
    <row r="19" ht="16.2" customHeight="1" thickBot="1">
      <c r="A19" s="1203" t="inlineStr">
        <is>
          <t>Historical Supply</t>
        </is>
      </c>
      <c r="B19" s="444" t="n"/>
      <c r="C19" s="444" t="n"/>
      <c r="D19" s="444" t="n"/>
      <c r="E19" s="1137" t="n"/>
      <c r="F19" s="1137" t="n"/>
      <c r="G19" s="1137" t="n"/>
      <c r="H19" s="1137" t="n"/>
      <c r="I19" s="1137" t="n"/>
      <c r="J19" s="1217" t="n"/>
    </row>
    <row r="20" ht="30" customHeight="1" thickBot="1" thickTop="1">
      <c r="A20" s="328" t="inlineStr">
        <is>
          <t>Year</t>
        </is>
      </c>
      <c r="B20" s="536" t="inlineStr">
        <is>
          <t>Crude Production</t>
        </is>
      </c>
      <c r="C20" s="536" t="inlineStr">
        <is>
          <t>Finished Production</t>
        </is>
      </c>
      <c r="D20" s="537" t="inlineStr">
        <is>
          <t>Growth %</t>
        </is>
      </c>
      <c r="E20" s="301" t="n"/>
      <c r="F20" s="301" t="n"/>
      <c r="G20" s="301" t="n"/>
      <c r="H20" s="301" t="n"/>
      <c r="I20" s="301" t="n"/>
      <c r="J20" s="1217" t="n"/>
    </row>
    <row r="21" ht="15" customHeight="1" thickTop="1">
      <c r="A21" s="206" t="inlineStr">
        <is>
          <t>FY21</t>
        </is>
      </c>
      <c r="B21" s="1490">
        <f>'[1]Production Volume'!$C$6</f>
        <v/>
      </c>
      <c r="C21" s="1490">
        <f>'[1]Production Volume'!$C$7</f>
        <v/>
      </c>
      <c r="D21" s="703" t="n"/>
      <c r="E21" s="301" t="n"/>
      <c r="F21" s="301" t="n"/>
      <c r="G21" s="301" t="n"/>
      <c r="H21" s="301" t="n"/>
      <c r="I21" s="301" t="n"/>
      <c r="J21" s="1217" t="n"/>
    </row>
    <row r="22">
      <c r="A22" s="207" t="inlineStr">
        <is>
          <t>FY22</t>
        </is>
      </c>
      <c r="B22" s="1491">
        <f>'[1]Demand &amp; Consumption'!$D$6</f>
        <v/>
      </c>
      <c r="C22" s="1492">
        <f>'[1]Production Volume'!$D$7</f>
        <v/>
      </c>
      <c r="D22" s="1493">
        <f>(C22-C21)/C21</f>
        <v/>
      </c>
      <c r="E22" s="301" t="n"/>
      <c r="F22" s="301" t="n"/>
      <c r="G22" s="301" t="n"/>
      <c r="H22" s="301" t="n"/>
      <c r="I22" s="301" t="n"/>
      <c r="J22" s="1217" t="n"/>
    </row>
    <row r="23">
      <c r="A23" s="207" t="inlineStr">
        <is>
          <t>FY23</t>
        </is>
      </c>
      <c r="B23" s="1492">
        <f>'[1]Demand &amp; Consumption'!$E$6</f>
        <v/>
      </c>
      <c r="C23" s="1492">
        <f>'[1]Production Volume'!$E$7</f>
        <v/>
      </c>
      <c r="D23" s="1493">
        <f>(C23-C22)/C22</f>
        <v/>
      </c>
      <c r="E23" s="301" t="n"/>
      <c r="F23" s="301" t="n"/>
      <c r="G23" s="301" t="n"/>
      <c r="H23" s="301" t="n"/>
      <c r="I23" s="301" t="n"/>
      <c r="J23" s="1217" t="n"/>
    </row>
    <row r="24">
      <c r="A24" s="207" t="inlineStr">
        <is>
          <t>FY24</t>
        </is>
      </c>
      <c r="B24" s="1492">
        <f>'[1]Demand &amp; Consumption'!$F$6</f>
        <v/>
      </c>
      <c r="C24" s="1492">
        <f>'[1]Production Volume'!$F$7</f>
        <v/>
      </c>
      <c r="D24" s="1493">
        <f>(C24-C23)/C23</f>
        <v/>
      </c>
      <c r="E24" s="301" t="n"/>
      <c r="F24" s="301" t="n"/>
      <c r="G24" s="301" t="n"/>
      <c r="H24" s="301" t="n"/>
      <c r="I24" s="301" t="n"/>
      <c r="J24" s="1217" t="n"/>
    </row>
    <row r="25">
      <c r="A25" s="207" t="inlineStr">
        <is>
          <t>FY25</t>
        </is>
      </c>
      <c r="B25" s="1492">
        <f>'[1]Demand &amp; Consumption'!$G$6</f>
        <v/>
      </c>
      <c r="C25" s="1492">
        <f>'[1]Production Volume'!$G$7</f>
        <v/>
      </c>
      <c r="D25" s="1493">
        <f>(C25-C24)/C24</f>
        <v/>
      </c>
      <c r="E25" s="301" t="n"/>
      <c r="F25" s="301" t="n"/>
      <c r="G25" s="301" t="n"/>
      <c r="H25" s="301" t="n"/>
      <c r="I25" s="301" t="n"/>
      <c r="J25" s="1217" t="n"/>
    </row>
    <row r="26" ht="15" customHeight="1" thickBot="1">
      <c r="A26" s="208" t="inlineStr">
        <is>
          <t>FY26</t>
        </is>
      </c>
      <c r="B26" s="1494">
        <f>'[1]Demand &amp; Consumption'!$H$6</f>
        <v/>
      </c>
      <c r="C26" s="1494">
        <f>'[1]Production Volume'!$H$7</f>
        <v/>
      </c>
      <c r="D26" s="1495">
        <f>(C26-C25)/C25</f>
        <v/>
      </c>
      <c r="E26" s="301" t="n"/>
      <c r="F26" s="301" t="n"/>
      <c r="G26" s="301" t="n"/>
      <c r="H26" s="301" t="n"/>
      <c r="I26" s="301" t="n"/>
      <c r="J26" s="1217" t="n"/>
    </row>
    <row r="27">
      <c r="A27" s="1217" t="n"/>
      <c r="B27" s="301" t="n"/>
      <c r="C27" s="301" t="n"/>
      <c r="D27" s="301" t="n"/>
      <c r="E27" s="301" t="n"/>
      <c r="F27" s="301" t="n"/>
      <c r="G27" s="301" t="n"/>
      <c r="H27" s="301" t="n"/>
      <c r="I27" s="301" t="n"/>
      <c r="J27" s="1217" t="n"/>
    </row>
    <row r="28">
      <c r="A28" s="1217" t="n"/>
      <c r="B28" s="301" t="n"/>
      <c r="C28" s="301" t="n"/>
      <c r="D28" s="301" t="n"/>
      <c r="E28" s="301" t="n"/>
      <c r="F28" s="301" t="n"/>
      <c r="G28" s="301" t="n"/>
      <c r="H28" s="301" t="n"/>
      <c r="I28" s="301" t="n"/>
      <c r="J28" s="1217" t="n"/>
    </row>
    <row r="29" ht="16.2" customHeight="1" thickBot="1">
      <c r="A29" s="1157" t="inlineStr">
        <is>
          <t>Supply Build Up</t>
        </is>
      </c>
      <c r="B29" s="444" t="n"/>
      <c r="C29" s="444" t="n"/>
      <c r="D29" s="444" t="n"/>
      <c r="E29" s="444" t="n"/>
      <c r="F29" s="444" t="n"/>
      <c r="G29" s="444" t="n"/>
      <c r="H29" s="444" t="n"/>
      <c r="I29" s="444" t="n"/>
      <c r="J29" s="444" t="n"/>
    </row>
    <row r="30" ht="15.6" customHeight="1" thickBot="1" thickTop="1">
      <c r="A30" s="326" t="inlineStr">
        <is>
          <t>Item</t>
        </is>
      </c>
      <c r="B30" s="524" t="inlineStr">
        <is>
          <t>FY26A</t>
        </is>
      </c>
      <c r="C30" s="524" t="inlineStr">
        <is>
          <t>FY27E</t>
        </is>
      </c>
      <c r="D30" s="524" t="inlineStr">
        <is>
          <t>FY28E</t>
        </is>
      </c>
      <c r="E30" s="524" t="inlineStr">
        <is>
          <t>FY29E</t>
        </is>
      </c>
      <c r="F30" s="524" t="inlineStr">
        <is>
          <t>FY30E</t>
        </is>
      </c>
      <c r="G30" s="524" t="inlineStr">
        <is>
          <t>FY31E</t>
        </is>
      </c>
      <c r="H30" s="524" t="inlineStr">
        <is>
          <t>FY32E</t>
        </is>
      </c>
      <c r="I30" s="524" t="inlineStr">
        <is>
          <t>FY33E</t>
        </is>
      </c>
      <c r="J30" s="525" t="inlineStr">
        <is>
          <t>Audit Code</t>
        </is>
      </c>
    </row>
    <row r="31" ht="15" customHeight="1" thickTop="1">
      <c r="A31" s="206" t="inlineStr">
        <is>
          <t>Opening Production</t>
        </is>
      </c>
      <c r="B31" s="1490">
        <f>'[1]Production Capacity'!$G$8</f>
        <v/>
      </c>
      <c r="C31" s="1480">
        <f>B35</f>
        <v/>
      </c>
      <c r="D31" s="1480">
        <f>C35</f>
        <v/>
      </c>
      <c r="E31" s="1480">
        <f>D35</f>
        <v/>
      </c>
      <c r="F31" s="1480">
        <f>E35</f>
        <v/>
      </c>
      <c r="G31" s="1480">
        <f>F35</f>
        <v/>
      </c>
      <c r="H31" s="1480">
        <f>G35</f>
        <v/>
      </c>
      <c r="I31" s="1480">
        <f>H35</f>
        <v/>
      </c>
      <c r="J31" s="547" t="n"/>
    </row>
    <row r="32">
      <c r="A32" s="207" t="inlineStr">
        <is>
          <t>Capacity Addition</t>
        </is>
      </c>
      <c r="B32" s="1438">
        <f>'Capacity Forecast'!C$95</f>
        <v/>
      </c>
      <c r="C32" s="1438">
        <f>'Capacity Forecast'!D$95</f>
        <v/>
      </c>
      <c r="D32" s="1438">
        <f>'Capacity Forecast'!E$95</f>
        <v/>
      </c>
      <c r="E32" s="1438">
        <f>'Capacity Forecast'!F$95</f>
        <v/>
      </c>
      <c r="F32" s="1438">
        <f>'Capacity Forecast'!G$95</f>
        <v/>
      </c>
      <c r="G32" s="1438">
        <f>'Capacity Forecast'!H$95</f>
        <v/>
      </c>
      <c r="H32" s="1438">
        <f>'Capacity Forecast'!I$95</f>
        <v/>
      </c>
      <c r="I32" s="1438">
        <f>'Capacity Forecast'!J$95</f>
        <v/>
      </c>
      <c r="J32" s="514" t="n"/>
    </row>
    <row r="33">
      <c r="A33" s="207" t="inlineStr">
        <is>
          <t>Effective Capacity</t>
        </is>
      </c>
      <c r="B33" s="1438">
        <f>'Capacity Forecast'!C$96</f>
        <v/>
      </c>
      <c r="C33" s="1438">
        <f>'Capacity Forecast'!D$96</f>
        <v/>
      </c>
      <c r="D33" s="1438">
        <f>'Capacity Forecast'!E$96</f>
        <v/>
      </c>
      <c r="E33" s="1438">
        <f>'Capacity Forecast'!F$96</f>
        <v/>
      </c>
      <c r="F33" s="1438">
        <f>'Capacity Forecast'!G$96</f>
        <v/>
      </c>
      <c r="G33" s="1438">
        <f>'Capacity Forecast'!H$96</f>
        <v/>
      </c>
      <c r="H33" s="1438">
        <f>'Capacity Forecast'!I$96</f>
        <v/>
      </c>
      <c r="I33" s="1438">
        <f>'Capacity Forecast'!J$96</f>
        <v/>
      </c>
      <c r="J33" s="514" t="n"/>
    </row>
    <row r="34">
      <c r="A34" s="207" t="inlineStr">
        <is>
          <t>Capacity Utilisation</t>
        </is>
      </c>
      <c r="B34" s="1485">
        <f>'Capacity Utilisation'!C$65</f>
        <v/>
      </c>
      <c r="C34" s="1485">
        <f>'Capacity Utilisation'!D$65</f>
        <v/>
      </c>
      <c r="D34" s="1485">
        <f>'Capacity Utilisation'!E$65</f>
        <v/>
      </c>
      <c r="E34" s="1485">
        <f>'Capacity Utilisation'!F$65</f>
        <v/>
      </c>
      <c r="F34" s="1485">
        <f>'Capacity Utilisation'!G$65</f>
        <v/>
      </c>
      <c r="G34" s="1485">
        <f>'Capacity Utilisation'!H$65</f>
        <v/>
      </c>
      <c r="H34" s="1485">
        <f>'Capacity Utilisation'!I$65</f>
        <v/>
      </c>
      <c r="I34" s="1485">
        <f>'Capacity Utilisation'!J$65</f>
        <v/>
      </c>
      <c r="J34" s="514" t="n"/>
    </row>
    <row r="35">
      <c r="A35" s="207" t="inlineStr">
        <is>
          <t>Crude Steel Production</t>
        </is>
      </c>
      <c r="B35" s="1482">
        <f>C$88</f>
        <v/>
      </c>
      <c r="C35" s="1482">
        <f>D$88</f>
        <v/>
      </c>
      <c r="D35" s="1482">
        <f>E$88</f>
        <v/>
      </c>
      <c r="E35" s="1482">
        <f>F$88</f>
        <v/>
      </c>
      <c r="F35" s="1482">
        <f>G$88</f>
        <v/>
      </c>
      <c r="G35" s="1482">
        <f>H$88</f>
        <v/>
      </c>
      <c r="H35" s="1482">
        <f>I$88</f>
        <v/>
      </c>
      <c r="I35" s="1482">
        <f>J$88</f>
        <v/>
      </c>
      <c r="J35" s="514" t="n"/>
    </row>
    <row r="36">
      <c r="A36" s="207" t="inlineStr">
        <is>
          <t>Crude-to-Finished Ratio</t>
        </is>
      </c>
      <c r="B36" s="1496">
        <f>C$82</f>
        <v/>
      </c>
      <c r="C36" s="1496">
        <f>D$82</f>
        <v/>
      </c>
      <c r="D36" s="1496">
        <f>E$82</f>
        <v/>
      </c>
      <c r="E36" s="1496">
        <f>F$82</f>
        <v/>
      </c>
      <c r="F36" s="1496">
        <f>G$82</f>
        <v/>
      </c>
      <c r="G36" s="1496">
        <f>H$82</f>
        <v/>
      </c>
      <c r="H36" s="1496">
        <f>I$82</f>
        <v/>
      </c>
      <c r="I36" s="1496">
        <f>J$82</f>
        <v/>
      </c>
      <c r="J36" s="514" t="n"/>
    </row>
    <row r="37">
      <c r="A37" s="207" t="inlineStr">
        <is>
          <t>Finished Steel Production</t>
        </is>
      </c>
      <c r="B37" s="1482">
        <f>C$90</f>
        <v/>
      </c>
      <c r="C37" s="1482">
        <f>D$90</f>
        <v/>
      </c>
      <c r="D37" s="1482">
        <f>E$90</f>
        <v/>
      </c>
      <c r="E37" s="1482">
        <f>F$90</f>
        <v/>
      </c>
      <c r="F37" s="1482">
        <f>G$90</f>
        <v/>
      </c>
      <c r="G37" s="1482">
        <f>H$90</f>
        <v/>
      </c>
      <c r="H37" s="1482">
        <f>I$90</f>
        <v/>
      </c>
      <c r="I37" s="1482">
        <f>J$90</f>
        <v/>
      </c>
      <c r="J37" s="514" t="n"/>
    </row>
    <row r="38">
      <c r="A38" s="207" t="inlineStr">
        <is>
          <t>Imports</t>
        </is>
      </c>
      <c r="B38" s="1438">
        <f>'Trade Model'!C$70</f>
        <v/>
      </c>
      <c r="C38" s="1438">
        <f>'Trade Model'!D$70</f>
        <v/>
      </c>
      <c r="D38" s="1438">
        <f>'Trade Model'!E$70</f>
        <v/>
      </c>
      <c r="E38" s="1438">
        <f>'Trade Model'!F$70</f>
        <v/>
      </c>
      <c r="F38" s="1438">
        <f>'Trade Model'!G$70</f>
        <v/>
      </c>
      <c r="G38" s="1438">
        <f>'Trade Model'!H$70</f>
        <v/>
      </c>
      <c r="H38" s="1438">
        <f>'Trade Model'!I$70</f>
        <v/>
      </c>
      <c r="I38" s="1438">
        <f>'Trade Model'!J$70</f>
        <v/>
      </c>
      <c r="J38" s="514" t="n"/>
    </row>
    <row r="39">
      <c r="A39" s="207" t="inlineStr">
        <is>
          <t>Exports</t>
        </is>
      </c>
      <c r="B39" s="1438">
        <f>'Trade Model'!C$72</f>
        <v/>
      </c>
      <c r="C39" s="1438">
        <f>'Trade Model'!D$72</f>
        <v/>
      </c>
      <c r="D39" s="1438">
        <f>'Trade Model'!E$72</f>
        <v/>
      </c>
      <c r="E39" s="1438">
        <f>'Trade Model'!F$72</f>
        <v/>
      </c>
      <c r="F39" s="1438">
        <f>'Trade Model'!G$72</f>
        <v/>
      </c>
      <c r="G39" s="1438">
        <f>'Trade Model'!H$72</f>
        <v/>
      </c>
      <c r="H39" s="1438">
        <f>'Trade Model'!I$72</f>
        <v/>
      </c>
      <c r="I39" s="1438">
        <f>'Trade Model'!J$72</f>
        <v/>
      </c>
      <c r="J39" s="514" t="n"/>
    </row>
    <row r="40" ht="15" customHeight="1" thickBot="1">
      <c r="A40" s="391" t="inlineStr">
        <is>
          <t>Inventory Adjustment</t>
        </is>
      </c>
      <c r="B40" s="1497">
        <f>C$80</f>
        <v/>
      </c>
      <c r="C40" s="1497">
        <f>D$80</f>
        <v/>
      </c>
      <c r="D40" s="1497">
        <f>E$80</f>
        <v/>
      </c>
      <c r="E40" s="1497">
        <f>F$80</f>
        <v/>
      </c>
      <c r="F40" s="1497">
        <f>G$80</f>
        <v/>
      </c>
      <c r="G40" s="1497">
        <f>H$80</f>
        <v/>
      </c>
      <c r="H40" s="1497">
        <f>I$80</f>
        <v/>
      </c>
      <c r="I40" s="1497">
        <f>J$80</f>
        <v/>
      </c>
      <c r="J40" s="701" t="n"/>
    </row>
    <row r="41" ht="15.6" customHeight="1" thickBot="1" thickTop="1">
      <c r="A41" s="390" t="inlineStr">
        <is>
          <t>Domestic Supply Available</t>
        </is>
      </c>
      <c r="B41" s="1498">
        <f>B37+B38-B39</f>
        <v/>
      </c>
      <c r="C41" s="1498">
        <f>C37+C38-C39</f>
        <v/>
      </c>
      <c r="D41" s="1498">
        <f>D37+D38-D39</f>
        <v/>
      </c>
      <c r="E41" s="1498">
        <f>E37+E38-E39</f>
        <v/>
      </c>
      <c r="F41" s="1498">
        <f>F37+F38-F39</f>
        <v/>
      </c>
      <c r="G41" s="1498">
        <f>G37+G38-G39</f>
        <v/>
      </c>
      <c r="H41" s="1498">
        <f>H37+H38-H39</f>
        <v/>
      </c>
      <c r="I41" s="1498">
        <f>I37+I38-I39</f>
        <v/>
      </c>
      <c r="J41" s="548" t="inlineStr">
        <is>
          <t>SS01</t>
        </is>
      </c>
    </row>
    <row r="42">
      <c r="A42" s="1217" t="n"/>
      <c r="B42" s="301" t="n"/>
      <c r="C42" s="301" t="n"/>
      <c r="D42" s="301" t="n"/>
      <c r="E42" s="301" t="n"/>
      <c r="F42" s="301" t="n"/>
      <c r="G42" s="301" t="n"/>
      <c r="H42" s="301" t="n"/>
      <c r="I42" s="301" t="n"/>
      <c r="J42" s="1217" t="n"/>
    </row>
    <row r="43">
      <c r="A43" s="1217" t="n"/>
      <c r="B43" s="301" t="n"/>
      <c r="C43" s="301" t="n"/>
      <c r="D43" s="301" t="n"/>
      <c r="E43" s="301" t="n"/>
      <c r="F43" s="301" t="n"/>
      <c r="G43" s="301" t="n"/>
      <c r="H43" s="301" t="n"/>
      <c r="I43" s="301" t="n"/>
      <c r="J43" s="1217" t="n"/>
    </row>
    <row r="44" ht="16.2" customHeight="1" thickBot="1">
      <c r="A44" s="1157" t="inlineStr">
        <is>
          <t>Supply Demand Reconcilation</t>
        </is>
      </c>
      <c r="B44" s="444" t="n"/>
      <c r="C44" s="444" t="n"/>
      <c r="D44" s="444" t="n"/>
      <c r="E44" s="444" t="n"/>
      <c r="F44" s="444" t="n"/>
      <c r="G44" s="444" t="n"/>
      <c r="H44" s="444" t="n"/>
      <c r="I44" s="444" t="n"/>
      <c r="J44" s="1217" t="n"/>
    </row>
    <row r="45" ht="15.6" customHeight="1" thickBot="1" thickTop="1">
      <c r="A45" s="328" t="inlineStr">
        <is>
          <t>Item</t>
        </is>
      </c>
      <c r="B45" s="536" t="inlineStr">
        <is>
          <t>FY26A</t>
        </is>
      </c>
      <c r="C45" s="536" t="inlineStr">
        <is>
          <t>FY27E</t>
        </is>
      </c>
      <c r="D45" s="536" t="inlineStr">
        <is>
          <t>FY28E</t>
        </is>
      </c>
      <c r="E45" s="536" t="inlineStr">
        <is>
          <t>FY29E</t>
        </is>
      </c>
      <c r="F45" s="536" t="inlineStr">
        <is>
          <t>FY30E</t>
        </is>
      </c>
      <c r="G45" s="536" t="inlineStr">
        <is>
          <t>FY31E</t>
        </is>
      </c>
      <c r="H45" s="536" t="inlineStr">
        <is>
          <t>FY32E</t>
        </is>
      </c>
      <c r="I45" s="537" t="inlineStr">
        <is>
          <t>FY33E</t>
        </is>
      </c>
      <c r="J45" s="1217" t="n"/>
    </row>
    <row r="46" ht="15" customHeight="1" thickTop="1">
      <c r="A46" s="206" t="inlineStr">
        <is>
          <t>Domestic Supply</t>
        </is>
      </c>
      <c r="B46" s="1480">
        <f>B37</f>
        <v/>
      </c>
      <c r="C46" s="1480">
        <f>C37</f>
        <v/>
      </c>
      <c r="D46" s="1480">
        <f>D37</f>
        <v/>
      </c>
      <c r="E46" s="1480">
        <f>E37</f>
        <v/>
      </c>
      <c r="F46" s="1480">
        <f>F37</f>
        <v/>
      </c>
      <c r="G46" s="1480">
        <f>G37</f>
        <v/>
      </c>
      <c r="H46" s="1480">
        <f>H37</f>
        <v/>
      </c>
      <c r="I46" s="1481">
        <f>I37</f>
        <v/>
      </c>
      <c r="J46" s="1217" t="n"/>
    </row>
    <row r="47">
      <c r="A47" s="207" t="inlineStr">
        <is>
          <t>Imports</t>
        </is>
      </c>
      <c r="B47" s="1487">
        <f>B38</f>
        <v/>
      </c>
      <c r="C47" s="1487">
        <f>C38</f>
        <v/>
      </c>
      <c r="D47" s="1487">
        <f>D38</f>
        <v/>
      </c>
      <c r="E47" s="1487">
        <f>E38</f>
        <v/>
      </c>
      <c r="F47" s="1487">
        <f>F38</f>
        <v/>
      </c>
      <c r="G47" s="1487">
        <f>G38</f>
        <v/>
      </c>
      <c r="H47" s="1487">
        <f>H38</f>
        <v/>
      </c>
      <c r="I47" s="1439">
        <f>I38</f>
        <v/>
      </c>
      <c r="J47" s="1217" t="n"/>
    </row>
    <row r="48">
      <c r="A48" s="207" t="inlineStr">
        <is>
          <t>Total Supply</t>
        </is>
      </c>
      <c r="B48" s="1499">
        <f>B47+B46</f>
        <v/>
      </c>
      <c r="C48" s="1499">
        <f>C47+C46</f>
        <v/>
      </c>
      <c r="D48" s="1499">
        <f>D47+D46</f>
        <v/>
      </c>
      <c r="E48" s="1499">
        <f>E47+E46</f>
        <v/>
      </c>
      <c r="F48" s="1499">
        <f>F47+F46</f>
        <v/>
      </c>
      <c r="G48" s="1499">
        <f>G47+G46</f>
        <v/>
      </c>
      <c r="H48" s="1499">
        <f>H47+H46</f>
        <v/>
      </c>
      <c r="I48" s="1500">
        <f>I47+I46</f>
        <v/>
      </c>
      <c r="J48" s="1217" t="n"/>
    </row>
    <row r="49">
      <c r="A49" s="207" t="inlineStr">
        <is>
          <t>Domestic Demand</t>
        </is>
      </c>
      <c r="B49" s="725">
        <f>'Steel Demand Model'!B50</f>
        <v/>
      </c>
      <c r="C49" s="1438">
        <f>'Steel Demand Model'!$E50</f>
        <v/>
      </c>
      <c r="D49" s="1438">
        <f>'Steel Demand Model'!$E51</f>
        <v/>
      </c>
      <c r="E49" s="1438">
        <f>'Steel Demand Model'!$E52</f>
        <v/>
      </c>
      <c r="F49" s="1438">
        <f>'Steel Demand Model'!$E53</f>
        <v/>
      </c>
      <c r="G49" s="1438">
        <f>'Steel Demand Model'!$E54</f>
        <v/>
      </c>
      <c r="H49" s="1438">
        <f>'Steel Demand Model'!$E55</f>
        <v/>
      </c>
      <c r="I49" s="1484">
        <f>'Steel Demand Model'!$E56</f>
        <v/>
      </c>
      <c r="J49" s="1501" t="n"/>
    </row>
    <row r="50">
      <c r="A50" s="207" t="inlineStr">
        <is>
          <t>Exports</t>
        </is>
      </c>
      <c r="B50" s="1487">
        <f>B39</f>
        <v/>
      </c>
      <c r="C50" s="1487">
        <f>C39</f>
        <v/>
      </c>
      <c r="D50" s="1487">
        <f>D39</f>
        <v/>
      </c>
      <c r="E50" s="1487">
        <f>E39</f>
        <v/>
      </c>
      <c r="F50" s="1487">
        <f>F39</f>
        <v/>
      </c>
      <c r="G50" s="1487">
        <f>G39</f>
        <v/>
      </c>
      <c r="H50" s="1487">
        <f>H39</f>
        <v/>
      </c>
      <c r="I50" s="1439">
        <f>I39</f>
        <v/>
      </c>
      <c r="J50" s="1217" t="n"/>
    </row>
    <row r="51">
      <c r="A51" s="207" t="inlineStr">
        <is>
          <t>Closing Inventory</t>
        </is>
      </c>
      <c r="B51" s="1502">
        <f>B40</f>
        <v/>
      </c>
      <c r="C51" s="1502">
        <f>C40</f>
        <v/>
      </c>
      <c r="D51" s="1502">
        <f>D40</f>
        <v/>
      </c>
      <c r="E51" s="1502">
        <f>E40</f>
        <v/>
      </c>
      <c r="F51" s="1502">
        <f>F40</f>
        <v/>
      </c>
      <c r="G51" s="1502">
        <f>G40</f>
        <v/>
      </c>
      <c r="H51" s="1502">
        <f>H40</f>
        <v/>
      </c>
      <c r="I51" s="1503">
        <f>I40</f>
        <v/>
      </c>
      <c r="J51" s="1217" t="n"/>
    </row>
    <row r="52" ht="15" customHeight="1" thickBot="1">
      <c r="A52" s="247" t="inlineStr">
        <is>
          <t>Balance Check</t>
        </is>
      </c>
      <c r="B52" s="721">
        <f>IF((B48-B49-B50-B51)&lt;1, "PASS", "FAIL")</f>
        <v/>
      </c>
      <c r="C52" s="700">
        <f>IF(ABS(C46+C47-C49-C50-C51)&lt;1,"PASS", "FAIL")</f>
        <v/>
      </c>
      <c r="D52" s="700">
        <f>IF(ABS(D46+D47-D49-D50-D51)&lt;1,"PASS", "FAIL")</f>
        <v/>
      </c>
      <c r="E52" s="700">
        <f>IF(ABS(E46+E47-E49-E50-E51)&lt;1,"PASS", "FAIL")</f>
        <v/>
      </c>
      <c r="F52" s="700">
        <f>IF(ABS(F46+F47-F49-F50-F51)&lt;1,"PASS", "FAIL")</f>
        <v/>
      </c>
      <c r="G52" s="700">
        <f>IF(ABS(G46+G47-G49-G50-G51)&lt;1,"PASS", "FAIL")</f>
        <v/>
      </c>
      <c r="H52" s="700">
        <f>IF(ABS(H46+H47-H49-H50-H51)&lt;1,"PASS", "FAIL")</f>
        <v/>
      </c>
      <c r="I52" s="700">
        <f>IF(ABS(I46+I47-I49-I50-I51)&lt;1,"PASS", "FAIL")</f>
        <v/>
      </c>
      <c r="J52" s="1217" t="n"/>
    </row>
    <row r="53">
      <c r="A53" s="1217" t="n"/>
      <c r="B53" s="301" t="n"/>
      <c r="C53" s="301" t="n"/>
      <c r="D53" s="301" t="n"/>
      <c r="E53" s="301" t="n"/>
      <c r="F53" s="301" t="n"/>
      <c r="G53" s="301" t="n"/>
      <c r="H53" s="301" t="n"/>
      <c r="I53" s="301" t="n"/>
      <c r="J53" s="1217" t="n"/>
    </row>
    <row r="54">
      <c r="A54" s="1217" t="n"/>
      <c r="B54" s="301" t="n"/>
      <c r="C54" s="301" t="n"/>
      <c r="D54" s="301" t="n"/>
      <c r="E54" s="301" t="n"/>
      <c r="F54" s="301" t="n"/>
      <c r="G54" s="301" t="n"/>
      <c r="H54" s="301" t="n"/>
      <c r="I54" s="301" t="n"/>
      <c r="J54" s="1217" t="n"/>
    </row>
    <row r="55" ht="16.2" customHeight="1" thickBot="1">
      <c r="A55" s="1184" t="inlineStr">
        <is>
          <t>Capacity Growth</t>
        </is>
      </c>
      <c r="J55" s="1217" t="n"/>
    </row>
    <row r="56" ht="29.4" customHeight="1" thickBot="1">
      <c r="A56" s="284" t="inlineStr">
        <is>
          <t>Year</t>
        </is>
      </c>
      <c r="B56" s="469" t="inlineStr">
        <is>
          <t>Existing Capacity</t>
        </is>
      </c>
      <c r="C56" s="469" t="inlineStr">
        <is>
          <t>New Capacity</t>
        </is>
      </c>
      <c r="D56" s="469" t="inlineStr">
        <is>
          <t>Total Capacity</t>
        </is>
      </c>
      <c r="E56" s="471" t="inlineStr">
        <is>
          <t>Growth %</t>
        </is>
      </c>
      <c r="F56" s="301" t="n"/>
      <c r="G56" s="301" t="n"/>
      <c r="H56" s="301" t="n"/>
      <c r="I56" s="301" t="n"/>
      <c r="J56" s="1217" t="n"/>
    </row>
    <row r="57" ht="15" customHeight="1" thickTop="1">
      <c r="A57" s="206" t="inlineStr">
        <is>
          <t>FY26</t>
        </is>
      </c>
      <c r="B57" s="1504" t="n">
        <v>200.33</v>
      </c>
      <c r="C57" s="1436">
        <f>'Capacity Forecast'!$C$95</f>
        <v/>
      </c>
      <c r="D57" s="1436">
        <f>'Capacity Forecast'!C$96</f>
        <v/>
      </c>
      <c r="E57" s="1505">
        <f>IFERROR(D57/B57-1,"")</f>
        <v/>
      </c>
      <c r="F57" s="301" t="n"/>
      <c r="G57" s="301" t="n"/>
      <c r="H57" s="301" t="n"/>
      <c r="I57" s="301" t="n"/>
      <c r="J57" s="1217" t="n"/>
    </row>
    <row r="58">
      <c r="A58" s="207" t="inlineStr">
        <is>
          <t>FY27</t>
        </is>
      </c>
      <c r="B58" s="1487">
        <f>D57</f>
        <v/>
      </c>
      <c r="C58" s="1436">
        <f>'Capacity Forecast'!$D$95</f>
        <v/>
      </c>
      <c r="D58" s="1436">
        <f>'Capacity Forecast'!D$96</f>
        <v/>
      </c>
      <c r="E58" s="1493">
        <f>IFERROR(D58/B58-1,"")</f>
        <v/>
      </c>
      <c r="F58" s="301" t="n"/>
      <c r="G58" s="301" t="n"/>
      <c r="H58" s="301" t="n"/>
      <c r="I58" s="301" t="n"/>
      <c r="J58" s="1217" t="n"/>
    </row>
    <row r="59">
      <c r="A59" s="207" t="inlineStr">
        <is>
          <t>FY28</t>
        </is>
      </c>
      <c r="B59" s="1487">
        <f>D58</f>
        <v/>
      </c>
      <c r="C59" s="1436">
        <f>'Capacity Forecast'!$E$95</f>
        <v/>
      </c>
      <c r="D59" s="1436">
        <f>'Capacity Forecast'!E$96</f>
        <v/>
      </c>
      <c r="E59" s="1493">
        <f>IFERROR(D59/B59-1,"")</f>
        <v/>
      </c>
      <c r="F59" s="301" t="n"/>
      <c r="G59" s="301" t="n"/>
      <c r="H59" s="301" t="n"/>
      <c r="I59" s="301" t="n"/>
      <c r="J59" s="1217" t="n"/>
    </row>
    <row r="60">
      <c r="A60" s="207" t="inlineStr">
        <is>
          <t>FY29</t>
        </is>
      </c>
      <c r="B60" s="1487">
        <f>D59</f>
        <v/>
      </c>
      <c r="C60" s="1436">
        <f>'Capacity Forecast'!$F$95</f>
        <v/>
      </c>
      <c r="D60" s="1436">
        <f>'Capacity Forecast'!F$96</f>
        <v/>
      </c>
      <c r="E60" s="1493">
        <f>IFERROR(D60/B60-1,"")</f>
        <v/>
      </c>
      <c r="F60" s="301" t="n"/>
      <c r="G60" s="301" t="n"/>
      <c r="H60" s="301" t="n"/>
      <c r="I60" s="301" t="n"/>
      <c r="J60" s="1217" t="n"/>
    </row>
    <row r="61">
      <c r="A61" s="207" t="inlineStr">
        <is>
          <t>FY30</t>
        </is>
      </c>
      <c r="B61" s="1487">
        <f>D60</f>
        <v/>
      </c>
      <c r="C61" s="1436">
        <f>'Capacity Forecast'!$G$95</f>
        <v/>
      </c>
      <c r="D61" s="1436">
        <f>'Capacity Forecast'!G$96</f>
        <v/>
      </c>
      <c r="E61" s="1493">
        <f>IFERROR(D61/B61-1,"")</f>
        <v/>
      </c>
      <c r="F61" s="301" t="n"/>
      <c r="G61" s="301" t="n"/>
      <c r="H61" s="301" t="n"/>
      <c r="I61" s="301" t="n"/>
      <c r="J61" s="1217" t="n"/>
    </row>
    <row r="62">
      <c r="A62" s="207" t="inlineStr">
        <is>
          <t>FY31</t>
        </is>
      </c>
      <c r="B62" s="1487">
        <f>D61</f>
        <v/>
      </c>
      <c r="C62" s="1436">
        <f>'Capacity Forecast'!$H$95</f>
        <v/>
      </c>
      <c r="D62" s="1436">
        <f>'Capacity Forecast'!H$96</f>
        <v/>
      </c>
      <c r="E62" s="1493">
        <f>IFERROR(D62/B62-1,"")</f>
        <v/>
      </c>
      <c r="F62" s="301" t="n"/>
      <c r="G62" s="301" t="n"/>
      <c r="H62" s="301" t="n"/>
      <c r="I62" s="301" t="n"/>
      <c r="J62" s="1217" t="n"/>
    </row>
    <row r="63">
      <c r="A63" s="207" t="inlineStr">
        <is>
          <t>FY32</t>
        </is>
      </c>
      <c r="B63" s="1487">
        <f>D62</f>
        <v/>
      </c>
      <c r="C63" s="1436">
        <f>'Capacity Forecast'!$I$95</f>
        <v/>
      </c>
      <c r="D63" s="1436">
        <f>'Capacity Forecast'!I$96</f>
        <v/>
      </c>
      <c r="E63" s="1493">
        <f>IFERROR(D63/B63-1,"")</f>
        <v/>
      </c>
      <c r="F63" s="301" t="n"/>
      <c r="G63" s="301" t="n"/>
      <c r="H63" s="301" t="n"/>
      <c r="I63" s="301" t="n"/>
      <c r="J63" s="1217" t="n"/>
    </row>
    <row r="64" ht="15" customHeight="1" thickBot="1">
      <c r="A64" s="208" t="inlineStr">
        <is>
          <t>FY33</t>
        </is>
      </c>
      <c r="B64" s="1506">
        <f>D63</f>
        <v/>
      </c>
      <c r="C64" s="1436">
        <f>'Capacity Forecast'!$J$95</f>
        <v/>
      </c>
      <c r="D64" s="1436">
        <f>'Capacity Forecast'!J$96</f>
        <v/>
      </c>
      <c r="E64" s="1495">
        <f>IFERROR(D64/B64-1,"")</f>
        <v/>
      </c>
      <c r="F64" s="301" t="n"/>
      <c r="G64" s="301" t="n"/>
      <c r="H64" s="301" t="n"/>
      <c r="I64" s="301" t="n"/>
      <c r="J64" s="1217" t="n"/>
    </row>
    <row r="65">
      <c r="A65" s="1217" t="n"/>
      <c r="B65" s="301" t="n"/>
      <c r="C65" s="301" t="n"/>
      <c r="D65" s="301" t="n"/>
      <c r="E65" s="301" t="n"/>
      <c r="F65" s="301" t="n"/>
      <c r="G65" s="301" t="n"/>
      <c r="H65" s="301" t="n"/>
      <c r="I65" s="301" t="n"/>
      <c r="J65" s="1217" t="n"/>
    </row>
    <row r="66">
      <c r="A66" s="1217" t="n"/>
      <c r="B66" s="301" t="n"/>
      <c r="C66" s="301" t="n"/>
      <c r="D66" s="301" t="n"/>
      <c r="E66" s="301" t="n"/>
      <c r="F66" s="301" t="n"/>
      <c r="G66" s="301" t="n"/>
      <c r="H66" s="301" t="n"/>
      <c r="I66" s="301" t="n"/>
      <c r="J66" s="1217" t="n"/>
    </row>
    <row r="67" ht="16.2" customHeight="1" thickBot="1">
      <c r="A67" s="1184" t="inlineStr">
        <is>
          <t>Import &amp; Export Dependancy</t>
        </is>
      </c>
      <c r="J67" s="1217" t="n"/>
    </row>
    <row r="68" ht="15" customHeight="1" thickBot="1">
      <c r="A68" s="284" t="inlineStr">
        <is>
          <t>Metric</t>
        </is>
      </c>
      <c r="B68" s="469" t="inlineStr">
        <is>
          <t>FY26A</t>
        </is>
      </c>
      <c r="C68" s="469" t="inlineStr">
        <is>
          <t>FY27E</t>
        </is>
      </c>
      <c r="D68" s="469" t="inlineStr">
        <is>
          <t>FY28E</t>
        </is>
      </c>
      <c r="E68" s="469" t="inlineStr">
        <is>
          <t>FY29E</t>
        </is>
      </c>
      <c r="F68" s="469" t="inlineStr">
        <is>
          <t>FY30E</t>
        </is>
      </c>
      <c r="G68" s="469" t="inlineStr">
        <is>
          <t>FY31E</t>
        </is>
      </c>
      <c r="H68" s="469" t="inlineStr">
        <is>
          <t>FY32E</t>
        </is>
      </c>
      <c r="I68" s="471" t="inlineStr">
        <is>
          <t>FY33E</t>
        </is>
      </c>
      <c r="J68" s="1217" t="n"/>
    </row>
    <row r="69" ht="15" customHeight="1" thickTop="1">
      <c r="A69" s="206" t="inlineStr">
        <is>
          <t>Imports (Mt)</t>
        </is>
      </c>
      <c r="B69" s="1436">
        <f>'Trade Model'!C$70</f>
        <v/>
      </c>
      <c r="C69" s="1436">
        <f>'Trade Model'!D$70</f>
        <v/>
      </c>
      <c r="D69" s="1436">
        <f>'Trade Model'!E$70</f>
        <v/>
      </c>
      <c r="E69" s="1436">
        <f>'Trade Model'!F$70</f>
        <v/>
      </c>
      <c r="F69" s="1436">
        <f>'Trade Model'!G$70</f>
        <v/>
      </c>
      <c r="G69" s="1436">
        <f>'Trade Model'!H$70</f>
        <v/>
      </c>
      <c r="H69" s="1436">
        <f>'Trade Model'!I$70</f>
        <v/>
      </c>
      <c r="I69" s="1436">
        <f>'Trade Model'!J$70</f>
        <v/>
      </c>
      <c r="J69" s="1217" t="n"/>
    </row>
    <row r="70">
      <c r="A70" s="207" t="inlineStr">
        <is>
          <t>Exports (Mt)</t>
        </is>
      </c>
      <c r="B70" s="1438">
        <f>'Trade Model'!C$72</f>
        <v/>
      </c>
      <c r="C70" s="1438">
        <f>'Trade Model'!D$72</f>
        <v/>
      </c>
      <c r="D70" s="1438">
        <f>'Trade Model'!E$72</f>
        <v/>
      </c>
      <c r="E70" s="1438">
        <f>'Trade Model'!F$72</f>
        <v/>
      </c>
      <c r="F70" s="1438">
        <f>'Trade Model'!G$72</f>
        <v/>
      </c>
      <c r="G70" s="1438">
        <f>'Trade Model'!H$72</f>
        <v/>
      </c>
      <c r="H70" s="1438">
        <f>'Trade Model'!I$72</f>
        <v/>
      </c>
      <c r="I70" s="1438">
        <f>'Trade Model'!J$72</f>
        <v/>
      </c>
      <c r="J70" s="1217" t="n"/>
    </row>
    <row r="71">
      <c r="A71" s="207" t="inlineStr">
        <is>
          <t>Net Imports (Mt)</t>
        </is>
      </c>
      <c r="B71" s="1502">
        <f>B69-B70</f>
        <v/>
      </c>
      <c r="C71" s="1502">
        <f>C69-C70</f>
        <v/>
      </c>
      <c r="D71" s="1502">
        <f>D69-D70</f>
        <v/>
      </c>
      <c r="E71" s="1502">
        <f>E69-E70</f>
        <v/>
      </c>
      <c r="F71" s="1502">
        <f>F69-F70</f>
        <v/>
      </c>
      <c r="G71" s="1502">
        <f>G69-G70</f>
        <v/>
      </c>
      <c r="H71" s="1502">
        <f>H69-H70</f>
        <v/>
      </c>
      <c r="I71" s="1503">
        <f>I69-I70</f>
        <v/>
      </c>
      <c r="J71" s="1217" t="n"/>
    </row>
    <row r="72">
      <c r="A72" s="207" t="inlineStr">
        <is>
          <t>Import Dependency (%)</t>
        </is>
      </c>
      <c r="B72" s="1485">
        <f>'Trade Model'!C$77</f>
        <v/>
      </c>
      <c r="C72" s="1485">
        <f>'Trade Model'!D$77</f>
        <v/>
      </c>
      <c r="D72" s="1485">
        <f>'Trade Model'!E$77</f>
        <v/>
      </c>
      <c r="E72" s="1485">
        <f>'Trade Model'!F$77</f>
        <v/>
      </c>
      <c r="F72" s="1485">
        <f>'Trade Model'!G$77</f>
        <v/>
      </c>
      <c r="G72" s="1485">
        <f>'Trade Model'!H$77</f>
        <v/>
      </c>
      <c r="H72" s="1485">
        <f>'Trade Model'!I$77</f>
        <v/>
      </c>
      <c r="I72" s="1485">
        <f>'Trade Model'!J$77</f>
        <v/>
      </c>
      <c r="J72" s="1217" t="n"/>
    </row>
    <row r="73" ht="15" customHeight="1" thickBot="1">
      <c r="A73" s="208" t="inlineStr">
        <is>
          <t>Export Ratio (%)</t>
        </is>
      </c>
      <c r="B73" s="1507">
        <f>'Trade Model'!C$78</f>
        <v/>
      </c>
      <c r="C73" s="1507">
        <f>'Trade Model'!D$78</f>
        <v/>
      </c>
      <c r="D73" s="1507">
        <f>'Trade Model'!E$78</f>
        <v/>
      </c>
      <c r="E73" s="1507">
        <f>'Trade Model'!F$78</f>
        <v/>
      </c>
      <c r="F73" s="1507">
        <f>'Trade Model'!G$78</f>
        <v/>
      </c>
      <c r="G73" s="1507">
        <f>'Trade Model'!H$78</f>
        <v/>
      </c>
      <c r="H73" s="1507">
        <f>'Trade Model'!I$78</f>
        <v/>
      </c>
      <c r="I73" s="1507">
        <f>'Trade Model'!J$78</f>
        <v/>
      </c>
      <c r="J73" s="1217" t="n"/>
    </row>
    <row r="74">
      <c r="A74" s="1217" t="n"/>
      <c r="B74" s="301" t="n"/>
      <c r="C74" s="301" t="n"/>
      <c r="D74" s="301" t="n"/>
      <c r="E74" s="301" t="n"/>
      <c r="F74" s="301" t="n"/>
      <c r="G74" s="301" t="n"/>
      <c r="H74" s="301" t="n"/>
      <c r="I74" s="301" t="n"/>
      <c r="J74" s="1217" t="n"/>
    </row>
    <row r="75">
      <c r="A75" s="1217" t="n"/>
      <c r="B75" s="301" t="n"/>
      <c r="C75" s="301" t="n"/>
      <c r="D75" s="301" t="n"/>
      <c r="E75" s="301" t="n"/>
      <c r="F75" s="301" t="n"/>
      <c r="G75" s="301" t="n"/>
      <c r="H75" s="301" t="n"/>
      <c r="I75" s="301" t="n"/>
      <c r="J75" s="1217" t="n"/>
    </row>
    <row r="76" ht="16.2" customHeight="1" thickBot="1">
      <c r="A76" s="1239" t="inlineStr">
        <is>
          <t>Workbook</t>
        </is>
      </c>
      <c r="B76" s="1508" t="n"/>
      <c r="C76" s="1508" t="n"/>
      <c r="D76" s="1508" t="n"/>
      <c r="E76" s="1508" t="n"/>
      <c r="F76" s="1508" t="n"/>
      <c r="G76" s="1508" t="n"/>
      <c r="H76" s="1508" t="n"/>
      <c r="I76" s="1508" t="n"/>
      <c r="J76" s="1508" t="n"/>
      <c r="K76" s="1508" t="n"/>
    </row>
    <row r="77">
      <c r="A77" s="277" t="inlineStr">
        <is>
          <t>Line item</t>
        </is>
      </c>
      <c r="B77" s="478" t="inlineStr">
        <is>
          <t>Unit</t>
        </is>
      </c>
      <c r="C77" s="678" t="inlineStr">
        <is>
          <t>FY2026A</t>
        </is>
      </c>
      <c r="D77" s="678" t="inlineStr">
        <is>
          <t>FY2027E</t>
        </is>
      </c>
      <c r="E77" s="678" t="inlineStr">
        <is>
          <t>FY2028E</t>
        </is>
      </c>
      <c r="F77" s="678" t="inlineStr">
        <is>
          <t>FY2029E</t>
        </is>
      </c>
      <c r="G77" s="678" t="inlineStr">
        <is>
          <t>FY2030E</t>
        </is>
      </c>
      <c r="H77" s="678" t="inlineStr">
        <is>
          <t>FY2031E</t>
        </is>
      </c>
      <c r="I77" s="678" t="inlineStr">
        <is>
          <t>FY2032E</t>
        </is>
      </c>
      <c r="J77" s="678" t="inlineStr">
        <is>
          <t>FY2033E</t>
        </is>
      </c>
      <c r="K77" s="479" t="inlineStr">
        <is>
          <t>Audit Code</t>
        </is>
      </c>
    </row>
    <row r="78" ht="27.6" customHeight="1">
      <c r="A78" s="423" t="inlineStr">
        <is>
          <t>Apparent finished steel consumption</t>
        </is>
      </c>
      <c r="B78" s="456" t="inlineStr">
        <is>
          <t>Mt</t>
        </is>
      </c>
      <c r="C78" s="1509">
        <f>'Model Calibration'!D12</f>
        <v/>
      </c>
      <c r="D78" s="1509">
        <f>'Steel Demand Model'!D75</f>
        <v/>
      </c>
      <c r="E78" s="1509">
        <f>'Steel Demand Model'!E75</f>
        <v/>
      </c>
      <c r="F78" s="1509">
        <f>'Steel Demand Model'!F75</f>
        <v/>
      </c>
      <c r="G78" s="1509">
        <f>'Steel Demand Model'!G75</f>
        <v/>
      </c>
      <c r="H78" s="1509">
        <f>'Steel Demand Model'!H75</f>
        <v/>
      </c>
      <c r="I78" s="1509">
        <f>'Steel Demand Model'!I75</f>
        <v/>
      </c>
      <c r="J78" s="1509">
        <f>'Steel Demand Model'!J75</f>
        <v/>
      </c>
      <c r="K78" s="710" t="n"/>
    </row>
    <row r="79">
      <c r="A79" s="423" t="inlineStr">
        <is>
          <t>Net finished steel exports</t>
        </is>
      </c>
      <c r="B79" s="456" t="inlineStr">
        <is>
          <t>Mt</t>
        </is>
      </c>
      <c r="C79" s="1509">
        <f>'Model Assumptions'!D14</f>
        <v/>
      </c>
      <c r="D79" s="1509">
        <f>'Model Assumptions'!E14</f>
        <v/>
      </c>
      <c r="E79" s="1509">
        <f>'Model Assumptions'!F14</f>
        <v/>
      </c>
      <c r="F79" s="1509">
        <f>'Model Assumptions'!G14</f>
        <v/>
      </c>
      <c r="G79" s="1509">
        <f>'Model Assumptions'!H14</f>
        <v/>
      </c>
      <c r="H79" s="1509">
        <f>'Model Assumptions'!I14</f>
        <v/>
      </c>
      <c r="I79" s="1509">
        <f>'Model Assumptions'!J14</f>
        <v/>
      </c>
      <c r="J79" s="1509">
        <f>'Model Assumptions'!K14</f>
        <v/>
      </c>
      <c r="K79" s="710" t="inlineStr">
        <is>
          <t>SS02</t>
        </is>
      </c>
    </row>
    <row r="80">
      <c r="A80" s="423" t="inlineStr">
        <is>
          <t>Variation in stock</t>
        </is>
      </c>
      <c r="B80" s="456" t="inlineStr">
        <is>
          <t>Mt</t>
        </is>
      </c>
      <c r="C80" s="1509">
        <f>'Model Assumptions'!D15</f>
        <v/>
      </c>
      <c r="D80" s="1509">
        <f>'Model Assumptions'!E15</f>
        <v/>
      </c>
      <c r="E80" s="1509">
        <f>'Model Assumptions'!F15</f>
        <v/>
      </c>
      <c r="F80" s="1509">
        <f>'Model Assumptions'!G15</f>
        <v/>
      </c>
      <c r="G80" s="1509">
        <f>'Model Assumptions'!H15</f>
        <v/>
      </c>
      <c r="H80" s="1509">
        <f>'Model Assumptions'!I15</f>
        <v/>
      </c>
      <c r="I80" s="1509">
        <f>'Model Assumptions'!J15</f>
        <v/>
      </c>
      <c r="J80" s="1509">
        <f>'Model Assumptions'!K15</f>
        <v/>
      </c>
      <c r="K80" s="710" t="inlineStr">
        <is>
          <t>SS03</t>
        </is>
      </c>
    </row>
    <row r="81">
      <c r="A81" s="423" t="inlineStr">
        <is>
          <t>Required finished steel production</t>
        </is>
      </c>
      <c r="B81" s="456" t="inlineStr">
        <is>
          <t>Mt</t>
        </is>
      </c>
      <c r="C81" s="1510">
        <f>'Model Calibration'!D11</f>
        <v/>
      </c>
      <c r="D81" s="1511">
        <f>D78+D79+D80</f>
        <v/>
      </c>
      <c r="E81" s="1511">
        <f>E78+E79+E80</f>
        <v/>
      </c>
      <c r="F81" s="1511">
        <f>F78+F79+F80</f>
        <v/>
      </c>
      <c r="G81" s="1511">
        <f>G78+G79+G80</f>
        <v/>
      </c>
      <c r="H81" s="1511">
        <f>H78+H79+H80</f>
        <v/>
      </c>
      <c r="I81" s="1511">
        <f>I78+I79+I80</f>
        <v/>
      </c>
      <c r="J81" s="1511">
        <f>J78+J79+J80</f>
        <v/>
      </c>
      <c r="K81" s="710" t="inlineStr">
        <is>
          <t>SS04</t>
        </is>
      </c>
    </row>
    <row r="82">
      <c r="A82" s="423" t="inlineStr">
        <is>
          <t>Crude-to-finished steel ratio</t>
        </is>
      </c>
      <c r="B82" s="456" t="inlineStr">
        <is>
          <t>x</t>
        </is>
      </c>
      <c r="C82" s="1466">
        <f>'Model Assumptions'!D$13</f>
        <v/>
      </c>
      <c r="D82" s="1466">
        <f>'Model Assumptions'!E$13</f>
        <v/>
      </c>
      <c r="E82" s="1466">
        <f>'Model Assumptions'!F$13</f>
        <v/>
      </c>
      <c r="F82" s="1466">
        <f>'Model Assumptions'!G$13</f>
        <v/>
      </c>
      <c r="G82" s="1466">
        <f>'Model Assumptions'!H$13</f>
        <v/>
      </c>
      <c r="H82" s="1466">
        <f>'Model Assumptions'!I$13</f>
        <v/>
      </c>
      <c r="I82" s="1466">
        <f>'Model Assumptions'!J$13</f>
        <v/>
      </c>
      <c r="J82" s="1466">
        <f>'Model Assumptions'!K$13</f>
        <v/>
      </c>
      <c r="K82" s="710" t="inlineStr">
        <is>
          <t>SS05</t>
        </is>
      </c>
    </row>
    <row r="83" ht="27.6" customHeight="1">
      <c r="A83" s="423" t="inlineStr">
        <is>
          <t>Required crude steel production (unconstrained)</t>
        </is>
      </c>
      <c r="B83" s="456" t="inlineStr">
        <is>
          <t>Mt</t>
        </is>
      </c>
      <c r="C83" s="1472">
        <f>C81*C82</f>
        <v/>
      </c>
      <c r="D83" s="1472">
        <f>D81*D82</f>
        <v/>
      </c>
      <c r="E83" s="1472">
        <f>E81*E82</f>
        <v/>
      </c>
      <c r="F83" s="1472">
        <f>F81*F82</f>
        <v/>
      </c>
      <c r="G83" s="1472">
        <f>G81*G82</f>
        <v/>
      </c>
      <c r="H83" s="1472">
        <f>H81*H82</f>
        <v/>
      </c>
      <c r="I83" s="1472">
        <f>I81*I82</f>
        <v/>
      </c>
      <c r="J83" s="1472">
        <f>J81*J82</f>
        <v/>
      </c>
      <c r="K83" s="710" t="n"/>
    </row>
    <row r="84">
      <c r="A84" s="1241" t="inlineStr">
        <is>
          <t>CAPACITY CEILING</t>
        </is>
      </c>
      <c r="B84" s="1342" t="n"/>
      <c r="C84" s="1342" t="n"/>
      <c r="D84" s="1342" t="n"/>
      <c r="E84" s="1342" t="n"/>
      <c r="F84" s="1342" t="n"/>
      <c r="G84" s="1342" t="n"/>
      <c r="H84" s="1342" t="n"/>
      <c r="I84" s="1342" t="n"/>
      <c r="J84" s="1360" t="n"/>
      <c r="K84" s="710" t="n"/>
    </row>
    <row r="85">
      <c r="A85" s="423" t="inlineStr">
        <is>
          <t>Crude steel capacity</t>
        </is>
      </c>
      <c r="B85" s="456" t="inlineStr">
        <is>
          <t>Mtpa</t>
        </is>
      </c>
      <c r="C85" s="1510">
        <f>'Capacity Forecast'!C$96</f>
        <v/>
      </c>
      <c r="D85" s="1510">
        <f>'Capacity Forecast'!D$96</f>
        <v/>
      </c>
      <c r="E85" s="1510">
        <f>'Capacity Forecast'!E$96</f>
        <v/>
      </c>
      <c r="F85" s="1510">
        <f>'Capacity Forecast'!F$96</f>
        <v/>
      </c>
      <c r="G85" s="1510">
        <f>'Capacity Forecast'!G$96</f>
        <v/>
      </c>
      <c r="H85" s="1510">
        <f>'Capacity Forecast'!H$96</f>
        <v/>
      </c>
      <c r="I85" s="1510">
        <f>'Capacity Forecast'!I$96</f>
        <v/>
      </c>
      <c r="J85" s="1510">
        <f>'Capacity Forecast'!J$96</f>
        <v/>
      </c>
      <c r="K85" s="710" t="n"/>
    </row>
    <row r="86">
      <c r="A86" s="423" t="inlineStr">
        <is>
          <t>Maximum practical utilisation</t>
        </is>
      </c>
      <c r="B86" s="456" t="inlineStr">
        <is>
          <t>%</t>
        </is>
      </c>
      <c r="C86" s="1512">
        <f>'Model Assumptions'!D$32</f>
        <v/>
      </c>
      <c r="D86" s="1512">
        <f>'Model Assumptions'!E$32</f>
        <v/>
      </c>
      <c r="E86" s="1512">
        <f>'Model Assumptions'!F$32</f>
        <v/>
      </c>
      <c r="F86" s="1512">
        <f>'Model Assumptions'!G$32</f>
        <v/>
      </c>
      <c r="G86" s="1512">
        <f>'Model Assumptions'!H$32</f>
        <v/>
      </c>
      <c r="H86" s="1512">
        <f>'Model Assumptions'!I$32</f>
        <v/>
      </c>
      <c r="I86" s="1512">
        <f>'Model Assumptions'!J$32</f>
        <v/>
      </c>
      <c r="J86" s="1512">
        <f>'Model Assumptions'!K$32</f>
        <v/>
      </c>
      <c r="K86" s="710" t="inlineStr">
        <is>
          <t>SS06</t>
        </is>
      </c>
    </row>
    <row r="87">
      <c r="A87" s="423" t="inlineStr">
        <is>
          <t>Maximum crude steel production</t>
        </is>
      </c>
      <c r="B87" s="456" t="inlineStr">
        <is>
          <t>Mt</t>
        </is>
      </c>
      <c r="C87" s="1472">
        <f>C85*C86</f>
        <v/>
      </c>
      <c r="D87" s="1472">
        <f>D85*D86</f>
        <v/>
      </c>
      <c r="E87" s="1472">
        <f>E85*E86</f>
        <v/>
      </c>
      <c r="F87" s="1472">
        <f>F85*F86</f>
        <v/>
      </c>
      <c r="G87" s="1472">
        <f>G85*G86</f>
        <v/>
      </c>
      <c r="H87" s="1472">
        <f>H85*H86</f>
        <v/>
      </c>
      <c r="I87" s="1472">
        <f>I85*I86</f>
        <v/>
      </c>
      <c r="J87" s="1472">
        <f>J85*J86</f>
        <v/>
      </c>
      <c r="K87" s="710" t="inlineStr">
        <is>
          <t>SS07</t>
        </is>
      </c>
    </row>
    <row r="88">
      <c r="A88" s="480" t="inlineStr">
        <is>
          <t>Crude steel production</t>
        </is>
      </c>
      <c r="B88" s="456" t="inlineStr">
        <is>
          <t>Mt</t>
        </is>
      </c>
      <c r="C88" s="1513">
        <f>MIN(C83,C87)</f>
        <v/>
      </c>
      <c r="D88" s="1513">
        <f>MIN(D83,D87)</f>
        <v/>
      </c>
      <c r="E88" s="1513">
        <f>MIN(E83,E87)</f>
        <v/>
      </c>
      <c r="F88" s="1513">
        <f>MIN(F83,F87)</f>
        <v/>
      </c>
      <c r="G88" s="1513">
        <f>MIN(G83,G87)</f>
        <v/>
      </c>
      <c r="H88" s="1513">
        <f>MIN(H83,H87)</f>
        <v/>
      </c>
      <c r="I88" s="1513">
        <f>MIN(I83,I87)</f>
        <v/>
      </c>
      <c r="J88" s="1513">
        <f>MIN(J83,J87)</f>
        <v/>
      </c>
      <c r="K88" s="710" t="n"/>
    </row>
    <row r="89">
      <c r="A89" s="423" t="inlineStr">
        <is>
          <t>Capacity ceiling binding?</t>
        </is>
      </c>
      <c r="B89" s="456" t="inlineStr">
        <is>
          <t>flag</t>
        </is>
      </c>
      <c r="C89" s="694">
        <f>IF(C83&gt;C87+0.001,"BINDING","no")</f>
        <v/>
      </c>
      <c r="D89" s="694">
        <f>IF(D83&gt;D87+0.001,"BINDING","no")</f>
        <v/>
      </c>
      <c r="E89" s="694">
        <f>IF(E83&gt;E87+0.001,"BINDING","no")</f>
        <v/>
      </c>
      <c r="F89" s="694">
        <f>IF(F83&gt;F87+0.001,"BINDING","no")</f>
        <v/>
      </c>
      <c r="G89" s="694">
        <f>IF(G83&gt;G87+0.001,"BINDING","no")</f>
        <v/>
      </c>
      <c r="H89" s="694">
        <f>IF(H83&gt;H87+0.001,"BINDING","no")</f>
        <v/>
      </c>
      <c r="I89" s="694">
        <f>IF(I83&gt;I87+0.001,"BINDING","no")</f>
        <v/>
      </c>
      <c r="J89" s="694">
        <f>IF(J83&gt;J87+0.001,"BINDING","no")</f>
        <v/>
      </c>
      <c r="K89" s="710" t="inlineStr">
        <is>
          <t>SS08</t>
        </is>
      </c>
    </row>
    <row r="90">
      <c r="A90" s="480" t="inlineStr">
        <is>
          <t>Finished steel production</t>
        </is>
      </c>
      <c r="B90" s="456" t="inlineStr">
        <is>
          <t>Mt</t>
        </is>
      </c>
      <c r="C90" s="1513">
        <f>C88/C82</f>
        <v/>
      </c>
      <c r="D90" s="1513">
        <f>D88/D82</f>
        <v/>
      </c>
      <c r="E90" s="1513">
        <f>E88/E82</f>
        <v/>
      </c>
      <c r="F90" s="1513">
        <f>F88/F82</f>
        <v/>
      </c>
      <c r="G90" s="1513">
        <f>G88/G82</f>
        <v/>
      </c>
      <c r="H90" s="1513">
        <f>H88/H82</f>
        <v/>
      </c>
      <c r="I90" s="1513">
        <f>I88/I82</f>
        <v/>
      </c>
      <c r="J90" s="1513">
        <f>J88/J82</f>
        <v/>
      </c>
      <c r="K90" s="710" t="n"/>
    </row>
    <row r="91" ht="13.8" customHeight="1" thickBot="1">
      <c r="A91" s="481" t="inlineStr">
        <is>
          <t>Shortfall met by additional imports</t>
        </is>
      </c>
      <c r="B91" s="482" t="inlineStr">
        <is>
          <t>Mt</t>
        </is>
      </c>
      <c r="C91" s="1514">
        <f>MAX(0,C81-C90)</f>
        <v/>
      </c>
      <c r="D91" s="1514">
        <f>MAX(0,D81-D90)</f>
        <v/>
      </c>
      <c r="E91" s="1514">
        <f>MAX(0,E81-E90)</f>
        <v/>
      </c>
      <c r="F91" s="1514">
        <f>MAX(0,F81-F90)</f>
        <v/>
      </c>
      <c r="G91" s="1514">
        <f>MAX(0,G81-G90)</f>
        <v/>
      </c>
      <c r="H91" s="1514">
        <f>MAX(0,H81-H90)</f>
        <v/>
      </c>
      <c r="I91" s="1514">
        <f>MAX(0,I81-I90)</f>
        <v/>
      </c>
      <c r="J91" s="1514">
        <f>MAX(0,J81-J90)</f>
        <v/>
      </c>
      <c r="K91" s="711" t="inlineStr">
        <is>
          <t>SS09</t>
        </is>
      </c>
    </row>
    <row r="92">
      <c r="C92" s="696" t="n"/>
      <c r="D92" s="696" t="n"/>
      <c r="E92" s="696" t="n"/>
      <c r="F92" s="696" t="n"/>
      <c r="G92" s="696" t="n"/>
      <c r="H92" s="696" t="n"/>
      <c r="I92" s="696" t="n"/>
      <c r="J92" s="696" t="n"/>
    </row>
    <row r="93" ht="22.2" customHeight="1">
      <c r="A93" s="1240" t="inlineStr">
        <is>
          <t>The model does NOT endogenise supply response - it does not idle capacity when margins turn negative. This is why the stress case should be read as a lower bound on margin rather than a central expectation, and is a documented limitation on 25 Audit Checks.</t>
        </is>
      </c>
    </row>
  </sheetData>
  <mergeCells count="14">
    <mergeCell ref="A7:I7"/>
    <mergeCell ref="A5:J5"/>
    <mergeCell ref="P3:Q3"/>
    <mergeCell ref="N3:O3"/>
    <mergeCell ref="A2:I2"/>
    <mergeCell ref="A84:J84"/>
    <mergeCell ref="A44:I44"/>
    <mergeCell ref="A29:J29"/>
    <mergeCell ref="A67:I67"/>
    <mergeCell ref="A93:K93"/>
    <mergeCell ref="A76:K76"/>
    <mergeCell ref="A55:I55"/>
    <mergeCell ref="A19:D19"/>
    <mergeCell ref="A1:Q1"/>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codeName="Sheet11">
    <tabColor rgb="FF002060"/>
    <outlinePr summaryBelow="1" summaryRight="1"/>
    <pageSetUpPr/>
  </sheetPr>
  <dimension ref="A1:N103"/>
  <sheetViews>
    <sheetView showGridLines="0" topLeftCell="A89" workbookViewId="0">
      <selection activeCell="B12" sqref="B12"/>
    </sheetView>
  </sheetViews>
  <sheetFormatPr baseColWidth="8" defaultRowHeight="14.4"/>
  <cols>
    <col width="35.109375" customWidth="1" min="1" max="1"/>
    <col width="13.44140625" customWidth="1" min="2" max="9"/>
    <col width="12.33203125" customWidth="1" min="10" max="10"/>
    <col width="9.77734375" customWidth="1" min="11" max="11"/>
    <col width="12.21875" customWidth="1" min="12" max="12"/>
    <col width="8.6640625" customWidth="1" min="13" max="13"/>
    <col width="56.21875" customWidth="1" min="14" max="14"/>
  </cols>
  <sheetData>
    <row r="1" ht="25.8" customHeight="1">
      <c r="A1" s="1150" t="inlineStr">
        <is>
          <t>CAPACITY FORECAST</t>
        </is>
      </c>
    </row>
    <row r="2" ht="15" customHeight="1" thickBot="1">
      <c r="A2" s="1159" t="inlineStr">
        <is>
          <t xml:space="preserve">Industry Financial Model  |  Indian Steel Industry  |  Horizon FY2027E-FY2033E  |  Base year FY2026A </t>
        </is>
      </c>
    </row>
    <row r="3" ht="16.2" customHeight="1" thickBot="1">
      <c r="A3" s="1149" t="n"/>
      <c r="J3" s="1407" t="inlineStr">
        <is>
          <t>Active Scenario</t>
        </is>
      </c>
      <c r="K3" s="1401" t="n"/>
      <c r="L3" s="760">
        <f>'Control Panel'!$E$17</f>
        <v/>
      </c>
      <c r="M3" s="1354" t="n"/>
    </row>
    <row r="4">
      <c r="A4" s="1254" t="inlineStr">
        <is>
          <t>OBJECTIVE</t>
        </is>
      </c>
    </row>
    <row r="5">
      <c r="A5" s="1217" t="inlineStr">
        <is>
          <t>Forecast installed steelmaking capacity by incorporating brownfield expansions, greenfield projects, closures, and debottlenecking.</t>
        </is>
      </c>
    </row>
    <row r="6">
      <c r="A6" s="1217" t="n"/>
      <c r="B6" s="1217" t="n"/>
      <c r="C6" s="1217" t="n"/>
      <c r="D6" s="1217" t="n"/>
      <c r="E6" s="1217" t="n"/>
      <c r="F6" s="1217" t="n"/>
      <c r="G6" s="1217" t="n"/>
      <c r="H6" s="1217" t="n"/>
      <c r="I6" s="1217" t="n"/>
      <c r="J6" s="1217" t="n"/>
      <c r="K6" s="1217" t="n"/>
      <c r="L6" s="1217" t="n"/>
      <c r="M6" s="1217" t="n"/>
      <c r="N6" s="1217" t="n"/>
    </row>
    <row r="7" ht="16.2" customHeight="1" thickBot="1">
      <c r="A7" s="1184" t="inlineStr">
        <is>
          <t>Executive Summary</t>
        </is>
      </c>
      <c r="J7" s="1217" t="n"/>
      <c r="K7" s="1217" t="n"/>
      <c r="L7" s="1217" t="n"/>
      <c r="M7" s="1217" t="n"/>
      <c r="N7" s="1217" t="n"/>
    </row>
    <row r="8" ht="15" customHeight="1" thickBot="1">
      <c r="A8" s="273" t="inlineStr">
        <is>
          <t>KPI</t>
        </is>
      </c>
      <c r="B8" s="416" t="inlineStr">
        <is>
          <t>FY26A</t>
        </is>
      </c>
      <c r="C8" s="416" t="inlineStr">
        <is>
          <t>FY27E</t>
        </is>
      </c>
      <c r="D8" s="416" t="inlineStr">
        <is>
          <t>FY28E</t>
        </is>
      </c>
      <c r="E8" s="416" t="inlineStr">
        <is>
          <t>FY29E</t>
        </is>
      </c>
      <c r="F8" s="416" t="inlineStr">
        <is>
          <t>FY30E</t>
        </is>
      </c>
      <c r="G8" s="416" t="inlineStr">
        <is>
          <t>FY31E</t>
        </is>
      </c>
      <c r="H8" s="416" t="inlineStr">
        <is>
          <t>FY32E</t>
        </is>
      </c>
      <c r="I8" s="417" t="inlineStr">
        <is>
          <t>FY33E</t>
        </is>
      </c>
      <c r="J8" s="489" t="n"/>
      <c r="K8" s="1217" t="n"/>
      <c r="L8" s="1217" t="n"/>
      <c r="M8" s="1217" t="n"/>
      <c r="N8" s="1217" t="n"/>
    </row>
    <row r="9" ht="15" customHeight="1" thickTop="1">
      <c r="A9" s="206" t="inlineStr">
        <is>
          <t>Installed Capacity (Mtpa)</t>
        </is>
      </c>
      <c r="B9" s="1436">
        <f>C$96</f>
        <v/>
      </c>
      <c r="C9" s="1436">
        <f>D$96</f>
        <v/>
      </c>
      <c r="D9" s="1436">
        <f>E$96</f>
        <v/>
      </c>
      <c r="E9" s="1436">
        <f>F$96</f>
        <v/>
      </c>
      <c r="F9" s="1436">
        <f>G$96</f>
        <v/>
      </c>
      <c r="G9" s="1436">
        <f>H$96</f>
        <v/>
      </c>
      <c r="H9" s="1436">
        <f>I$96</f>
        <v/>
      </c>
      <c r="I9" s="1436">
        <f>J$96</f>
        <v/>
      </c>
      <c r="J9" s="489" t="n"/>
      <c r="K9" s="1217" t="n"/>
      <c r="L9" s="1217" t="n"/>
      <c r="M9" s="1217" t="n"/>
      <c r="N9" s="1217" t="n"/>
    </row>
    <row r="10">
      <c r="A10" s="207" t="inlineStr">
        <is>
          <t>Capacity Addition (Mt)</t>
        </is>
      </c>
      <c r="B10" s="1438">
        <f>C$95</f>
        <v/>
      </c>
      <c r="C10" s="1438">
        <f>D$95</f>
        <v/>
      </c>
      <c r="D10" s="1438">
        <f>E$95</f>
        <v/>
      </c>
      <c r="E10" s="1438">
        <f>F$95</f>
        <v/>
      </c>
      <c r="F10" s="1438">
        <f>G$95</f>
        <v/>
      </c>
      <c r="G10" s="1438">
        <f>H$95</f>
        <v/>
      </c>
      <c r="H10" s="1438">
        <f>I$95</f>
        <v/>
      </c>
      <c r="I10" s="1438">
        <f>J$95</f>
        <v/>
      </c>
      <c r="J10" s="489" t="n"/>
      <c r="K10" s="1217" t="n"/>
      <c r="L10" s="1217" t="n"/>
      <c r="M10" s="1217" t="n"/>
      <c r="N10" s="1217" t="n"/>
    </row>
    <row r="11">
      <c r="A11" s="207" t="inlineStr">
        <is>
          <t>Capacity Growth (%)</t>
        </is>
      </c>
      <c r="B11" s="1515">
        <f>B10/B9</f>
        <v/>
      </c>
      <c r="C11" s="1515">
        <f>C10/C9</f>
        <v/>
      </c>
      <c r="D11" s="1515">
        <f>D10/D9</f>
        <v/>
      </c>
      <c r="E11" s="1515">
        <f>E10/E9</f>
        <v/>
      </c>
      <c r="F11" s="1515">
        <f>F10/F9</f>
        <v/>
      </c>
      <c r="G11" s="1515">
        <f>G10/G9</f>
        <v/>
      </c>
      <c r="H11" s="1515">
        <f>H10/H9</f>
        <v/>
      </c>
      <c r="I11" s="1515">
        <f>I10/I9</f>
        <v/>
      </c>
      <c r="J11" s="489" t="n"/>
      <c r="K11" s="1217" t="n"/>
      <c r="L11" s="1217" t="n"/>
      <c r="M11" s="1217" t="n"/>
      <c r="N11" s="1217" t="n"/>
    </row>
    <row r="12">
      <c r="A12" s="207" t="inlineStr">
        <is>
          <t>Capacity Utilisation (%)</t>
        </is>
      </c>
      <c r="B12" s="1485">
        <f>'Capacity Utilisation'!C$65</f>
        <v/>
      </c>
      <c r="C12" s="1485">
        <f>'Capacity Utilisation'!D$65</f>
        <v/>
      </c>
      <c r="D12" s="1485">
        <f>'Capacity Utilisation'!E$65</f>
        <v/>
      </c>
      <c r="E12" s="1485">
        <f>'Capacity Utilisation'!F$65</f>
        <v/>
      </c>
      <c r="F12" s="1485">
        <f>'Capacity Utilisation'!G$65</f>
        <v/>
      </c>
      <c r="G12" s="1485">
        <f>'Capacity Utilisation'!H$65</f>
        <v/>
      </c>
      <c r="H12" s="1485">
        <f>'Capacity Utilisation'!I$65</f>
        <v/>
      </c>
      <c r="I12" s="1485">
        <f>'Capacity Utilisation'!J$65</f>
        <v/>
      </c>
      <c r="J12" s="489" t="n"/>
      <c r="K12" s="1217" t="n"/>
      <c r="L12" s="1217" t="n"/>
      <c r="M12" s="1217" t="n"/>
      <c r="N12" s="1217" t="n"/>
    </row>
    <row r="13">
      <c r="A13" s="207" t="inlineStr">
        <is>
          <t>Spare Capacity (Mt)</t>
        </is>
      </c>
      <c r="B13" s="1487">
        <f>C96-'Steel Supply Model'!C88</f>
        <v/>
      </c>
      <c r="C13" s="1487">
        <f>D96-'Steel Supply Model'!D88</f>
        <v/>
      </c>
      <c r="D13" s="1487">
        <f>E96-'Steel Supply Model'!E88</f>
        <v/>
      </c>
      <c r="E13" s="1487">
        <f>F96-'Steel Supply Model'!F88</f>
        <v/>
      </c>
      <c r="F13" s="1487">
        <f>G96-'Steel Supply Model'!G88</f>
        <v/>
      </c>
      <c r="G13" s="1487">
        <f>H96-'Steel Supply Model'!H88</f>
        <v/>
      </c>
      <c r="H13" s="1487">
        <f>I96-'Steel Supply Model'!I88</f>
        <v/>
      </c>
      <c r="I13" s="1487">
        <f>J96-'Steel Supply Model'!J88</f>
        <v/>
      </c>
      <c r="J13" s="489" t="n"/>
      <c r="K13" s="1217" t="n"/>
      <c r="L13" s="1217" t="n"/>
      <c r="M13" s="1217" t="n"/>
      <c r="N13" s="1217" t="n"/>
    </row>
    <row r="14" ht="15" customHeight="1" thickBot="1">
      <c r="A14" s="208" t="inlineStr">
        <is>
          <t>Capacity Gap (Mt)</t>
        </is>
      </c>
      <c r="B14" s="1506">
        <f>C96-'Steel Supply Model'!C83</f>
        <v/>
      </c>
      <c r="C14" s="1506">
        <f>D96-'Steel Supply Model'!D83</f>
        <v/>
      </c>
      <c r="D14" s="1506">
        <f>E96-'Steel Supply Model'!E83</f>
        <v/>
      </c>
      <c r="E14" s="1506">
        <f>F96-'Steel Supply Model'!F83</f>
        <v/>
      </c>
      <c r="F14" s="1506">
        <f>G96-'Steel Supply Model'!G83</f>
        <v/>
      </c>
      <c r="G14" s="1506">
        <f>H96-'Steel Supply Model'!H83</f>
        <v/>
      </c>
      <c r="H14" s="1506">
        <f>I96-'Steel Supply Model'!I83</f>
        <v/>
      </c>
      <c r="I14" s="1506">
        <f>J96-'Steel Supply Model'!J83</f>
        <v/>
      </c>
      <c r="J14" s="489" t="n"/>
      <c r="K14" s="1217" t="n"/>
      <c r="L14" s="1217" t="n"/>
      <c r="M14" s="1217" t="n"/>
      <c r="N14" s="1217" t="n"/>
    </row>
    <row r="15">
      <c r="A15" s="1217" t="n"/>
      <c r="B15" s="1217" t="n"/>
      <c r="C15" s="1217" t="n"/>
      <c r="D15" s="1217" t="n"/>
      <c r="E15" s="1217" t="n"/>
      <c r="F15" s="1217" t="n"/>
      <c r="G15" s="1217" t="n"/>
      <c r="H15" s="1217" t="n"/>
      <c r="I15" s="1217" t="n"/>
      <c r="J15" s="1217" t="n"/>
      <c r="K15" s="1217" t="n"/>
      <c r="L15" s="1217" t="n"/>
      <c r="M15" s="1217" t="n"/>
      <c r="N15" s="1217" t="n"/>
    </row>
    <row r="16">
      <c r="A16" s="1217" t="n"/>
      <c r="B16" s="1217" t="n"/>
      <c r="C16" s="1217" t="n"/>
      <c r="D16" s="1217" t="n"/>
      <c r="E16" s="1217" t="n"/>
      <c r="F16" s="1217" t="n"/>
      <c r="G16" s="1217" t="n"/>
      <c r="H16" s="1217" t="n"/>
      <c r="I16" s="1217" t="n"/>
      <c r="J16" s="1217" t="n"/>
      <c r="K16" s="1217" t="n"/>
      <c r="L16" s="1217" t="n"/>
      <c r="M16" s="1217" t="n"/>
      <c r="N16" s="1217" t="n"/>
    </row>
    <row r="17" ht="16.2" customHeight="1" thickBot="1">
      <c r="A17" s="1184" t="inlineStr">
        <is>
          <t>Company-wise Capacity</t>
        </is>
      </c>
      <c r="J17" s="1217" t="n"/>
      <c r="K17" s="1217" t="n"/>
      <c r="L17" s="1217" t="n"/>
      <c r="M17" s="1217" t="n"/>
      <c r="N17" s="1217" t="n"/>
    </row>
    <row r="18" ht="15" customHeight="1" thickBot="1">
      <c r="A18" s="273" t="inlineStr">
        <is>
          <t>Company</t>
        </is>
      </c>
      <c r="B18" s="416" t="inlineStr">
        <is>
          <t>FY26A</t>
        </is>
      </c>
      <c r="C18" s="416" t="inlineStr">
        <is>
          <t>FY27E</t>
        </is>
      </c>
      <c r="D18" s="416" t="inlineStr">
        <is>
          <t>FY28E</t>
        </is>
      </c>
      <c r="E18" s="416" t="inlineStr">
        <is>
          <t>FY29E</t>
        </is>
      </c>
      <c r="F18" s="416" t="inlineStr">
        <is>
          <t>FY30E</t>
        </is>
      </c>
      <c r="G18" s="416" t="inlineStr">
        <is>
          <t>FY31E</t>
        </is>
      </c>
      <c r="H18" s="416" t="inlineStr">
        <is>
          <t>FY32E</t>
        </is>
      </c>
      <c r="I18" s="417" t="inlineStr">
        <is>
          <t>FY33E</t>
        </is>
      </c>
      <c r="J18" s="1217" t="n"/>
      <c r="K18" s="1217" t="n"/>
      <c r="L18" s="1217" t="n"/>
      <c r="M18" s="1217" t="n"/>
      <c r="N18" s="1217" t="n"/>
    </row>
    <row r="19" ht="15" customHeight="1" thickTop="1">
      <c r="A19" s="206" t="inlineStr">
        <is>
          <t>Tata Steel</t>
        </is>
      </c>
      <c r="B19" s="1490">
        <f>'[1]Production Capacity'!$H$13</f>
        <v/>
      </c>
      <c r="C19" s="1516">
        <f>B19</f>
        <v/>
      </c>
      <c r="D19" s="1516">
        <f>C19</f>
        <v/>
      </c>
      <c r="E19" s="1516">
        <f>D19</f>
        <v/>
      </c>
      <c r="F19" s="1516">
        <f>E19+F30</f>
        <v/>
      </c>
      <c r="G19" s="1516">
        <f>F19</f>
        <v/>
      </c>
      <c r="H19" s="1516">
        <f>G19</f>
        <v/>
      </c>
      <c r="I19" s="1437">
        <f>H19+F31</f>
        <v/>
      </c>
      <c r="J19" s="1217" t="n"/>
      <c r="K19" s="1217" t="n"/>
      <c r="L19" s="1217" t="n"/>
      <c r="M19" s="1217" t="n"/>
      <c r="N19" s="1217" t="n"/>
    </row>
    <row r="20">
      <c r="A20" s="207" t="inlineStr">
        <is>
          <t>JSW Steel</t>
        </is>
      </c>
      <c r="B20" s="1492">
        <f>'[1]Production Capacity'!$H$14</f>
        <v/>
      </c>
      <c r="C20" s="1487">
        <f>B20+F32</f>
        <v/>
      </c>
      <c r="D20" s="1487">
        <f>C20</f>
        <v/>
      </c>
      <c r="E20" s="1487">
        <f>D20</f>
        <v/>
      </c>
      <c r="F20" s="1487">
        <f>E20+F33</f>
        <v/>
      </c>
      <c r="G20" s="1487">
        <f>F20+F34</f>
        <v/>
      </c>
      <c r="H20" s="1487">
        <f>G20</f>
        <v/>
      </c>
      <c r="I20" s="1487">
        <f>H20</f>
        <v/>
      </c>
      <c r="J20" s="1217" t="n"/>
      <c r="K20" s="1217" t="n"/>
      <c r="L20" s="1217" t="n"/>
      <c r="M20" s="1217" t="n"/>
      <c r="N20" s="1217" t="n"/>
    </row>
    <row r="21">
      <c r="A21" s="207" t="inlineStr">
        <is>
          <t>SAIL</t>
        </is>
      </c>
      <c r="B21" s="1492">
        <f>'[1]Production Capacity'!$H$15</f>
        <v/>
      </c>
      <c r="C21" s="1487">
        <f>B21</f>
        <v/>
      </c>
      <c r="D21" s="1487">
        <f>C21</f>
        <v/>
      </c>
      <c r="E21" s="1487">
        <f>D21+F37</f>
        <v/>
      </c>
      <c r="F21" s="1487">
        <f>E21+F36</f>
        <v/>
      </c>
      <c r="G21" s="1487">
        <f>F21+F35</f>
        <v/>
      </c>
      <c r="H21" s="1487">
        <f>G21</f>
        <v/>
      </c>
      <c r="I21" s="1439">
        <f>H21+F38</f>
        <v/>
      </c>
      <c r="J21" s="1217" t="n"/>
      <c r="K21" s="1217" t="n"/>
      <c r="L21" s="1217" t="n"/>
      <c r="M21" s="1217" t="n"/>
      <c r="N21" s="1217" t="n"/>
    </row>
    <row r="22">
      <c r="A22" s="207" t="inlineStr">
        <is>
          <t>Jindal Steel</t>
        </is>
      </c>
      <c r="B22" s="1492">
        <f>'[1]Production Capacity'!$H$16</f>
        <v/>
      </c>
      <c r="C22" s="1487">
        <f>B22</f>
        <v/>
      </c>
      <c r="D22" s="1487">
        <f>C22</f>
        <v/>
      </c>
      <c r="E22" s="1487">
        <f>D22</f>
        <v/>
      </c>
      <c r="F22" s="1487">
        <f>E22</f>
        <v/>
      </c>
      <c r="G22" s="1487">
        <f>F22</f>
        <v/>
      </c>
      <c r="H22" s="1487">
        <f>G22</f>
        <v/>
      </c>
      <c r="I22" s="1487">
        <f>H22</f>
        <v/>
      </c>
      <c r="J22" s="1217" t="n"/>
      <c r="K22" s="1217" t="n"/>
      <c r="L22" s="1217" t="n"/>
      <c r="M22" s="1217" t="n"/>
      <c r="N22" s="1217" t="n"/>
    </row>
    <row r="23">
      <c r="A23" s="207" t="inlineStr">
        <is>
          <t>Jindal Stainless</t>
        </is>
      </c>
      <c r="B23" s="1492">
        <f>'[1]Production Capacity'!$H$17</f>
        <v/>
      </c>
      <c r="C23" s="1487">
        <f>B23</f>
        <v/>
      </c>
      <c r="D23" s="1487">
        <f>C23+F41</f>
        <v/>
      </c>
      <c r="E23" s="1487">
        <f>D23</f>
        <v/>
      </c>
      <c r="F23" s="1487">
        <f>E23</f>
        <v/>
      </c>
      <c r="G23" s="1487">
        <f>F23</f>
        <v/>
      </c>
      <c r="H23" s="1487">
        <f>G23</f>
        <v/>
      </c>
      <c r="I23" s="1487">
        <f>H23</f>
        <v/>
      </c>
      <c r="J23" s="1217" t="n"/>
      <c r="K23" s="1217" t="n"/>
      <c r="L23" s="1217" t="n"/>
      <c r="M23" s="1217" t="n"/>
      <c r="N23" s="1217" t="n"/>
    </row>
    <row r="24">
      <c r="A24" s="207" t="inlineStr">
        <is>
          <t>Others</t>
        </is>
      </c>
      <c r="B24" s="1492">
        <f>'[1]Production Capacity'!$H$18</f>
        <v/>
      </c>
      <c r="C24" s="1487">
        <f>$D$96-SUM(C19:C23)</f>
        <v/>
      </c>
      <c r="D24" s="1487">
        <f>$E$96-SUM(D19:D23)</f>
        <v/>
      </c>
      <c r="E24" s="1487">
        <f>$F$96-SUM(E19:E23)</f>
        <v/>
      </c>
      <c r="F24" s="1487">
        <f>$G$96-SUM(F19:F23)</f>
        <v/>
      </c>
      <c r="G24" s="1487">
        <f>$H$96-SUM(G19:G23)</f>
        <v/>
      </c>
      <c r="H24" s="1487">
        <f>$I$96-SUM(H19:H23)</f>
        <v/>
      </c>
      <c r="I24" s="1439">
        <f>$J$96-SUM(I19:I23)</f>
        <v/>
      </c>
      <c r="J24" s="1217" t="n"/>
      <c r="K24" s="1217" t="n"/>
      <c r="L24" s="1217" t="n"/>
      <c r="M24" s="1217" t="n"/>
      <c r="N24" s="1217" t="n"/>
    </row>
    <row r="25" ht="15" customHeight="1" thickBot="1">
      <c r="A25" s="247" t="inlineStr">
        <is>
          <t>India Total</t>
        </is>
      </c>
      <c r="B25" s="1517">
        <f>SUM(B19:B24)</f>
        <v/>
      </c>
      <c r="C25" s="1518">
        <f>SUM(C19:C24)</f>
        <v/>
      </c>
      <c r="D25" s="1518">
        <f>SUM(D19:D24)</f>
        <v/>
      </c>
      <c r="E25" s="1518">
        <f>SUM(E19:E24)</f>
        <v/>
      </c>
      <c r="F25" s="1518">
        <f>SUM(F19:F24)</f>
        <v/>
      </c>
      <c r="G25" s="1518">
        <f>SUM(G19:G24)</f>
        <v/>
      </c>
      <c r="H25" s="1518">
        <f>SUM(H19:H24)</f>
        <v/>
      </c>
      <c r="I25" s="1519">
        <f>SUM(I19:I24)</f>
        <v/>
      </c>
      <c r="J25" s="1217" t="n"/>
      <c r="K25" s="1217" t="n"/>
      <c r="L25" s="1217" t="n"/>
      <c r="M25" s="1217" t="n"/>
      <c r="N25" s="1217" t="n"/>
    </row>
    <row r="26">
      <c r="A26" s="1217" t="n"/>
      <c r="B26" s="1217" t="n"/>
      <c r="C26" s="1217" t="n"/>
      <c r="D26" s="1217" t="n"/>
      <c r="E26" s="1217" t="n"/>
      <c r="F26" s="1217" t="n"/>
      <c r="G26" s="1217" t="n"/>
      <c r="H26" s="1217" t="n"/>
      <c r="I26" s="1217" t="n"/>
      <c r="J26" s="1217" t="n"/>
      <c r="K26" s="1217" t="n"/>
      <c r="L26" s="1217" t="n"/>
      <c r="M26" s="1217" t="n"/>
      <c r="N26" s="1217" t="n"/>
    </row>
    <row r="27">
      <c r="A27" s="1217" t="n"/>
      <c r="B27" s="1217" t="n"/>
      <c r="C27" s="1217" t="n"/>
      <c r="D27" s="1217" t="n"/>
      <c r="E27" s="1217" t="n"/>
      <c r="F27" s="1217" t="n"/>
      <c r="G27" s="1217" t="n"/>
      <c r="H27" s="1217" t="n"/>
      <c r="I27" s="1217" t="n"/>
      <c r="J27" s="1217" t="n"/>
      <c r="K27" s="1217" t="n"/>
      <c r="L27" s="1217" t="n"/>
      <c r="M27" s="1217" t="n"/>
      <c r="N27" s="1217" t="n"/>
    </row>
    <row r="28" ht="16.2" customHeight="1" thickBot="1">
      <c r="A28" s="1203" t="inlineStr">
        <is>
          <t>Capacity Expansion Pipeline</t>
        </is>
      </c>
      <c r="B28" s="444" t="n"/>
      <c r="C28" s="444" t="n"/>
      <c r="D28" s="444" t="n"/>
      <c r="E28" s="444" t="n"/>
      <c r="F28" s="444" t="n"/>
      <c r="G28" s="444" t="n"/>
      <c r="H28" s="444" t="n"/>
      <c r="I28" s="1137" t="n"/>
      <c r="J28" s="1217" t="n"/>
      <c r="K28" s="1217" t="n"/>
      <c r="L28" s="1217" t="n"/>
      <c r="M28" s="1217" t="n"/>
      <c r="N28" s="1217" t="n"/>
    </row>
    <row r="29" ht="15.6" customHeight="1" thickBot="1" thickTop="1">
      <c r="A29" s="494" t="inlineStr">
        <is>
          <t>Project</t>
        </is>
      </c>
      <c r="B29" s="495" t="inlineStr">
        <is>
          <t>Company</t>
        </is>
      </c>
      <c r="C29" s="495" t="inlineStr">
        <is>
          <t>Type</t>
        </is>
      </c>
      <c r="D29" s="495" t="inlineStr">
        <is>
          <t>Start</t>
        </is>
      </c>
      <c r="E29" s="495" t="inlineStr">
        <is>
          <t>Completion</t>
        </is>
      </c>
      <c r="F29" s="495" t="inlineStr">
        <is>
          <t>Capacity (Mt)</t>
        </is>
      </c>
      <c r="G29" s="1246" t="inlineStr">
        <is>
          <t>Status</t>
        </is>
      </c>
      <c r="H29" s="1520" t="n"/>
      <c r="I29" s="1217" t="n"/>
      <c r="J29" s="1217" t="n"/>
      <c r="K29" s="1217" t="n"/>
      <c r="L29" s="1217" t="n"/>
      <c r="M29" s="1217" t="n"/>
      <c r="N29" s="1217" t="n"/>
    </row>
    <row r="30" ht="15" customHeight="1" thickTop="1">
      <c r="A30" s="206" t="inlineStr">
        <is>
          <t>NINL Expansion</t>
        </is>
      </c>
      <c r="B30" s="280" t="inlineStr">
        <is>
          <t>Tata Steel</t>
        </is>
      </c>
      <c r="C30" s="280" t="inlineStr">
        <is>
          <t>Brownfield Int</t>
        </is>
      </c>
      <c r="D30" s="280" t="inlineStr">
        <is>
          <t>FY2027</t>
        </is>
      </c>
      <c r="E30" s="280" t="inlineStr">
        <is>
          <t>FY2030</t>
        </is>
      </c>
      <c r="F30" s="1521" t="n">
        <v>4.8</v>
      </c>
      <c r="G30" s="1206" t="inlineStr">
        <is>
          <t>Approved</t>
        </is>
      </c>
      <c r="H30" s="1423" t="n"/>
      <c r="I30" s="1217" t="n"/>
      <c r="J30" s="1217" t="n"/>
      <c r="K30" s="1217" t="n"/>
      <c r="L30" s="1217" t="n"/>
      <c r="M30" s="1217" t="n"/>
      <c r="N30" s="1217" t="n"/>
    </row>
    <row r="31">
      <c r="A31" s="207" t="inlineStr">
        <is>
          <t>India Roadmap to 40 Mtpa</t>
        </is>
      </c>
      <c r="B31" s="199" t="inlineStr">
        <is>
          <t>Tata Steel</t>
        </is>
      </c>
      <c r="C31" s="199" t="inlineStr">
        <is>
          <t>Programme</t>
        </is>
      </c>
      <c r="D31" s="199" t="inlineStr">
        <is>
          <t>FY2027</t>
        </is>
      </c>
      <c r="E31" s="199" t="inlineStr">
        <is>
          <t>FY2033</t>
        </is>
      </c>
      <c r="F31" s="1522" t="n">
        <v>5</v>
      </c>
      <c r="G31" s="1199" t="inlineStr">
        <is>
          <t>Announced (Aspirational)</t>
        </is>
      </c>
      <c r="H31" s="1360" t="n"/>
      <c r="I31" s="1217" t="n"/>
      <c r="J31" s="1217" t="n"/>
      <c r="K31" s="1217" t="n"/>
      <c r="L31" s="1217" t="n"/>
      <c r="M31" s="1217" t="n"/>
      <c r="N31" s="1217" t="n"/>
    </row>
    <row r="32">
      <c r="A32" s="207" t="inlineStr">
        <is>
          <t>Vijayanagar BF-3 Expansion</t>
        </is>
      </c>
      <c r="B32" s="199" t="inlineStr">
        <is>
          <t>JSW Steel</t>
        </is>
      </c>
      <c r="C32" s="199" t="inlineStr">
        <is>
          <t>Brownfield BF</t>
        </is>
      </c>
      <c r="D32" s="199" t="inlineStr">
        <is>
          <t>FY2026</t>
        </is>
      </c>
      <c r="E32" s="199" t="inlineStr">
        <is>
          <t>FY2027</t>
        </is>
      </c>
      <c r="F32" s="1522" t="n">
        <v>1.5</v>
      </c>
      <c r="G32" s="1199" t="inlineStr">
        <is>
          <t>Under Testing &amp; Commissioning</t>
        </is>
      </c>
      <c r="H32" s="1360" t="n"/>
      <c r="I32" s="1217" t="n"/>
      <c r="J32" s="1217" t="n"/>
      <c r="K32" s="1217" t="n"/>
      <c r="L32" s="1217" t="n"/>
      <c r="M32" s="1217" t="n"/>
      <c r="N32" s="1217" t="n"/>
    </row>
    <row r="33">
      <c r="A33" s="207" t="inlineStr">
        <is>
          <t>Vijayanagar Brownfield Expansion</t>
        </is>
      </c>
      <c r="B33" s="199" t="inlineStr">
        <is>
          <t>JSW Steel</t>
        </is>
      </c>
      <c r="C33" s="280" t="inlineStr">
        <is>
          <t>Brownfield Int</t>
        </is>
      </c>
      <c r="D33" s="199" t="inlineStr">
        <is>
          <t>FY2027</t>
        </is>
      </c>
      <c r="E33" s="199" t="inlineStr">
        <is>
          <t>FY2030</t>
        </is>
      </c>
      <c r="F33" s="1522" t="n">
        <v>5</v>
      </c>
      <c r="G33" s="1199" t="inlineStr">
        <is>
          <t>Board Approved</t>
        </is>
      </c>
      <c r="H33" s="1360" t="n"/>
      <c r="I33" s="1217" t="n"/>
      <c r="J33" s="1217" t="n"/>
      <c r="K33" s="1217" t="n"/>
      <c r="L33" s="1217" t="n"/>
      <c r="M33" s="1217" t="n"/>
      <c r="N33" s="1217" t="n"/>
    </row>
    <row r="34">
      <c r="A34" s="207" t="inlineStr">
        <is>
          <t>Greenfield Integrated Plant JV</t>
        </is>
      </c>
      <c r="B34" s="199" t="inlineStr">
        <is>
          <t>JSW/POSCO</t>
        </is>
      </c>
      <c r="C34" s="199" t="inlineStr">
        <is>
          <t>Greenfield JV</t>
        </is>
      </c>
      <c r="D34" s="199" t="inlineStr">
        <is>
          <t>FY2027</t>
        </is>
      </c>
      <c r="E34" s="199" t="inlineStr">
        <is>
          <t>FY2031</t>
        </is>
      </c>
      <c r="F34" s="1522" t="n">
        <v>6</v>
      </c>
      <c r="G34" s="1199" t="inlineStr">
        <is>
          <t>Announced</t>
        </is>
      </c>
      <c r="H34" s="1360" t="n"/>
      <c r="I34" s="1217" t="n"/>
      <c r="J34" s="1217" t="n"/>
      <c r="K34" s="1217" t="n"/>
      <c r="L34" s="1217" t="n"/>
      <c r="M34" s="1217" t="n"/>
      <c r="N34" s="1217" t="n"/>
    </row>
    <row r="35">
      <c r="A35" s="207" t="inlineStr">
        <is>
          <t>IISCO Steel Plant Expansion</t>
        </is>
      </c>
      <c r="B35" s="199" t="inlineStr">
        <is>
          <t>SAIL</t>
        </is>
      </c>
      <c r="C35" s="199" t="inlineStr">
        <is>
          <t>Greenfield</t>
        </is>
      </c>
      <c r="D35" s="199" t="inlineStr">
        <is>
          <t>FY2028</t>
        </is>
      </c>
      <c r="E35" s="199" t="inlineStr">
        <is>
          <t>FY2031</t>
        </is>
      </c>
      <c r="F35" s="1522" t="n">
        <v>4.08</v>
      </c>
      <c r="G35" s="1199" t="inlineStr">
        <is>
          <t>Board Approved</t>
        </is>
      </c>
      <c r="H35" s="1360" t="n"/>
      <c r="I35" s="1217" t="n"/>
      <c r="J35" s="1217" t="n"/>
      <c r="K35" s="1217" t="n"/>
      <c r="L35" s="1217" t="n"/>
      <c r="M35" s="1217" t="n"/>
      <c r="N35" s="1217" t="n"/>
    </row>
    <row r="36">
      <c r="A36" s="207" t="inlineStr">
        <is>
          <t>Bokaro Steel Plant Expansion</t>
        </is>
      </c>
      <c r="B36" s="199" t="inlineStr">
        <is>
          <t>SAIL</t>
        </is>
      </c>
      <c r="C36" s="199" t="inlineStr">
        <is>
          <t>Brownfield</t>
        </is>
      </c>
      <c r="D36" s="199" t="inlineStr">
        <is>
          <t>FY2027</t>
        </is>
      </c>
      <c r="E36" s="199" t="inlineStr">
        <is>
          <t>FY2030</t>
        </is>
      </c>
      <c r="F36" s="1522" t="n">
        <v>2.65</v>
      </c>
      <c r="G36" s="1199" t="inlineStr">
        <is>
          <t>Board Approved</t>
        </is>
      </c>
      <c r="H36" s="1360" t="n"/>
      <c r="I36" s="1217" t="n"/>
      <c r="J36" s="1217" t="n"/>
      <c r="K36" s="1217" t="n"/>
      <c r="L36" s="1217" t="n"/>
      <c r="M36" s="1217" t="n"/>
      <c r="N36" s="1217" t="n"/>
    </row>
    <row r="37">
      <c r="A37" s="207" t="inlineStr">
        <is>
          <t>Durgapur Steel Plant Expansion</t>
        </is>
      </c>
      <c r="B37" s="199" t="inlineStr">
        <is>
          <t>SAIL</t>
        </is>
      </c>
      <c r="C37" s="199" t="inlineStr">
        <is>
          <t>Brownfield</t>
        </is>
      </c>
      <c r="D37" s="199" t="inlineStr">
        <is>
          <t>FY2027</t>
        </is>
      </c>
      <c r="E37" s="199" t="inlineStr">
        <is>
          <t>FY2029</t>
        </is>
      </c>
      <c r="F37" s="1522" t="n">
        <v>0.89</v>
      </c>
      <c r="G37" s="1199" t="inlineStr">
        <is>
          <t>Board Approved</t>
        </is>
      </c>
      <c r="H37" s="1360" t="n"/>
      <c r="I37" s="1217" t="n"/>
      <c r="J37" s="1217" t="n"/>
      <c r="K37" s="1217" t="n"/>
      <c r="L37" s="1217" t="n"/>
      <c r="M37" s="1217" t="n"/>
      <c r="N37" s="1217" t="n"/>
    </row>
    <row r="38">
      <c r="A38" s="207" t="inlineStr">
        <is>
          <t>Residual Ambition to 35 Mt</t>
        </is>
      </c>
      <c r="B38" s="199" t="inlineStr">
        <is>
          <t>SAIL</t>
        </is>
      </c>
      <c r="C38" s="199" t="inlineStr">
        <is>
          <t>Programme</t>
        </is>
      </c>
      <c r="D38" s="199" t="inlineStr">
        <is>
          <t>FY2028</t>
        </is>
      </c>
      <c r="E38" s="199" t="inlineStr">
        <is>
          <t>FY2033</t>
        </is>
      </c>
      <c r="F38" s="1522" t="n">
        <v>8</v>
      </c>
      <c r="G38" s="1199" t="inlineStr">
        <is>
          <t>Announced (Aspirational)</t>
        </is>
      </c>
      <c r="H38" s="1360" t="n"/>
      <c r="I38" s="1217" t="n"/>
      <c r="J38" s="1217" t="n"/>
      <c r="K38" s="1217" t="n"/>
      <c r="L38" s="1217" t="n"/>
      <c r="M38" s="1217" t="n"/>
      <c r="N38" s="1217" t="n"/>
    </row>
    <row r="39">
      <c r="A39" s="207" t="inlineStr">
        <is>
          <t>Hazira Expansion (9→15 Mtpa)</t>
        </is>
      </c>
      <c r="B39" s="199" t="inlineStr">
        <is>
          <t>AM/NS India</t>
        </is>
      </c>
      <c r="C39" s="280" t="inlineStr">
        <is>
          <t>Brownfield Int</t>
        </is>
      </c>
      <c r="D39" s="199" t="inlineStr">
        <is>
          <t>FY2026</t>
        </is>
      </c>
      <c r="E39" s="199" t="inlineStr">
        <is>
          <t>FY2029</t>
        </is>
      </c>
      <c r="F39" s="1522" t="n">
        <v>6</v>
      </c>
      <c r="G39" s="1199" t="inlineStr">
        <is>
          <t>Under Implementation</t>
        </is>
      </c>
      <c r="H39" s="1360" t="n"/>
      <c r="I39" s="1217" t="n"/>
      <c r="J39" s="1217" t="n"/>
      <c r="K39" s="1217" t="n"/>
      <c r="L39" s="1217" t="n"/>
      <c r="M39" s="1217" t="n"/>
      <c r="N39" s="1217" t="n"/>
    </row>
    <row r="40">
      <c r="A40" s="207" t="inlineStr">
        <is>
          <t>Rajayyapeta Phase 1</t>
        </is>
      </c>
      <c r="B40" s="199" t="inlineStr">
        <is>
          <t>AM/NS India</t>
        </is>
      </c>
      <c r="C40" s="199" t="inlineStr">
        <is>
          <t>Greenfield</t>
        </is>
      </c>
      <c r="D40" s="199" t="inlineStr">
        <is>
          <t>FY2027</t>
        </is>
      </c>
      <c r="E40" s="199" t="inlineStr">
        <is>
          <t>FY2032</t>
        </is>
      </c>
      <c r="F40" s="1522" t="n">
        <v>8.199999999999999</v>
      </c>
      <c r="G40" s="1199" t="inlineStr">
        <is>
          <t>Announced</t>
        </is>
      </c>
      <c r="H40" s="1360" t="n"/>
      <c r="I40" s="1217" t="n"/>
      <c r="J40" s="1217" t="n"/>
      <c r="K40" s="1217" t="n"/>
      <c r="L40" s="1217" t="n"/>
      <c r="M40" s="1217" t="n"/>
      <c r="N40" s="1217" t="n"/>
    </row>
    <row r="41">
      <c r="A41" s="496" t="inlineStr">
        <is>
          <t>Jajpur HARP</t>
        </is>
      </c>
      <c r="B41" s="497" t="inlineStr">
        <is>
          <t>JSL</t>
        </is>
      </c>
      <c r="C41" s="497" t="inlineStr">
        <is>
          <t>Downstream</t>
        </is>
      </c>
      <c r="D41" s="497" t="inlineStr">
        <is>
          <t>FY2025</t>
        </is>
      </c>
      <c r="E41" s="497" t="inlineStr">
        <is>
          <t>FY2028</t>
        </is>
      </c>
      <c r="F41" s="1523" t="n">
        <v>1.27</v>
      </c>
      <c r="G41" s="1200" t="inlineStr">
        <is>
          <t>In Progress</t>
        </is>
      </c>
      <c r="H41" s="1343" t="n"/>
      <c r="I41" s="1217" t="n"/>
      <c r="J41" s="1217" t="n"/>
      <c r="K41" s="1217" t="n"/>
      <c r="L41" s="1217" t="n"/>
      <c r="M41" s="1217" t="n"/>
      <c r="N41" s="1217" t="n"/>
    </row>
    <row r="42" ht="15" customHeight="1" thickBot="1">
      <c r="A42" s="208" t="inlineStr">
        <is>
          <t>Bokaro Capacity Doubling</t>
        </is>
      </c>
      <c r="B42" s="279" t="inlineStr">
        <is>
          <t>Electrosteel</t>
        </is>
      </c>
      <c r="C42" s="279" t="inlineStr">
        <is>
          <t>Brownfield</t>
        </is>
      </c>
      <c r="D42" s="279" t="inlineStr">
        <is>
          <t>FY2026</t>
        </is>
      </c>
      <c r="E42" s="279" t="inlineStr">
        <is>
          <t>FY2027</t>
        </is>
      </c>
      <c r="F42" s="1524" t="n">
        <v>1.5</v>
      </c>
      <c r="G42" s="1201" t="inlineStr">
        <is>
          <t>Announced by Parent</t>
        </is>
      </c>
      <c r="H42" s="1425" t="n"/>
      <c r="I42" s="1217" t="n"/>
      <c r="J42" s="1217" t="n"/>
      <c r="K42" s="1217" t="n"/>
      <c r="L42" s="1217" t="n"/>
      <c r="M42" s="1217" t="n"/>
      <c r="N42" s="1217" t="n"/>
    </row>
    <row r="43">
      <c r="A43" s="1217" t="n"/>
      <c r="B43" s="1217" t="n"/>
      <c r="C43" s="1217" t="n"/>
      <c r="D43" s="1217" t="n"/>
      <c r="E43" s="1217" t="n"/>
      <c r="F43" s="1217" t="n"/>
      <c r="G43" s="1217" t="n"/>
      <c r="H43" s="1217" t="n"/>
      <c r="I43" s="1217" t="n"/>
      <c r="J43" s="1217" t="n"/>
      <c r="K43" s="1217" t="n"/>
      <c r="L43" s="1217" t="n"/>
      <c r="M43" s="1217" t="n"/>
      <c r="N43" s="1217" t="n"/>
    </row>
    <row r="44">
      <c r="A44" s="1217" t="n"/>
      <c r="B44" s="1217" t="n"/>
      <c r="C44" s="1217" t="n"/>
      <c r="D44" s="1217" t="n"/>
      <c r="E44" s="1217" t="n"/>
      <c r="F44" s="1217" t="n"/>
      <c r="G44" s="1217" t="n"/>
      <c r="H44" s="1217" t="n"/>
      <c r="I44" s="1217" t="n"/>
      <c r="J44" s="1217" t="n"/>
      <c r="K44" s="1217" t="n"/>
      <c r="L44" s="1217" t="n"/>
      <c r="M44" s="1217" t="n"/>
      <c r="N44" s="1217" t="n"/>
    </row>
    <row r="45" ht="15.6" customHeight="1">
      <c r="A45" s="1243" t="inlineStr">
        <is>
          <t>Capacity Bridge</t>
        </is>
      </c>
      <c r="B45" s="1339" t="n"/>
      <c r="C45" s="1339" t="n"/>
      <c r="D45" s="1339" t="n"/>
      <c r="E45" s="1339" t="n"/>
      <c r="F45" s="1339" t="n"/>
      <c r="G45" s="1339" t="n"/>
      <c r="H45" s="1339" t="n"/>
      <c r="I45" s="1137" t="n"/>
      <c r="J45" s="1217" t="n"/>
      <c r="K45" s="1217" t="n"/>
      <c r="L45" s="1217" t="n"/>
      <c r="M45" s="1217" t="n"/>
      <c r="N45" s="1217" t="n"/>
    </row>
    <row r="46">
      <c r="A46" s="1188" t="inlineStr">
        <is>
          <t>Item</t>
        </is>
      </c>
      <c r="B46" s="485" t="inlineStr">
        <is>
          <t>FY27E</t>
        </is>
      </c>
      <c r="C46" s="485" t="inlineStr">
        <is>
          <t>FY28E</t>
        </is>
      </c>
      <c r="D46" s="485" t="inlineStr">
        <is>
          <t>FY29E</t>
        </is>
      </c>
      <c r="E46" s="485" t="inlineStr">
        <is>
          <t>FY30E</t>
        </is>
      </c>
      <c r="F46" s="485" t="inlineStr">
        <is>
          <t>FY31E</t>
        </is>
      </c>
      <c r="G46" s="485" t="inlineStr">
        <is>
          <t>FY32E</t>
        </is>
      </c>
      <c r="H46" s="485" t="inlineStr">
        <is>
          <t>FY33E</t>
        </is>
      </c>
      <c r="I46" s="1217" t="n"/>
      <c r="J46" s="1217" t="n"/>
      <c r="K46" s="1217" t="n"/>
      <c r="L46" s="1217" t="n"/>
      <c r="M46" s="1217" t="n"/>
      <c r="N46" s="1217" t="n"/>
    </row>
    <row r="47">
      <c r="A47" s="1199" t="inlineStr">
        <is>
          <t>Opening Capacity</t>
        </is>
      </c>
      <c r="B47" s="1438">
        <f>C96</f>
        <v/>
      </c>
      <c r="C47" s="1438">
        <f>B53</f>
        <v/>
      </c>
      <c r="D47" s="1438">
        <f>C53</f>
        <v/>
      </c>
      <c r="E47" s="1438">
        <f>D53</f>
        <v/>
      </c>
      <c r="F47" s="1438">
        <f>E53</f>
        <v/>
      </c>
      <c r="G47" s="1438">
        <f>F53</f>
        <v/>
      </c>
      <c r="H47" s="1438">
        <f>G53</f>
        <v/>
      </c>
      <c r="I47" s="1217" t="n"/>
      <c r="J47" s="1217" t="n"/>
      <c r="K47" s="1217" t="n"/>
      <c r="L47" s="1217" t="n"/>
      <c r="M47" s="1217" t="n"/>
      <c r="N47" s="1217" t="n"/>
    </row>
    <row r="48">
      <c r="A48" s="1199" t="inlineStr">
        <is>
          <t>Brownfield Additions</t>
        </is>
      </c>
      <c r="B48" s="1487">
        <f>(SUMIFS('Capacity Expansion Tracker'!$H$20:$H$39,'Capacity Expansion Tracker'!$F$20:$F$39,"*Brownfield*",'Capacity Expansion Tracker'!$K$20:$K$39, "FY2027"))*D92</f>
        <v/>
      </c>
      <c r="C48" s="1487">
        <f>SUMIFS('Capacity Expansion Tracker'!$H$20:$H$39,'Capacity Expansion Tracker'!$F$20:$F$39,"*Brownfield*",'Capacity Expansion Tracker'!$K$20:$K$39, "FY2028")*E92</f>
        <v/>
      </c>
      <c r="D48" s="1487">
        <f>SUMIFS('Capacity Expansion Tracker'!$H$20:$H$39,'Capacity Expansion Tracker'!$F$20:$F$39,"*Brownfield*",'Capacity Expansion Tracker'!$K$20:$K$39, "FY2029")*F92</f>
        <v/>
      </c>
      <c r="E48" s="1487">
        <f>SUMIFS('Capacity Expansion Tracker'!$H$20:$H$39,'Capacity Expansion Tracker'!$F$20:$F$39,"*Brownfield*",'Capacity Expansion Tracker'!$K$20:$K$39, "FY2030")*G92</f>
        <v/>
      </c>
      <c r="F48" s="1487">
        <f>SUMIFS('Capacity Expansion Tracker'!$H$20:$H$39,'Capacity Expansion Tracker'!$F$20:$F$39,"*Brownfield*",'Capacity Expansion Tracker'!$K$20:$K$39, "FY2031")*H92</f>
        <v/>
      </c>
      <c r="G48" s="1487">
        <f>SUMIFS('Capacity Expansion Tracker'!$H$20:$H$39,'Capacity Expansion Tracker'!$F$20:$F$39,"*Brownfield*",'Capacity Expansion Tracker'!$K$20:$K$39, "FY2032")*I92</f>
        <v/>
      </c>
      <c r="H48" s="1487">
        <f>SUMIFS('Capacity Expansion Tracker'!$H$20:$H$39,'Capacity Expansion Tracker'!$F$20:$F$39,"*Brownfield*",'Capacity Expansion Tracker'!$K$20:$K$39, "FY2033")*J92</f>
        <v/>
      </c>
      <c r="I48" s="1217" t="n"/>
      <c r="J48" s="1217" t="n"/>
      <c r="K48" s="1217" t="n"/>
      <c r="L48" s="1217" t="n"/>
      <c r="M48" s="1217" t="n"/>
      <c r="N48" s="1217" t="n"/>
    </row>
    <row r="49">
      <c r="A49" s="1199" t="inlineStr">
        <is>
          <t>Greenfield Additions</t>
        </is>
      </c>
      <c r="B49" s="1487">
        <f>(SUMIFS('Capacity Expansion Tracker'!$H$20:$H$39,'Capacity Expansion Tracker'!$F$20:$F$39,"*Greenfield*",'Capacity Expansion Tracker'!$K$20:$K$39, "FY2027"))*D92</f>
        <v/>
      </c>
      <c r="C49" s="1487">
        <f>SUMIFS('Capacity Expansion Tracker'!$H$20:$H$39,'Capacity Expansion Tracker'!$F$20:$F$39,"*Greenfield*",'Capacity Expansion Tracker'!$K$20:$K$39, "FY2028")*E92</f>
        <v/>
      </c>
      <c r="D49" s="1487">
        <f>SUMIFS('Capacity Expansion Tracker'!$H$20:$H$39,'Capacity Expansion Tracker'!$F$20:$F$39,"*Greenfield*",'Capacity Expansion Tracker'!$K$20:$K$39, "FY2029")*F92</f>
        <v/>
      </c>
      <c r="E49" s="1487">
        <f>SUMIFS('Capacity Expansion Tracker'!$H$20:$H$39,'Capacity Expansion Tracker'!$F$20:$F$39,"*Greenfield*",'Capacity Expansion Tracker'!$K$20:$K$39, "FY2030")*G92</f>
        <v/>
      </c>
      <c r="F49" s="1487">
        <f>SUMIFS('Capacity Expansion Tracker'!$H$20:$H$39,'Capacity Expansion Tracker'!$F$20:$F$39,"*Greenfield*",'Capacity Expansion Tracker'!$K$20:$K$39, "FY2031")*H92</f>
        <v/>
      </c>
      <c r="G49" s="1487">
        <f>SUMIFS('Capacity Expansion Tracker'!$H$20:$H$39,'Capacity Expansion Tracker'!$F$20:$F$39,"*Greenfield*",'Capacity Expansion Tracker'!$K$20:$K$39, "FY2032")*I92</f>
        <v/>
      </c>
      <c r="H49" s="1487">
        <f>SUMIFS('Capacity Expansion Tracker'!$H$20:$H$39,'Capacity Expansion Tracker'!$F$20:$F$39,"*Greenfield*",'Capacity Expansion Tracker'!$K$20:$K$39, "FY2033")*J92+SUMIFS('Capacity Expansion Tracker'!$H$20:$H$39,'Capacity Expansion Tracker'!$F$20:$F$39,"*Programme*",'Capacity Expansion Tracker'!$K$20:$K$39, "FY2033")*J92</f>
        <v/>
      </c>
      <c r="I49" s="1217" t="n"/>
      <c r="J49" s="1217" t="n"/>
      <c r="K49" s="1217" t="n"/>
      <c r="L49" s="1217" t="n"/>
      <c r="M49" s="1217" t="n"/>
      <c r="N49" s="1217" t="n"/>
    </row>
    <row r="50">
      <c r="A50" s="1199" t="inlineStr">
        <is>
          <t>Debottlenecking</t>
        </is>
      </c>
      <c r="B50" s="1438">
        <f>$D$94</f>
        <v/>
      </c>
      <c r="C50" s="1438">
        <f>$E$94</f>
        <v/>
      </c>
      <c r="D50" s="1438">
        <f>$F$94</f>
        <v/>
      </c>
      <c r="E50" s="1438">
        <f>$G$94</f>
        <v/>
      </c>
      <c r="F50" s="1438">
        <f>$H$94</f>
        <v/>
      </c>
      <c r="G50" s="1438">
        <f>$I$94</f>
        <v/>
      </c>
      <c r="H50" s="1438">
        <f>$J$94</f>
        <v/>
      </c>
      <c r="I50" s="1217" t="n"/>
      <c r="J50" s="1217" t="n"/>
      <c r="K50" s="1217" t="n"/>
      <c r="L50" s="1217" t="n"/>
      <c r="M50" s="1217" t="n"/>
      <c r="N50" s="1217" t="n"/>
    </row>
    <row r="51">
      <c r="A51" s="1199" t="inlineStr">
        <is>
          <t>Permanent Closures</t>
        </is>
      </c>
      <c r="B51" s="1525" t="n">
        <v>0</v>
      </c>
      <c r="C51" s="1525" t="n">
        <v>0</v>
      </c>
      <c r="D51" s="1525" t="n">
        <v>0</v>
      </c>
      <c r="E51" s="1525" t="n">
        <v>0</v>
      </c>
      <c r="F51" s="1525" t="n">
        <v>0</v>
      </c>
      <c r="G51" s="1525" t="n">
        <v>0</v>
      </c>
      <c r="H51" s="1525" t="n">
        <v>0</v>
      </c>
      <c r="I51" s="1217" t="n"/>
      <c r="J51" s="1217" t="n"/>
      <c r="K51" s="1217" t="n"/>
      <c r="L51" s="1217" t="n"/>
      <c r="M51" s="1217" t="n"/>
      <c r="N51" s="1217" t="n"/>
    </row>
    <row r="52">
      <c r="A52" s="1199" t="inlineStr">
        <is>
          <t>Net Capacity Addition</t>
        </is>
      </c>
      <c r="B52" s="1487">
        <f>B48+B49+B50-B51</f>
        <v/>
      </c>
      <c r="C52" s="1487">
        <f>C48+C49+C50-C51</f>
        <v/>
      </c>
      <c r="D52" s="1487">
        <f>D48+D49+D50-D51</f>
        <v/>
      </c>
      <c r="E52" s="1487">
        <f>E48+E49+E50-E51</f>
        <v/>
      </c>
      <c r="F52" s="1487">
        <f>F48+F49+F50-F51</f>
        <v/>
      </c>
      <c r="G52" s="1487">
        <f>G48+G49+G50-G51</f>
        <v/>
      </c>
      <c r="H52" s="1487">
        <f>H48+H49+H50-H51</f>
        <v/>
      </c>
      <c r="I52" s="1217" t="n"/>
      <c r="J52" s="1217" t="n"/>
      <c r="K52" s="1217" t="n"/>
      <c r="L52" s="1217" t="n"/>
      <c r="M52" s="1217" t="n"/>
      <c r="N52" s="1217" t="n"/>
    </row>
    <row r="53">
      <c r="A53" s="264" t="inlineStr">
        <is>
          <t>Closing Capacity</t>
        </is>
      </c>
      <c r="B53" s="1526">
        <f>B47+B52</f>
        <v/>
      </c>
      <c r="C53" s="1526">
        <f>C47+C52</f>
        <v/>
      </c>
      <c r="D53" s="1526">
        <f>D47+D52</f>
        <v/>
      </c>
      <c r="E53" s="1526">
        <f>E47+E52</f>
        <v/>
      </c>
      <c r="F53" s="1526">
        <f>F47+F52</f>
        <v/>
      </c>
      <c r="G53" s="1526">
        <f>G47+G52</f>
        <v/>
      </c>
      <c r="H53" s="1526">
        <f>H47+H52</f>
        <v/>
      </c>
      <c r="I53" s="1217" t="n"/>
      <c r="J53" s="1217" t="n"/>
      <c r="K53" s="1217" t="n"/>
      <c r="L53" s="1217" t="n"/>
      <c r="M53" s="1217" t="n"/>
      <c r="N53" s="1217" t="n"/>
    </row>
    <row r="54">
      <c r="A54" s="1217" t="n"/>
      <c r="B54" s="1217" t="n"/>
      <c r="C54" s="1217" t="n"/>
      <c r="D54" s="1217" t="n"/>
      <c r="E54" s="1217" t="n"/>
      <c r="F54" s="1217" t="n"/>
      <c r="G54" s="1217" t="n"/>
      <c r="H54" s="1217" t="n"/>
      <c r="I54" s="1217" t="n"/>
      <c r="J54" s="1217" t="n"/>
      <c r="K54" s="1217" t="n"/>
      <c r="L54" s="1217" t="n"/>
      <c r="M54" s="1217" t="n"/>
      <c r="N54" s="1217" t="n"/>
    </row>
    <row r="55">
      <c r="A55" s="1217" t="n"/>
      <c r="B55" s="1217" t="n"/>
      <c r="C55" s="1217" t="n"/>
      <c r="D55" s="1217" t="n"/>
      <c r="E55" s="1217" t="n"/>
      <c r="F55" s="1217" t="n"/>
      <c r="G55" s="1217" t="n"/>
      <c r="H55" s="1217" t="n"/>
      <c r="I55" s="1217" t="n"/>
      <c r="J55" s="1217" t="n"/>
      <c r="K55" s="1217" t="n"/>
      <c r="L55" s="1217" t="n"/>
      <c r="M55" s="1217" t="n"/>
      <c r="N55" s="1217" t="n"/>
    </row>
    <row r="56" ht="15.6" customHeight="1">
      <c r="A56" s="1184" t="inlineStr">
        <is>
          <t>Capacity vs Demand</t>
        </is>
      </c>
      <c r="J56" s="1217" t="n"/>
      <c r="K56" s="1217" t="n"/>
      <c r="L56" s="1217" t="n"/>
      <c r="M56" s="1217" t="n"/>
      <c r="N56" s="1217" t="n"/>
    </row>
    <row r="57">
      <c r="A57" s="1188" t="inlineStr">
        <is>
          <t>Year</t>
        </is>
      </c>
      <c r="B57" s="485" t="inlineStr">
        <is>
          <t>Capacity</t>
        </is>
      </c>
      <c r="C57" s="485" t="inlineStr">
        <is>
          <t>Demand</t>
        </is>
      </c>
      <c r="D57" s="485" t="inlineStr">
        <is>
          <t>Buffer</t>
        </is>
      </c>
      <c r="E57" s="485" t="inlineStr">
        <is>
          <t>Coverage</t>
        </is>
      </c>
      <c r="G57" s="1217" t="n"/>
      <c r="H57" s="1217" t="n"/>
      <c r="I57" s="1217" t="n"/>
      <c r="J57" s="1217" t="n"/>
      <c r="K57" s="1217" t="n"/>
      <c r="L57" s="1217" t="n"/>
      <c r="M57" s="1217" t="n"/>
      <c r="N57" s="1217" t="n"/>
    </row>
    <row r="58">
      <c r="A58" s="1199" t="inlineStr">
        <is>
          <t>FY27</t>
        </is>
      </c>
      <c r="B58" s="1438">
        <f>$D$96</f>
        <v/>
      </c>
      <c r="C58" s="1438">
        <f>'Steel Demand Model'!E50</f>
        <v/>
      </c>
      <c r="D58" s="1487">
        <f>B58-C58</f>
        <v/>
      </c>
      <c r="E58" s="1527">
        <f>B58/C58</f>
        <v/>
      </c>
      <c r="G58" s="1217" t="n"/>
      <c r="H58" s="1217" t="n"/>
      <c r="I58" s="1217" t="n"/>
      <c r="J58" s="1217" t="n"/>
      <c r="K58" s="1217" t="n"/>
      <c r="L58" s="1217" t="n"/>
      <c r="M58" s="1217" t="n"/>
      <c r="N58" s="1217" t="n"/>
    </row>
    <row r="59">
      <c r="A59" s="1199" t="inlineStr">
        <is>
          <t>FY28</t>
        </is>
      </c>
      <c r="B59" s="1438">
        <f>$E$96</f>
        <v/>
      </c>
      <c r="C59" s="1438">
        <f>'Steel Demand Model'!E51</f>
        <v/>
      </c>
      <c r="D59" s="1487">
        <f>B59-C59</f>
        <v/>
      </c>
      <c r="E59" s="1527">
        <f>B59/C59</f>
        <v/>
      </c>
      <c r="G59" s="1217" t="n"/>
      <c r="H59" s="1217" t="n"/>
      <c r="I59" s="1217" t="n"/>
      <c r="J59" s="1217" t="n"/>
      <c r="K59" s="1217" t="n"/>
      <c r="L59" s="1217" t="n"/>
      <c r="M59" s="1217" t="n"/>
      <c r="N59" s="1217" t="n"/>
    </row>
    <row r="60">
      <c r="A60" s="1199" t="inlineStr">
        <is>
          <t>FY29</t>
        </is>
      </c>
      <c r="B60" s="1438">
        <f>$F$96</f>
        <v/>
      </c>
      <c r="C60" s="1438">
        <f>'Steel Demand Model'!E52</f>
        <v/>
      </c>
      <c r="D60" s="1487">
        <f>B60-C60</f>
        <v/>
      </c>
      <c r="E60" s="1527">
        <f>B60/C60</f>
        <v/>
      </c>
      <c r="G60" s="1217" t="n"/>
      <c r="H60" s="1217" t="n"/>
      <c r="I60" s="1217" t="n"/>
      <c r="J60" s="1217" t="n"/>
      <c r="K60" s="1217" t="n"/>
      <c r="L60" s="1217" t="n"/>
      <c r="M60" s="1217" t="n"/>
      <c r="N60" s="1217" t="n"/>
    </row>
    <row r="61">
      <c r="A61" s="1199" t="inlineStr">
        <is>
          <t>FY30</t>
        </is>
      </c>
      <c r="B61" s="1438">
        <f>$G$96</f>
        <v/>
      </c>
      <c r="C61" s="1438">
        <f>'Steel Demand Model'!E53</f>
        <v/>
      </c>
      <c r="D61" s="1487">
        <f>B61-C61</f>
        <v/>
      </c>
      <c r="E61" s="1527">
        <f>B61/C61</f>
        <v/>
      </c>
      <c r="G61" s="1217" t="n"/>
      <c r="H61" s="1217" t="n"/>
      <c r="I61" s="1217" t="n"/>
      <c r="J61" s="1217" t="n"/>
      <c r="K61" s="1217" t="n"/>
      <c r="L61" s="1217" t="n"/>
      <c r="M61" s="1217" t="n"/>
      <c r="N61" s="1217" t="n"/>
    </row>
    <row r="62">
      <c r="A62" s="1199" t="inlineStr">
        <is>
          <t>FY31</t>
        </is>
      </c>
      <c r="B62" s="1438">
        <f>$H$96</f>
        <v/>
      </c>
      <c r="C62" s="1438">
        <f>'Steel Demand Model'!E54</f>
        <v/>
      </c>
      <c r="D62" s="1487">
        <f>B62-C62</f>
        <v/>
      </c>
      <c r="E62" s="1527">
        <f>B62/C62</f>
        <v/>
      </c>
      <c r="G62" s="1217" t="n"/>
      <c r="H62" s="1217" t="n"/>
      <c r="I62" s="1217" t="n"/>
      <c r="J62" s="1217" t="n"/>
      <c r="K62" s="1217" t="n"/>
      <c r="L62" s="1217" t="n"/>
      <c r="M62" s="1217" t="n"/>
      <c r="N62" s="1217" t="n"/>
    </row>
    <row r="63">
      <c r="A63" s="1199" t="inlineStr">
        <is>
          <t>FY32</t>
        </is>
      </c>
      <c r="B63" s="1438">
        <f>$I$96</f>
        <v/>
      </c>
      <c r="C63" s="1438">
        <f>'Steel Demand Model'!E55</f>
        <v/>
      </c>
      <c r="D63" s="1487">
        <f>B63-C63</f>
        <v/>
      </c>
      <c r="E63" s="1527">
        <f>B63/C63</f>
        <v/>
      </c>
      <c r="G63" s="1217" t="n"/>
      <c r="H63" s="1217" t="n"/>
      <c r="I63" s="1217" t="n"/>
      <c r="J63" s="1217" t="n"/>
      <c r="K63" s="1217" t="n"/>
      <c r="L63" s="1217" t="n"/>
      <c r="M63" s="1217" t="n"/>
      <c r="N63" s="1217" t="n"/>
    </row>
    <row r="64">
      <c r="A64" s="1199" t="inlineStr">
        <is>
          <t>FY33</t>
        </is>
      </c>
      <c r="B64" s="1438">
        <f>$J$96</f>
        <v/>
      </c>
      <c r="C64" s="1438">
        <f>'Steel Demand Model'!E56</f>
        <v/>
      </c>
      <c r="D64" s="1487">
        <f>B64-C64</f>
        <v/>
      </c>
      <c r="E64" s="1527">
        <f>B64/C64</f>
        <v/>
      </c>
      <c r="G64" s="1217" t="n"/>
      <c r="H64" s="1217" t="n"/>
      <c r="I64" s="1217" t="n"/>
      <c r="J64" s="1217" t="n"/>
      <c r="K64" s="1217" t="n"/>
      <c r="L64" s="1217" t="n"/>
      <c r="M64" s="1217" t="n"/>
      <c r="N64" s="1217" t="n"/>
    </row>
    <row r="65">
      <c r="A65" s="1217" t="n"/>
      <c r="B65" s="1217" t="n"/>
      <c r="C65" s="1217" t="n"/>
      <c r="D65" s="1217" t="n"/>
      <c r="E65" s="1217" t="n"/>
      <c r="F65" s="1217" t="n"/>
      <c r="G65" s="1217" t="n"/>
      <c r="H65" s="1217" t="n"/>
      <c r="I65" s="1217" t="n"/>
      <c r="J65" s="1217" t="n"/>
      <c r="K65" s="1217" t="n"/>
      <c r="L65" s="1217" t="n"/>
      <c r="M65" s="1217" t="n"/>
      <c r="N65" s="1217" t="n"/>
    </row>
    <row r="66">
      <c r="A66" s="1217" t="n"/>
      <c r="B66" s="1217" t="n"/>
      <c r="C66" s="1217" t="n"/>
      <c r="D66" s="1217" t="n"/>
      <c r="E66" s="1217" t="n"/>
      <c r="F66" s="1217" t="n"/>
      <c r="G66" s="1217" t="n"/>
      <c r="H66" s="1217" t="n"/>
      <c r="I66" s="1217" t="n"/>
      <c r="J66" s="1217" t="n"/>
      <c r="K66" s="1217" t="n"/>
      <c r="L66" s="1217" t="n"/>
      <c r="M66" s="1217" t="n"/>
      <c r="N66" s="1217" t="n"/>
    </row>
    <row r="67" ht="15.6" customHeight="1">
      <c r="A67" s="1184" t="inlineStr">
        <is>
          <t>Capacity Utilisation Outlook</t>
        </is>
      </c>
      <c r="J67" s="1217" t="n"/>
      <c r="K67" s="1217" t="n"/>
      <c r="L67" s="1217" t="n"/>
      <c r="M67" s="1217" t="n"/>
      <c r="N67" s="1217" t="n"/>
    </row>
    <row r="68">
      <c r="A68" s="1188" t="inlineStr">
        <is>
          <t>Year</t>
        </is>
      </c>
      <c r="B68" s="485" t="inlineStr">
        <is>
          <t>Capacity</t>
        </is>
      </c>
      <c r="C68" s="485" t="inlineStr">
        <is>
          <t>Production</t>
        </is>
      </c>
      <c r="D68" s="485" t="inlineStr">
        <is>
          <t>Utilisation</t>
        </is>
      </c>
      <c r="E68" s="1217" t="n"/>
      <c r="F68" s="1217" t="n"/>
      <c r="G68" s="1217" t="n"/>
      <c r="H68" s="1217" t="n"/>
      <c r="I68" s="1217" t="n"/>
      <c r="J68" s="1217" t="n"/>
      <c r="K68" s="1217" t="n"/>
      <c r="L68" s="1217" t="n"/>
      <c r="M68" s="1217" t="n"/>
      <c r="N68" s="1217" t="n"/>
    </row>
    <row r="69">
      <c r="A69" s="1199" t="inlineStr">
        <is>
          <t>FY27</t>
        </is>
      </c>
      <c r="B69" s="1438">
        <f>$D$96</f>
        <v/>
      </c>
      <c r="C69" s="1438">
        <f>'Steel Supply Model'!C$9</f>
        <v/>
      </c>
      <c r="D69" s="1515">
        <f>C69/B69</f>
        <v/>
      </c>
      <c r="E69" s="1217" t="n"/>
      <c r="F69" s="1217" t="n"/>
      <c r="G69" s="1217" t="n"/>
      <c r="H69" s="1217" t="n"/>
      <c r="I69" s="1217" t="n"/>
      <c r="J69" s="1217" t="n"/>
      <c r="K69" s="1217" t="n"/>
      <c r="L69" s="1217" t="n"/>
      <c r="M69" s="1217" t="n"/>
      <c r="N69" s="1217" t="n"/>
    </row>
    <row r="70">
      <c r="A70" s="1199" t="inlineStr">
        <is>
          <t>FY28</t>
        </is>
      </c>
      <c r="B70" s="1438">
        <f>$E$96</f>
        <v/>
      </c>
      <c r="C70" s="1438">
        <f>'Steel Supply Model'!D$9</f>
        <v/>
      </c>
      <c r="D70" s="1515">
        <f>C70/B70</f>
        <v/>
      </c>
      <c r="E70" s="1217" t="n"/>
      <c r="F70" s="1217" t="n"/>
      <c r="G70" s="1217" t="n"/>
      <c r="H70" s="1217" t="n"/>
      <c r="I70" s="1217" t="n"/>
      <c r="J70" s="1217" t="n"/>
      <c r="K70" s="1217" t="n"/>
      <c r="L70" s="1217" t="n"/>
      <c r="M70" s="1217" t="n"/>
      <c r="N70" s="1217" t="n"/>
    </row>
    <row r="71">
      <c r="A71" s="1199" t="inlineStr">
        <is>
          <t>FY29</t>
        </is>
      </c>
      <c r="B71" s="1438">
        <f>$F$96</f>
        <v/>
      </c>
      <c r="C71" s="1438">
        <f>'Steel Supply Model'!E$9</f>
        <v/>
      </c>
      <c r="D71" s="1515">
        <f>C71/B71</f>
        <v/>
      </c>
      <c r="E71" s="1217" t="n"/>
      <c r="F71" s="1217" t="n"/>
      <c r="G71" s="1217" t="n"/>
      <c r="H71" s="1217" t="n"/>
      <c r="I71" s="1217" t="n"/>
      <c r="J71" s="1217" t="n"/>
      <c r="K71" s="1217" t="n"/>
      <c r="L71" s="1217" t="n"/>
      <c r="M71" s="1217" t="n"/>
      <c r="N71" s="1217" t="n"/>
    </row>
    <row r="72">
      <c r="A72" s="1199" t="inlineStr">
        <is>
          <t>FY30</t>
        </is>
      </c>
      <c r="B72" s="1438">
        <f>$G$96</f>
        <v/>
      </c>
      <c r="C72" s="1438">
        <f>'Steel Supply Model'!F$9</f>
        <v/>
      </c>
      <c r="D72" s="1515">
        <f>C72/B72</f>
        <v/>
      </c>
      <c r="E72" s="1217" t="n"/>
      <c r="F72" s="1217" t="n"/>
      <c r="G72" s="1217" t="n"/>
      <c r="H72" s="1217" t="n"/>
      <c r="I72" s="1217" t="n"/>
      <c r="J72" s="1217" t="n"/>
      <c r="K72" s="1217" t="n"/>
      <c r="L72" s="1217" t="n"/>
      <c r="M72" s="1217" t="n"/>
      <c r="N72" s="1217" t="n"/>
    </row>
    <row r="73">
      <c r="A73" s="1199" t="inlineStr">
        <is>
          <t>FY31</t>
        </is>
      </c>
      <c r="B73" s="1438">
        <f>$H$96</f>
        <v/>
      </c>
      <c r="C73" s="1438">
        <f>'Steel Supply Model'!G$9</f>
        <v/>
      </c>
      <c r="D73" s="1515">
        <f>C73/B73</f>
        <v/>
      </c>
      <c r="E73" s="1217" t="n"/>
      <c r="F73" s="1217" t="n"/>
      <c r="G73" s="1217" t="n"/>
      <c r="H73" s="1217" t="n"/>
      <c r="I73" s="1217" t="n"/>
      <c r="J73" s="1217" t="n"/>
      <c r="K73" s="1217" t="n"/>
      <c r="L73" s="1217" t="n"/>
      <c r="M73" s="1217" t="n"/>
      <c r="N73" s="1217" t="n"/>
    </row>
    <row r="74">
      <c r="A74" s="1199" t="inlineStr">
        <is>
          <t>FY32</t>
        </is>
      </c>
      <c r="B74" s="1438">
        <f>$I$96</f>
        <v/>
      </c>
      <c r="C74" s="1438">
        <f>'Steel Supply Model'!H$9</f>
        <v/>
      </c>
      <c r="D74" s="1515">
        <f>C74/B74</f>
        <v/>
      </c>
      <c r="E74" s="1217" t="n"/>
      <c r="F74" s="1217" t="n"/>
      <c r="G74" s="1217" t="n"/>
      <c r="H74" s="1217" t="n"/>
      <c r="I74" s="1217" t="n"/>
      <c r="J74" s="1217" t="n"/>
      <c r="K74" s="1217" t="n"/>
      <c r="L74" s="1217" t="n"/>
      <c r="M74" s="1217" t="n"/>
      <c r="N74" s="1217" t="n"/>
    </row>
    <row r="75">
      <c r="A75" s="1199" t="inlineStr">
        <is>
          <t>FY33</t>
        </is>
      </c>
      <c r="B75" s="1438">
        <f>$J$96</f>
        <v/>
      </c>
      <c r="C75" s="1438">
        <f>'Steel Supply Model'!I$9</f>
        <v/>
      </c>
      <c r="D75" s="1515">
        <f>C75/B75</f>
        <v/>
      </c>
      <c r="E75" s="1217" t="n"/>
      <c r="F75" s="1217" t="n"/>
      <c r="G75" s="1217" t="n"/>
      <c r="H75" s="1217" t="n"/>
      <c r="I75" s="1217" t="n"/>
      <c r="J75" s="1217" t="n"/>
      <c r="K75" s="1217" t="n"/>
      <c r="L75" s="1217" t="n"/>
      <c r="M75" s="1217" t="n"/>
      <c r="N75" s="1217" t="n"/>
    </row>
    <row r="76">
      <c r="A76" s="1217" t="n"/>
      <c r="B76" s="1217" t="n"/>
      <c r="C76" s="1217" t="n"/>
      <c r="D76" s="1217" t="n"/>
      <c r="E76" s="1217" t="n"/>
      <c r="F76" s="1217" t="n"/>
      <c r="G76" s="1217" t="n"/>
      <c r="H76" s="1217" t="n"/>
      <c r="I76" s="1217" t="n"/>
      <c r="J76" s="1217" t="n"/>
      <c r="K76" s="1217" t="n"/>
      <c r="L76" s="1217" t="n"/>
      <c r="M76" s="1217" t="n"/>
      <c r="N76" s="1217" t="n"/>
    </row>
    <row r="77">
      <c r="A77" s="1217" t="n"/>
      <c r="B77" s="1217" t="n"/>
      <c r="C77" s="1217" t="n"/>
      <c r="D77" s="1217" t="n"/>
      <c r="E77" s="1217" t="n"/>
      <c r="F77" s="1217" t="n"/>
      <c r="G77" s="1217" t="n"/>
      <c r="H77" s="1217" t="n"/>
      <c r="I77" s="1217" t="n"/>
      <c r="J77" s="1217" t="n"/>
      <c r="K77" s="1217" t="n"/>
      <c r="L77" s="1217" t="n"/>
      <c r="M77" s="1217" t="n"/>
      <c r="N77" s="1217" t="n"/>
    </row>
    <row r="78" ht="16.2" customHeight="1" thickBot="1">
      <c r="A78" s="1203" t="inlineStr">
        <is>
          <t>Regional Capacity</t>
        </is>
      </c>
      <c r="B78" s="444" t="n"/>
      <c r="C78" s="444" t="n"/>
      <c r="D78" s="1137" t="n"/>
      <c r="E78" s="1137" t="n"/>
      <c r="F78" s="1137" t="n"/>
      <c r="G78" s="1137" t="n"/>
      <c r="H78" s="1137" t="n"/>
      <c r="I78" s="1137" t="n"/>
      <c r="J78" s="1217" t="n"/>
      <c r="K78" s="1217" t="n"/>
      <c r="L78" s="1217" t="n"/>
      <c r="M78" s="1217" t="n"/>
      <c r="N78" s="1217" t="n"/>
    </row>
    <row r="79" ht="15.6" customHeight="1" thickBot="1" thickTop="1">
      <c r="A79" s="312" t="inlineStr">
        <is>
          <t>Region</t>
        </is>
      </c>
      <c r="B79" s="313" t="inlineStr">
        <is>
          <t>FY26A</t>
        </is>
      </c>
      <c r="C79" s="314" t="inlineStr">
        <is>
          <t>FY33E</t>
        </is>
      </c>
      <c r="D79" s="1217" t="n"/>
      <c r="E79" s="1217" t="n"/>
      <c r="F79" s="1217" t="n"/>
      <c r="G79" s="1217" t="n"/>
      <c r="H79" s="1217" t="n"/>
      <c r="I79" s="1217" t="n"/>
      <c r="J79" s="1217" t="n"/>
      <c r="K79" s="1217" t="n"/>
      <c r="L79" s="1217" t="n"/>
      <c r="M79" s="1217" t="n"/>
      <c r="N79" s="1217" t="n"/>
    </row>
    <row r="80" ht="15" customHeight="1" thickTop="1">
      <c r="A80" s="206" t="inlineStr">
        <is>
          <t>East</t>
        </is>
      </c>
      <c r="B80" s="1528" t="n">
        <v>116.5</v>
      </c>
      <c r="C80" s="1529" t="n">
        <v>188.5</v>
      </c>
      <c r="D80" s="1217" t="n"/>
      <c r="E80" s="1217" t="n"/>
      <c r="F80" s="1217" t="n"/>
      <c r="G80" s="1217" t="n"/>
      <c r="H80" s="1217" t="n"/>
      <c r="I80" s="1217" t="n"/>
      <c r="J80" s="1217" t="n"/>
      <c r="K80" s="1217" t="n"/>
      <c r="L80" s="1217" t="n"/>
      <c r="M80" s="1217" t="n"/>
      <c r="N80" s="1217" t="n"/>
    </row>
    <row r="81">
      <c r="A81" s="207" t="inlineStr">
        <is>
          <t>West</t>
        </is>
      </c>
      <c r="B81" s="1530" t="n">
        <v>47</v>
      </c>
      <c r="C81" s="1531" t="n">
        <v>78.5</v>
      </c>
      <c r="D81" s="1217" t="n"/>
      <c r="E81" s="1217" t="n"/>
      <c r="F81" s="1217" t="n"/>
      <c r="G81" s="1217" t="n"/>
      <c r="H81" s="1217" t="n"/>
      <c r="I81" s="1217" t="n"/>
      <c r="J81" s="1217" t="n"/>
      <c r="K81" s="1217" t="n"/>
      <c r="L81" s="1217" t="n"/>
      <c r="M81" s="1217" t="n"/>
      <c r="N81" s="1217" t="n"/>
    </row>
    <row r="82">
      <c r="A82" s="207" t="inlineStr">
        <is>
          <t>South</t>
        </is>
      </c>
      <c r="B82" s="1530" t="n">
        <v>42</v>
      </c>
      <c r="C82" s="1531" t="n">
        <v>63.5</v>
      </c>
      <c r="D82" s="1217" t="n"/>
      <c r="E82" s="1217" t="n"/>
      <c r="F82" s="1217" t="n"/>
      <c r="G82" s="1217" t="n"/>
      <c r="H82" s="1217" t="n"/>
      <c r="I82" s="1217" t="n"/>
      <c r="J82" s="1217" t="n"/>
      <c r="K82" s="1217" t="n"/>
      <c r="L82" s="1217" t="n"/>
      <c r="M82" s="1217" t="n"/>
      <c r="N82" s="1217" t="n"/>
    </row>
    <row r="83">
      <c r="A83" s="207" t="inlineStr">
        <is>
          <t>North</t>
        </is>
      </c>
      <c r="B83" s="1530" t="n">
        <v>0</v>
      </c>
      <c r="C83" s="1531" t="n">
        <v>2</v>
      </c>
      <c r="D83" s="1217" t="n"/>
      <c r="E83" s="1217" t="n"/>
      <c r="F83" s="1217" t="n"/>
      <c r="G83" s="1217" t="n"/>
      <c r="H83" s="1217" t="n"/>
      <c r="I83" s="1217" t="n"/>
      <c r="J83" s="1217" t="n"/>
      <c r="K83" s="1217" t="n"/>
      <c r="L83" s="1217" t="n"/>
      <c r="M83" s="1217" t="n"/>
      <c r="N83" s="1217" t="n"/>
    </row>
    <row r="84">
      <c r="A84" s="207" t="inlineStr">
        <is>
          <t>Central</t>
        </is>
      </c>
      <c r="B84" s="1530" t="n">
        <v>14.9</v>
      </c>
      <c r="C84" s="1531" t="n">
        <v>25.3</v>
      </c>
      <c r="D84" s="1217" t="n"/>
      <c r="E84" s="1217" t="n"/>
      <c r="F84" s="1217" t="n"/>
      <c r="G84" s="1217" t="n"/>
      <c r="H84" s="1217" t="n"/>
      <c r="I84" s="1217" t="n"/>
      <c r="J84" s="1217" t="n"/>
      <c r="K84" s="1217" t="n"/>
      <c r="L84" s="1217" t="n"/>
      <c r="M84" s="1217" t="n"/>
      <c r="N84" s="1217" t="n"/>
    </row>
    <row r="85" ht="15" customHeight="1" thickBot="1">
      <c r="A85" s="247" t="inlineStr">
        <is>
          <t>Total</t>
        </is>
      </c>
      <c r="B85" s="749">
        <f>SUM(B80:B84)</f>
        <v/>
      </c>
      <c r="C85" s="750">
        <f>SUM(C80:C84)</f>
        <v/>
      </c>
      <c r="D85" s="1217" t="n"/>
      <c r="E85" s="1217" t="n"/>
      <c r="F85" s="1217" t="n"/>
      <c r="G85" s="1217" t="n"/>
      <c r="H85" s="1217" t="n"/>
      <c r="I85" s="1217" t="n"/>
      <c r="J85" s="1217" t="n"/>
      <c r="K85" s="1217" t="n"/>
      <c r="L85" s="1217" t="n"/>
      <c r="M85" s="1217" t="n"/>
      <c r="N85" s="1217" t="n"/>
    </row>
    <row r="86">
      <c r="A86" s="1217" t="n"/>
      <c r="B86" s="1217" t="n"/>
      <c r="C86" s="1217" t="n"/>
      <c r="D86" s="1217" t="n"/>
      <c r="E86" s="1217" t="n"/>
      <c r="F86" s="1217" t="n"/>
      <c r="G86" s="1217" t="n"/>
      <c r="H86" s="1217" t="n"/>
      <c r="I86" s="1217" t="n"/>
      <c r="J86" s="1217" t="n"/>
      <c r="K86" s="1217" t="n"/>
      <c r="L86" s="1217" t="n"/>
      <c r="M86" s="1217" t="n"/>
      <c r="N86" s="1217" t="n"/>
    </row>
    <row r="87">
      <c r="A87" s="1217" t="n"/>
      <c r="B87" s="1217" t="n"/>
      <c r="C87" s="1217" t="n"/>
      <c r="D87" s="1217" t="n"/>
      <c r="E87" s="1217" t="n"/>
      <c r="F87" s="1217" t="n"/>
      <c r="G87" s="1217" t="n"/>
      <c r="H87" s="1217" t="n"/>
      <c r="I87" s="1217" t="n"/>
      <c r="J87" s="1217" t="n"/>
      <c r="K87" s="1217" t="n"/>
      <c r="L87" s="1217" t="n"/>
      <c r="M87" s="1217" t="n"/>
      <c r="N87" s="1217" t="n"/>
    </row>
    <row r="88" ht="16.2" customHeight="1" thickBot="1">
      <c r="A88" s="1157" t="inlineStr">
        <is>
          <t>Workbook</t>
        </is>
      </c>
      <c r="B88" s="444" t="n"/>
      <c r="C88" s="444" t="n"/>
      <c r="D88" s="444" t="n"/>
      <c r="E88" s="444" t="n"/>
      <c r="F88" s="444" t="n"/>
      <c r="G88" s="444" t="n"/>
      <c r="H88" s="444" t="n"/>
      <c r="I88" s="444" t="n"/>
      <c r="J88" s="444" t="n"/>
    </row>
    <row r="89" ht="15.6" customHeight="1" thickBot="1" thickTop="1">
      <c r="A89" s="494" t="inlineStr">
        <is>
          <t>Line item</t>
        </is>
      </c>
      <c r="B89" s="495" t="inlineStr">
        <is>
          <t>Unit</t>
        </is>
      </c>
      <c r="C89" s="569" t="inlineStr">
        <is>
          <t>FY2026A</t>
        </is>
      </c>
      <c r="D89" s="569" t="inlineStr">
        <is>
          <t>FY2027E</t>
        </is>
      </c>
      <c r="E89" s="569" t="inlineStr">
        <is>
          <t>FY2028E</t>
        </is>
      </c>
      <c r="F89" s="569" t="inlineStr">
        <is>
          <t>FY2029E</t>
        </is>
      </c>
      <c r="G89" s="569" t="inlineStr">
        <is>
          <t>FY2030E</t>
        </is>
      </c>
      <c r="H89" s="569" t="inlineStr">
        <is>
          <t>FY2031E</t>
        </is>
      </c>
      <c r="I89" s="569" t="inlineStr">
        <is>
          <t>FY2032E</t>
        </is>
      </c>
      <c r="J89" s="570" t="inlineStr">
        <is>
          <t>FY2033E</t>
        </is>
      </c>
      <c r="K89" s="728" t="n"/>
      <c r="L89" s="1261" t="n"/>
      <c r="M89" s="268" t="n"/>
      <c r="N89" s="1261" t="n"/>
    </row>
    <row r="90" ht="15" customHeight="1" thickTop="1">
      <c r="A90" s="429" t="inlineStr">
        <is>
          <t>Opening capacity</t>
        </is>
      </c>
      <c r="B90" s="683" t="inlineStr">
        <is>
          <t>Mtpa</t>
        </is>
      </c>
      <c r="C90" s="741" t="n"/>
      <c r="D90" s="1532">
        <f>C96</f>
        <v/>
      </c>
      <c r="E90" s="1532">
        <f>D96</f>
        <v/>
      </c>
      <c r="F90" s="1532">
        <f>E96</f>
        <v/>
      </c>
      <c r="G90" s="1532">
        <f>F96</f>
        <v/>
      </c>
      <c r="H90" s="1532">
        <f>G96</f>
        <v/>
      </c>
      <c r="I90" s="1532">
        <f>H96</f>
        <v/>
      </c>
      <c r="J90" s="1533">
        <f>I96</f>
        <v/>
      </c>
      <c r="K90" s="729" t="n"/>
      <c r="L90" s="1167" t="n"/>
      <c r="M90" s="727" t="n"/>
      <c r="N90" s="1167" t="n"/>
    </row>
    <row r="91">
      <c r="A91" s="423" t="inlineStr">
        <is>
          <t>Gross announced additions (from tracker)</t>
        </is>
      </c>
      <c r="B91" s="456" t="inlineStr">
        <is>
          <t>Mtpa</t>
        </is>
      </c>
      <c r="C91" s="1509" t="n"/>
      <c r="D91" s="1509">
        <f>'Capacity Expansion Tracker'!E$89</f>
        <v/>
      </c>
      <c r="E91" s="1509">
        <f>'Capacity Expansion Tracker'!F$89</f>
        <v/>
      </c>
      <c r="F91" s="1509">
        <f>'Capacity Expansion Tracker'!G$89</f>
        <v/>
      </c>
      <c r="G91" s="1509">
        <f>'Capacity Expansion Tracker'!H$89</f>
        <v/>
      </c>
      <c r="H91" s="1509">
        <f>'Capacity Expansion Tracker'!I$89</f>
        <v/>
      </c>
      <c r="I91" s="1509">
        <f>'Capacity Expansion Tracker'!J$89</f>
        <v/>
      </c>
      <c r="J91" s="1534">
        <f>'Capacity Expansion Tracker'!K$89</f>
        <v/>
      </c>
      <c r="K91" s="729" t="n"/>
      <c r="L91" s="1167" t="n"/>
      <c r="M91" s="727" t="n"/>
      <c r="N91" s="1167" t="n"/>
    </row>
    <row r="92">
      <c r="A92" s="423" t="inlineStr">
        <is>
          <t>Pipeline delivery factor</t>
        </is>
      </c>
      <c r="B92" s="456" t="inlineStr">
        <is>
          <t>%</t>
        </is>
      </c>
      <c r="C92" s="1512">
        <f>'Model Assumptions'!D$12</f>
        <v/>
      </c>
      <c r="D92" s="1512">
        <f>'Model Assumptions'!E$12</f>
        <v/>
      </c>
      <c r="E92" s="1512">
        <f>'Model Assumptions'!F$12</f>
        <v/>
      </c>
      <c r="F92" s="1512">
        <f>'Model Assumptions'!G$12</f>
        <v/>
      </c>
      <c r="G92" s="1512">
        <f>'Model Assumptions'!H$12</f>
        <v/>
      </c>
      <c r="H92" s="1512">
        <f>'Model Assumptions'!I$12</f>
        <v/>
      </c>
      <c r="I92" s="1512">
        <f>'Model Assumptions'!J$12</f>
        <v/>
      </c>
      <c r="J92" s="1535">
        <f>'Model Assumptions'!K$12</f>
        <v/>
      </c>
      <c r="K92" s="729" t="n"/>
      <c r="L92" s="1167" t="n"/>
      <c r="M92" s="727" t="n"/>
      <c r="N92" s="1167" t="n"/>
    </row>
    <row r="93">
      <c r="A93" s="423" t="inlineStr">
        <is>
          <t>Announced additions delivered</t>
        </is>
      </c>
      <c r="B93" s="456" t="inlineStr">
        <is>
          <t>Mtpa</t>
        </is>
      </c>
      <c r="C93" s="490" t="n"/>
      <c r="D93" s="1472">
        <f>D91*D92</f>
        <v/>
      </c>
      <c r="E93" s="1472">
        <f>E91*E92</f>
        <v/>
      </c>
      <c r="F93" s="1472">
        <f>F91*F92</f>
        <v/>
      </c>
      <c r="G93" s="1472">
        <f>G91*G92</f>
        <v/>
      </c>
      <c r="H93" s="1472">
        <f>H91*H92</f>
        <v/>
      </c>
      <c r="I93" s="1472">
        <f>I91*I92</f>
        <v/>
      </c>
      <c r="J93" s="1536">
        <f>J91*J92</f>
        <v/>
      </c>
      <c r="K93" s="729" t="n"/>
      <c r="L93" s="1167" t="n"/>
      <c r="M93" s="727" t="n"/>
      <c r="N93" s="1262" t="n"/>
    </row>
    <row r="94">
      <c r="A94" s="423" t="inlineStr">
        <is>
          <t>Secondary and unattributed additions</t>
        </is>
      </c>
      <c r="B94" s="456" t="inlineStr">
        <is>
          <t>Mtpa</t>
        </is>
      </c>
      <c r="C94" s="1509">
        <f>'Model Assumptions'!D$29</f>
        <v/>
      </c>
      <c r="D94" s="1509">
        <f>'Model Assumptions'!E$29</f>
        <v/>
      </c>
      <c r="E94" s="1509">
        <f>'Model Assumptions'!F$29</f>
        <v/>
      </c>
      <c r="F94" s="1509">
        <f>'Model Assumptions'!G$29</f>
        <v/>
      </c>
      <c r="G94" s="1509">
        <f>'Model Assumptions'!H$29</f>
        <v/>
      </c>
      <c r="H94" s="1509">
        <f>'Model Assumptions'!I$29</f>
        <v/>
      </c>
      <c r="I94" s="1509">
        <f>'Model Assumptions'!J$29</f>
        <v/>
      </c>
      <c r="J94" s="1534">
        <f>'Model Assumptions'!K$29</f>
        <v/>
      </c>
      <c r="K94" s="729" t="n"/>
      <c r="L94" s="1167" t="n"/>
      <c r="M94" s="727" t="n"/>
      <c r="N94" s="1167" t="n"/>
    </row>
    <row r="95">
      <c r="A95" s="423" t="inlineStr">
        <is>
          <t>Total additions</t>
        </is>
      </c>
      <c r="B95" s="456" t="inlineStr">
        <is>
          <t>Mtpa</t>
        </is>
      </c>
      <c r="C95" s="1472">
        <f>C93+C94</f>
        <v/>
      </c>
      <c r="D95" s="1472">
        <f>D93+D94</f>
        <v/>
      </c>
      <c r="E95" s="1472">
        <f>E93+E94</f>
        <v/>
      </c>
      <c r="F95" s="1472">
        <f>F93+F94</f>
        <v/>
      </c>
      <c r="G95" s="1472">
        <f>G93+G94</f>
        <v/>
      </c>
      <c r="H95" s="1472">
        <f>H93+H94</f>
        <v/>
      </c>
      <c r="I95" s="1472">
        <f>I93+I94</f>
        <v/>
      </c>
      <c r="J95" s="1536">
        <f>J93+J94</f>
        <v/>
      </c>
      <c r="K95" s="729" t="n"/>
      <c r="L95" s="1167" t="n"/>
      <c r="M95" s="727" t="n"/>
      <c r="N95" s="1167" t="n"/>
    </row>
    <row r="96" ht="15" customHeight="1" thickBot="1">
      <c r="A96" s="425" t="inlineStr">
        <is>
          <t>Closing crude steel capacity</t>
        </is>
      </c>
      <c r="B96" s="482" t="inlineStr">
        <is>
          <t>Mtpa</t>
        </is>
      </c>
      <c r="C96" s="1537">
        <f>'Model Calibration'!D13</f>
        <v/>
      </c>
      <c r="D96" s="1538">
        <f>C96+D95</f>
        <v/>
      </c>
      <c r="E96" s="1538">
        <f>D96+E95</f>
        <v/>
      </c>
      <c r="F96" s="1538">
        <f>E96+F95</f>
        <v/>
      </c>
      <c r="G96" s="1538">
        <f>F96+G95</f>
        <v/>
      </c>
      <c r="H96" s="1538">
        <f>G96+H95</f>
        <v/>
      </c>
      <c r="I96" s="1538">
        <f>H96+I95</f>
        <v/>
      </c>
      <c r="J96" s="1539">
        <f>I96+J95</f>
        <v/>
      </c>
      <c r="K96" s="1540" t="n"/>
      <c r="L96" s="1167" t="n"/>
      <c r="M96" s="727" t="n"/>
      <c r="N96" s="1167" t="n"/>
    </row>
    <row r="97" ht="15" customHeight="1" thickBot="1">
      <c r="A97" s="1262" t="n"/>
      <c r="B97" s="1262" t="n"/>
      <c r="C97" s="1262" t="n"/>
      <c r="D97" s="1262" t="n"/>
      <c r="E97" s="1262" t="n"/>
      <c r="F97" s="1262" t="n"/>
      <c r="G97" s="1262" t="n"/>
      <c r="H97" s="1262" t="n"/>
      <c r="I97" s="1262" t="n"/>
      <c r="J97" s="1262" t="n"/>
      <c r="K97" s="1262" t="n"/>
      <c r="L97" s="1262" t="n"/>
      <c r="M97" s="1262" t="n"/>
      <c r="N97" s="1262" t="n"/>
    </row>
    <row r="98" ht="15" customHeight="1" thickBot="1">
      <c r="A98" s="1248" t="inlineStr">
        <is>
          <t>VALIDATION AGAINST NATIONAL STEEL POLICY 2017</t>
        </is>
      </c>
      <c r="B98" s="1442" t="n"/>
      <c r="C98" s="1442" t="n"/>
      <c r="D98" s="1442" t="n"/>
      <c r="E98" s="1442" t="n"/>
      <c r="F98" s="1442" t="n"/>
      <c r="G98" s="1442" t="n"/>
      <c r="H98" s="1336" t="n"/>
      <c r="I98" s="731" t="n"/>
      <c r="J98" s="731" t="n"/>
      <c r="K98" s="731" t="n"/>
      <c r="L98" s="731" t="n"/>
      <c r="M98" s="731" t="n"/>
      <c r="N98" s="731" t="n"/>
    </row>
    <row r="99" ht="15" customHeight="1" thickTop="1">
      <c r="A99" s="429" t="inlineStr">
        <is>
          <t>National Steel Policy 2017 target</t>
        </is>
      </c>
      <c r="B99" s="683" t="inlineStr">
        <is>
          <t>Mtpa</t>
        </is>
      </c>
      <c r="C99" s="734" t="n"/>
      <c r="D99" s="734" t="n"/>
      <c r="E99" s="734" t="n"/>
      <c r="F99" s="734" t="n"/>
      <c r="G99" s="734" t="n"/>
      <c r="H99" s="1541" t="n">
        <v>300</v>
      </c>
      <c r="I99" s="107" t="n"/>
      <c r="J99" s="107" t="n"/>
      <c r="K99" s="107" t="n"/>
      <c r="L99" s="1167" t="n"/>
      <c r="M99" s="727" t="n"/>
      <c r="N99" s="1167" t="n"/>
    </row>
    <row r="100">
      <c r="A100" s="423" t="inlineStr">
        <is>
          <t>Model capacity in FY2031E</t>
        </is>
      </c>
      <c r="B100" s="456" t="inlineStr">
        <is>
          <t>Mtpa</t>
        </is>
      </c>
      <c r="C100" s="421" t="n"/>
      <c r="D100" s="421" t="n"/>
      <c r="E100" s="421" t="n"/>
      <c r="F100" s="421" t="n"/>
      <c r="G100" s="421" t="n"/>
      <c r="H100" s="1542">
        <f>H96</f>
        <v/>
      </c>
      <c r="I100" s="107" t="n"/>
      <c r="J100" s="107" t="n"/>
      <c r="K100" s="107" t="n"/>
      <c r="L100" s="1167" t="n"/>
      <c r="M100" s="727" t="n"/>
      <c r="N100" s="1262" t="n"/>
    </row>
    <row r="101" ht="15" customHeight="1" thickBot="1">
      <c r="A101" s="425" t="inlineStr">
        <is>
          <t>Model as % of policy target</t>
        </is>
      </c>
      <c r="B101" s="482" t="inlineStr">
        <is>
          <t>%</t>
        </is>
      </c>
      <c r="C101" s="483" t="n"/>
      <c r="D101" s="483" t="n"/>
      <c r="E101" s="483" t="n"/>
      <c r="F101" s="483" t="n"/>
      <c r="G101" s="483" t="n"/>
      <c r="H101" s="1543">
        <f>H100/H99</f>
        <v/>
      </c>
      <c r="I101" s="107" t="n"/>
      <c r="J101" s="107" t="n"/>
      <c r="K101" s="107" t="n"/>
      <c r="L101" s="1167" t="n"/>
      <c r="M101" s="727" t="n"/>
      <c r="N101" s="1167" t="n"/>
    </row>
    <row r="103">
      <c r="A103" s="1240" t="inlineStr">
        <is>
          <t>Sign warning: more capacity is EBITDA-NEGATIVE in this model, because it depresses utilisation which feeds back into price via driver D23. See 09 Steel Price Forecast.</t>
        </is>
      </c>
    </row>
  </sheetData>
  <mergeCells count="29">
    <mergeCell ref="A7:I7"/>
    <mergeCell ref="G42:H42"/>
    <mergeCell ref="A98:H98"/>
    <mergeCell ref="A56:I56"/>
    <mergeCell ref="G36:H36"/>
    <mergeCell ref="A45:H45"/>
    <mergeCell ref="G39:H39"/>
    <mergeCell ref="A1:N1"/>
    <mergeCell ref="L3:M3"/>
    <mergeCell ref="G38:H38"/>
    <mergeCell ref="G37:H37"/>
    <mergeCell ref="A17:I17"/>
    <mergeCell ref="G34:H34"/>
    <mergeCell ref="G30:H30"/>
    <mergeCell ref="A88:J88"/>
    <mergeCell ref="G33:H33"/>
    <mergeCell ref="A2:H2"/>
    <mergeCell ref="A67:I67"/>
    <mergeCell ref="A5:N5"/>
    <mergeCell ref="G35:H35"/>
    <mergeCell ref="G29:H29"/>
    <mergeCell ref="J3:K3"/>
    <mergeCell ref="A103:I103"/>
    <mergeCell ref="G32:H32"/>
    <mergeCell ref="G41:H41"/>
    <mergeCell ref="A28:H28"/>
    <mergeCell ref="A78:C78"/>
    <mergeCell ref="G31:H31"/>
    <mergeCell ref="G40:H40"/>
  </mergeCell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codeName="Sheet12">
    <tabColor rgb="FF002060"/>
    <outlinePr summaryBelow="1" summaryRight="1"/>
    <pageSetUpPr/>
  </sheetPr>
  <dimension ref="A1:O91"/>
  <sheetViews>
    <sheetView showGridLines="0" topLeftCell="B84" zoomScaleNormal="100" workbookViewId="0">
      <selection activeCell="G10" sqref="G10"/>
    </sheetView>
  </sheetViews>
  <sheetFormatPr baseColWidth="8" defaultRowHeight="14.4"/>
  <cols>
    <col width="30.77734375" bestFit="1" customWidth="1" min="1" max="1"/>
    <col width="19.88671875" customWidth="1" min="2" max="14"/>
    <col width="74" customWidth="1" min="15" max="15"/>
  </cols>
  <sheetData>
    <row r="1" ht="25.8" customHeight="1">
      <c r="A1" s="1150" t="inlineStr">
        <is>
          <t>CAPACITY EXPANSION TRACKER</t>
        </is>
      </c>
    </row>
    <row r="2" ht="15" customHeight="1" thickBot="1">
      <c r="A2" s="1159" t="inlineStr">
        <is>
          <t xml:space="preserve">Industry Financial Model  |  Indian Steel Industry  |  Horizon FY2027E-FY2033E  |  Base year FY2026A </t>
        </is>
      </c>
    </row>
    <row r="3" ht="16.2" customHeight="1" thickBot="1">
      <c r="B3" s="1253" t="n"/>
      <c r="H3" s="759" t="inlineStr">
        <is>
          <t>Active Scenario</t>
        </is>
      </c>
      <c r="I3" s="760">
        <f>'Control Panel'!$E$17</f>
        <v/>
      </c>
      <c r="J3" s="1219" t="n"/>
    </row>
    <row r="4">
      <c r="A4" s="1254" t="inlineStr">
        <is>
          <t>OBJECTIVE</t>
        </is>
      </c>
      <c r="C4" s="55" t="n"/>
      <c r="D4" s="55" t="n"/>
      <c r="E4" s="55" t="n"/>
      <c r="F4" s="55" t="n"/>
      <c r="G4" s="55" t="n"/>
      <c r="H4" s="55" t="n"/>
      <c r="I4" s="55" t="n"/>
      <c r="J4" s="55" t="n"/>
      <c r="K4" s="55" t="n"/>
      <c r="L4" s="55" t="n"/>
      <c r="M4" s="55" t="n"/>
      <c r="N4" s="55" t="n"/>
      <c r="O4" s="55" t="n"/>
    </row>
    <row r="5">
      <c r="A5" s="1255" t="inlineStr">
        <is>
          <t>The dated project pipeline that drives the capacity forecast. Twenty projects, each with its capacity, status, expected commissioning year and whether it counts towards INDIA's national crude steel capacity.</t>
        </is>
      </c>
    </row>
    <row r="6">
      <c r="A6" s="1255" t="n"/>
      <c r="B6" s="1255" t="n"/>
      <c r="C6" s="1255" t="n"/>
      <c r="D6" s="1255" t="n"/>
      <c r="E6" s="1255" t="n"/>
      <c r="F6" s="1255" t="n"/>
      <c r="G6" s="1255" t="n"/>
      <c r="H6" s="1255" t="n"/>
      <c r="I6" s="1255" t="n"/>
      <c r="J6" s="1255" t="n"/>
      <c r="K6" s="1255" t="n"/>
      <c r="L6" s="1255" t="n"/>
      <c r="M6" s="1255" t="n"/>
      <c r="N6" s="1255" t="n"/>
      <c r="O6" s="1255" t="n"/>
    </row>
    <row r="7" ht="16.2" customHeight="1" thickBot="1">
      <c r="A7" s="1184" t="inlineStr">
        <is>
          <t>Executive Summary</t>
        </is>
      </c>
      <c r="J7" s="1255" t="n"/>
      <c r="K7" s="1255" t="n"/>
      <c r="L7" s="1255" t="n"/>
      <c r="M7" s="1255" t="n"/>
      <c r="N7" s="1255" t="n"/>
      <c r="O7" s="1255" t="n"/>
    </row>
    <row r="8" ht="15" customHeight="1" thickBot="1">
      <c r="A8" s="273" t="inlineStr">
        <is>
          <t>KPI</t>
        </is>
      </c>
      <c r="B8" s="304" t="inlineStr">
        <is>
          <t>Value</t>
        </is>
      </c>
      <c r="C8" s="1261" t="n"/>
      <c r="D8" s="1261" t="n"/>
      <c r="E8" s="1261" t="n"/>
      <c r="F8" s="1261" t="n"/>
      <c r="G8" s="1261" t="n"/>
      <c r="H8" s="1261" t="n"/>
      <c r="I8" s="1261" t="n"/>
      <c r="J8" s="1255" t="n"/>
      <c r="K8" s="1255" t="n"/>
      <c r="L8" s="1255" t="n"/>
      <c r="M8" s="1255" t="n"/>
      <c r="N8" s="1255" t="n"/>
      <c r="O8" s="1255" t="n"/>
    </row>
    <row r="9" ht="15" customHeight="1" thickTop="1">
      <c r="A9" s="207" t="inlineStr">
        <is>
          <t>Total Active Projects</t>
        </is>
      </c>
      <c r="B9" s="402">
        <f>COUNTA($A$67:$A$86)</f>
        <v/>
      </c>
      <c r="C9" s="262" t="n"/>
      <c r="D9" s="262" t="n"/>
      <c r="E9" s="262" t="n"/>
      <c r="F9" s="262" t="n"/>
      <c r="G9" s="262" t="n"/>
      <c r="H9" s="262" t="n"/>
      <c r="I9" s="262" t="n"/>
      <c r="J9" s="1255" t="n"/>
      <c r="K9" s="1255" t="n"/>
      <c r="L9" s="1255" t="n"/>
      <c r="M9" s="1255" t="n"/>
      <c r="N9" s="1255" t="n"/>
      <c r="O9" s="1255" t="n"/>
    </row>
    <row r="10">
      <c r="A10" s="207" t="inlineStr">
        <is>
          <t>Total Planned Capacity (Mtpa)</t>
        </is>
      </c>
      <c r="B10" s="403">
        <f>SUM($F$67:$F$86)</f>
        <v/>
      </c>
      <c r="C10" s="262" t="n"/>
      <c r="D10" s="262" t="n"/>
      <c r="E10" s="262" t="n"/>
      <c r="F10" s="262" t="n"/>
      <c r="G10" s="262" t="n"/>
      <c r="H10" s="262" t="n"/>
      <c r="I10" s="262" t="n"/>
      <c r="J10" s="1255" t="n"/>
      <c r="K10" s="1255" t="n"/>
      <c r="L10" s="1255" t="n"/>
      <c r="M10" s="1255" t="n"/>
      <c r="N10" s="1255" t="n"/>
      <c r="O10" s="1255" t="n"/>
    </row>
    <row r="11">
      <c r="A11" s="207" t="inlineStr">
        <is>
          <t>Capacity Under Construction (Mtpa)</t>
        </is>
      </c>
      <c r="B11" s="403">
        <f>SUMIFS($F$67:$F$86,$H$67:$H$86,"Under*")</f>
        <v/>
      </c>
      <c r="C11" s="262" t="n"/>
      <c r="D11" s="262" t="n"/>
      <c r="E11" s="262" t="n"/>
      <c r="F11" s="262" t="n"/>
      <c r="G11" s="262" t="n"/>
      <c r="H11" s="262" t="n"/>
      <c r="I11" s="262" t="n"/>
      <c r="J11" s="1255" t="n"/>
      <c r="K11" s="1255" t="n"/>
      <c r="L11" s="1255" t="n"/>
      <c r="M11" s="1255" t="n"/>
      <c r="N11" s="1255" t="n"/>
      <c r="O11" s="1255" t="n"/>
    </row>
    <row r="12">
      <c r="A12" s="207" t="inlineStr">
        <is>
          <t>Capacity Commissioned (Mtpa)</t>
        </is>
      </c>
      <c r="B12" s="403">
        <f>SUMIFS($F$67:$F$86,$H$67:$H$86,"Commissioned*")+SUMIFS($F$67:$F$86,$H$67:$H$86,"Completed*")</f>
        <v/>
      </c>
      <c r="C12" s="262" t="n"/>
      <c r="D12" s="262" t="n"/>
      <c r="E12" s="262" t="n"/>
      <c r="F12" s="262" t="n"/>
      <c r="G12" s="262" t="n"/>
      <c r="H12" s="262" t="n"/>
      <c r="I12" s="262" t="n"/>
      <c r="J12" s="1255" t="n"/>
      <c r="K12" s="1255" t="n"/>
      <c r="L12" s="1255" t="n"/>
      <c r="M12" s="1255" t="n"/>
      <c r="N12" s="1255" t="n"/>
      <c r="O12" s="1255" t="n"/>
    </row>
    <row r="13">
      <c r="A13" s="207" t="inlineStr">
        <is>
          <t>Weighted Expected Capacity (Mtpa)</t>
        </is>
      </c>
      <c r="B13" s="403">
        <f>$D$91*'Model Assumptions'!$E$12</f>
        <v/>
      </c>
      <c r="C13" s="262" t="n"/>
      <c r="D13" s="262" t="n"/>
      <c r="E13" s="262" t="n"/>
      <c r="F13" s="262" t="n"/>
      <c r="G13" s="262" t="n"/>
      <c r="H13" s="262" t="n"/>
      <c r="I13" s="262" t="n"/>
      <c r="J13" s="1255" t="n"/>
      <c r="K13" s="1255" t="n"/>
      <c r="L13" s="1255" t="n"/>
      <c r="M13" s="1255" t="n"/>
      <c r="N13" s="1255" t="n"/>
      <c r="O13" s="1255" t="n"/>
    </row>
    <row r="14">
      <c r="A14" s="207" t="inlineStr">
        <is>
          <t>Average Completion Probability</t>
        </is>
      </c>
      <c r="B14" s="404">
        <f>'Model Assumptions'!$E$12</f>
        <v/>
      </c>
      <c r="C14" s="262" t="n"/>
      <c r="D14" s="262" t="n"/>
      <c r="E14" s="262" t="n"/>
      <c r="F14" s="262" t="n"/>
      <c r="G14" s="262" t="n"/>
      <c r="H14" s="262" t="n"/>
      <c r="I14" s="262" t="n"/>
      <c r="J14" s="1255" t="n"/>
      <c r="K14" s="1255" t="n"/>
      <c r="L14" s="1255" t="n"/>
      <c r="M14" s="1255" t="n"/>
      <c r="N14" s="1255" t="n"/>
      <c r="O14" s="1255" t="n"/>
    </row>
    <row r="15" ht="15" customHeight="1" thickBot="1">
      <c r="A15" s="208" t="inlineStr">
        <is>
          <t>Average Project Size (Mtpa)</t>
        </is>
      </c>
      <c r="B15" s="405">
        <f>IFERROR(SUM($F$67:$F$86)/COUNT($F$67:$F$86),"")</f>
        <v/>
      </c>
      <c r="C15" s="1255" t="n"/>
      <c r="D15" s="1255" t="n"/>
      <c r="E15" s="1255" t="n"/>
      <c r="F15" s="1255" t="n"/>
      <c r="G15" s="1255" t="n"/>
      <c r="H15" s="1255" t="n"/>
      <c r="I15" s="1255" t="n"/>
      <c r="J15" s="1255" t="n"/>
      <c r="K15" s="1255" t="n"/>
      <c r="L15" s="1255" t="n"/>
      <c r="M15" s="1255" t="n"/>
      <c r="N15" s="1255" t="n"/>
      <c r="O15" s="1255" t="n"/>
    </row>
    <row r="16">
      <c r="A16" s="1255" t="n"/>
      <c r="B16" s="1255" t="n"/>
      <c r="C16" s="1255" t="n"/>
      <c r="D16" s="1255" t="n"/>
      <c r="E16" s="1255" t="n"/>
      <c r="F16" s="1255" t="n"/>
      <c r="G16" s="1255" t="n"/>
      <c r="H16" s="1255" t="n"/>
      <c r="I16" s="1255" t="n"/>
      <c r="J16" s="1255" t="n"/>
      <c r="K16" s="1255" t="n"/>
      <c r="L16" s="1255" t="n"/>
      <c r="M16" s="1255" t="n"/>
      <c r="N16" s="1255" t="n"/>
      <c r="O16" s="1255" t="n"/>
    </row>
    <row r="17">
      <c r="A17" s="1255" t="n"/>
      <c r="B17" s="1255" t="n"/>
      <c r="C17" s="1255" t="n"/>
      <c r="D17" s="1255" t="n"/>
      <c r="E17" s="1255" t="n"/>
      <c r="F17" s="1255" t="n"/>
      <c r="G17" s="1255" t="n"/>
      <c r="H17" s="1255" t="n"/>
      <c r="I17" s="1255" t="n"/>
      <c r="J17" s="1255" t="n"/>
      <c r="K17" s="1255" t="n"/>
      <c r="L17" s="1255" t="n"/>
      <c r="M17" s="1255" t="n"/>
      <c r="N17" s="1255" t="n"/>
      <c r="O17" s="1255" t="n"/>
    </row>
    <row r="18" ht="15.6" customHeight="1">
      <c r="A18" s="1184" t="inlineStr">
        <is>
          <t>Master Project Resigter</t>
        </is>
      </c>
      <c r="J18" s="1255" t="n"/>
      <c r="K18" s="1255" t="n"/>
      <c r="L18" s="1255" t="n"/>
      <c r="M18" s="1255" t="n"/>
      <c r="N18" s="1255" t="n"/>
      <c r="O18" s="1255" t="n"/>
    </row>
    <row r="19">
      <c r="A19" s="1188" t="inlineStr">
        <is>
          <t>Project ID</t>
        </is>
      </c>
      <c r="B19" s="1188" t="inlineStr">
        <is>
          <t>Company</t>
        </is>
      </c>
      <c r="C19" s="1188" t="inlineStr">
        <is>
          <t>Plant</t>
        </is>
      </c>
      <c r="D19" s="1188" t="inlineStr">
        <is>
          <t>State</t>
        </is>
      </c>
      <c r="E19" s="1188" t="inlineStr">
        <is>
          <t>Route</t>
        </is>
      </c>
      <c r="F19" s="1188" t="inlineStr">
        <is>
          <t>Project Type</t>
        </is>
      </c>
      <c r="G19" s="1188" t="inlineStr">
        <is>
          <t>Existing Capacity</t>
        </is>
      </c>
      <c r="H19" s="1188" t="inlineStr">
        <is>
          <t>Expansion Capacity</t>
        </is>
      </c>
      <c r="I19" s="1188" t="inlineStr">
        <is>
          <t>Total Capacity</t>
        </is>
      </c>
      <c r="J19" s="1188" t="inlineStr">
        <is>
          <t>Announcement</t>
        </is>
      </c>
      <c r="K19" s="485" t="inlineStr">
        <is>
          <t>COD</t>
        </is>
      </c>
      <c r="L19" s="485" t="inlineStr">
        <is>
          <t>Probability</t>
        </is>
      </c>
      <c r="M19" s="1188" t="inlineStr">
        <is>
          <t>Status</t>
        </is>
      </c>
      <c r="N19" s="485" t="inlineStr">
        <is>
          <t>Capex (₹ Cr)</t>
        </is>
      </c>
      <c r="O19" s="269" t="inlineStr">
        <is>
          <t>Source</t>
        </is>
      </c>
    </row>
    <row r="20">
      <c r="A20" s="305" t="inlineStr">
        <is>
          <t>P01</t>
        </is>
      </c>
      <c r="B20" s="406">
        <f>$B$67</f>
        <v/>
      </c>
      <c r="C20" s="406">
        <f>$C$67</f>
        <v/>
      </c>
      <c r="D20" s="406">
        <f>$D$67</f>
        <v/>
      </c>
      <c r="E20" s="407">
        <f>IF(ISNUMBER(SEARCH("EAF",$E$67)),"EAF",IF(ISNUMBER(SEARCH("BF",$E$67)),"BF-BOF",IF(ISNUMBER(SEARCH("integrated",$E$67)),"BF-BOF (integrated)",IF(ISNUMBER(SEARCH("melt",$G$67)),"Stainless melt","Not specified"))))</f>
        <v/>
      </c>
      <c r="F20" s="406">
        <f>$E$67</f>
        <v/>
      </c>
      <c r="G20" s="408" t="n"/>
      <c r="H20" s="409">
        <f>$F$67</f>
        <v/>
      </c>
      <c r="I20" s="408" t="n"/>
      <c r="J20" s="408" t="n"/>
      <c r="K20" s="757">
        <f>$I$67</f>
        <v/>
      </c>
      <c r="L20" s="758">
        <f>IF($L67="Yes",'Model Assumptions'!$E$12,0)</f>
        <v/>
      </c>
      <c r="M20" s="406">
        <f>$H$67</f>
        <v/>
      </c>
      <c r="N20" s="1544">
        <f>$J$67</f>
        <v/>
      </c>
      <c r="O20" s="755">
        <f>$M$67</f>
        <v/>
      </c>
    </row>
    <row r="21">
      <c r="A21" s="305" t="inlineStr">
        <is>
          <t>P02</t>
        </is>
      </c>
      <c r="B21" s="406">
        <f>$B$68</f>
        <v/>
      </c>
      <c r="C21" s="406">
        <f>$C$68</f>
        <v/>
      </c>
      <c r="D21" s="406">
        <f>$D$68</f>
        <v/>
      </c>
      <c r="E21" s="407">
        <f>IF(ISNUMBER(SEARCH("EAF",$E$68)),"EAF",IF(ISNUMBER(SEARCH("BF",$E$68)),"BF-BOF",IF(ISNUMBER(SEARCH("integrated",$E$68)),"BF-BOF (integrated)",IF(ISNUMBER(SEARCH("melt",$G$68)),"Stainless melt","Not specified"))))</f>
        <v/>
      </c>
      <c r="F21" s="406">
        <f>$E$68</f>
        <v/>
      </c>
      <c r="G21" s="408" t="n"/>
      <c r="H21" s="409">
        <f>$F$68</f>
        <v/>
      </c>
      <c r="I21" s="408" t="n"/>
      <c r="J21" s="408" t="n"/>
      <c r="K21" s="757">
        <f>$I$68</f>
        <v/>
      </c>
      <c r="L21" s="758">
        <f>IF($L68="Yes",'Model Assumptions'!$E$12,0)</f>
        <v/>
      </c>
      <c r="M21" s="406">
        <f>$H$68</f>
        <v/>
      </c>
      <c r="N21" s="1544">
        <f>$J$68</f>
        <v/>
      </c>
      <c r="O21" s="755">
        <f>$M$68</f>
        <v/>
      </c>
    </row>
    <row r="22">
      <c r="A22" s="305" t="inlineStr">
        <is>
          <t>P03</t>
        </is>
      </c>
      <c r="B22" s="406">
        <f>$B$69</f>
        <v/>
      </c>
      <c r="C22" s="406">
        <f>$C$69</f>
        <v/>
      </c>
      <c r="D22" s="406">
        <f>$D$69</f>
        <v/>
      </c>
      <c r="E22" s="407">
        <f>IF(ISNUMBER(SEARCH("EAF",$E$69)),"EAF",IF(ISNUMBER(SEARCH("BF",$E$69)),"BF-BOF",IF(ISNUMBER(SEARCH("integrated",$E$69)),"BF-BOF (integrated)",IF(ISNUMBER(SEARCH("melt",$G$69)),"Stainless melt","Not specified"))))</f>
        <v/>
      </c>
      <c r="F22" s="406">
        <f>$E$69</f>
        <v/>
      </c>
      <c r="G22" s="408" t="n"/>
      <c r="H22" s="409">
        <f>$F$69</f>
        <v/>
      </c>
      <c r="I22" s="408" t="n"/>
      <c r="J22" s="408" t="n"/>
      <c r="K22" s="757">
        <f>$I$69</f>
        <v/>
      </c>
      <c r="L22" s="758">
        <f>IF($L69="Yes",'Model Assumptions'!$E$12,0)</f>
        <v/>
      </c>
      <c r="M22" s="406">
        <f>$H$69</f>
        <v/>
      </c>
      <c r="N22" s="1544">
        <f>$J$69</f>
        <v/>
      </c>
      <c r="O22" s="755">
        <f>$M$69</f>
        <v/>
      </c>
    </row>
    <row r="23">
      <c r="A23" s="305" t="inlineStr">
        <is>
          <t>P04</t>
        </is>
      </c>
      <c r="B23" s="406">
        <f>$B$70</f>
        <v/>
      </c>
      <c r="C23" s="406">
        <f>$C$70</f>
        <v/>
      </c>
      <c r="D23" s="406">
        <f>$D$70</f>
        <v/>
      </c>
      <c r="E23" s="407">
        <f>IF(ISNUMBER(SEARCH("EAF",$E$70)),"EAF",IF(ISNUMBER(SEARCH("BF",$E$70)),"BF-BOF",IF(ISNUMBER(SEARCH("integrated",$E$70)),"BF-BOF (integrated)",IF(ISNUMBER(SEARCH("melt",$G$70)),"Stainless melt","Not specified"))))</f>
        <v/>
      </c>
      <c r="F23" s="406">
        <f>$E$70</f>
        <v/>
      </c>
      <c r="G23" s="408" t="n"/>
      <c r="H23" s="409">
        <f>$F$70</f>
        <v/>
      </c>
      <c r="I23" s="408" t="n"/>
      <c r="J23" s="408" t="n"/>
      <c r="K23" s="757">
        <f>$I$70</f>
        <v/>
      </c>
      <c r="L23" s="758">
        <f>IF($L70="Yes",'Model Assumptions'!$E$12,0)</f>
        <v/>
      </c>
      <c r="M23" s="406">
        <f>$H$70</f>
        <v/>
      </c>
      <c r="N23" s="1544">
        <f>$J$70</f>
        <v/>
      </c>
      <c r="O23" s="755">
        <f>$M$70</f>
        <v/>
      </c>
    </row>
    <row r="24">
      <c r="A24" s="305" t="inlineStr">
        <is>
          <t>P05</t>
        </is>
      </c>
      <c r="B24" s="406">
        <f>$B$71</f>
        <v/>
      </c>
      <c r="C24" s="406">
        <f>$C$71</f>
        <v/>
      </c>
      <c r="D24" s="406">
        <f>$D$71</f>
        <v/>
      </c>
      <c r="E24" s="407">
        <f>IF(ISNUMBER(SEARCH("EAF",$E$71)),"EAF",IF(ISNUMBER(SEARCH("BF",$E$71)),"BF-BOF",IF(ISNUMBER(SEARCH("integrated",$E$71)),"BF-BOF (integrated)",IF(ISNUMBER(SEARCH("melt",$G$71)),"Stainless melt","Not specified"))))</f>
        <v/>
      </c>
      <c r="F24" s="406">
        <f>$E$71</f>
        <v/>
      </c>
      <c r="G24" s="408" t="n"/>
      <c r="H24" s="409">
        <f>$F$71</f>
        <v/>
      </c>
      <c r="I24" s="408" t="n"/>
      <c r="J24" s="408" t="n"/>
      <c r="K24" s="757">
        <f>$I$71</f>
        <v/>
      </c>
      <c r="L24" s="758">
        <f>IF($L71="Yes",'Model Assumptions'!$E$12,0)</f>
        <v/>
      </c>
      <c r="M24" s="406">
        <f>$H$71</f>
        <v/>
      </c>
      <c r="N24" s="1544">
        <f>$J$71</f>
        <v/>
      </c>
      <c r="O24" s="755">
        <f>$M$71</f>
        <v/>
      </c>
    </row>
    <row r="25">
      <c r="A25" s="305" t="inlineStr">
        <is>
          <t>P06</t>
        </is>
      </c>
      <c r="B25" s="406">
        <f>$B$72</f>
        <v/>
      </c>
      <c r="C25" s="406">
        <f>$C$72</f>
        <v/>
      </c>
      <c r="D25" s="406">
        <f>$D$72</f>
        <v/>
      </c>
      <c r="E25" s="407">
        <f>IF(ISNUMBER(SEARCH("EAF",$E$72)),"EAF",IF(ISNUMBER(SEARCH("BF",$E$72)),"BF-BOF",IF(ISNUMBER(SEARCH("integrated",$E$72)),"BF-BOF (integrated)",IF(ISNUMBER(SEARCH("melt",$G$72)),"Stainless melt","Not specified"))))</f>
        <v/>
      </c>
      <c r="F25" s="406">
        <f>$E$72</f>
        <v/>
      </c>
      <c r="G25" s="408" t="n"/>
      <c r="H25" s="409">
        <f>$F$72</f>
        <v/>
      </c>
      <c r="I25" s="408" t="n"/>
      <c r="J25" s="408" t="n"/>
      <c r="K25" s="757">
        <f>$I$72</f>
        <v/>
      </c>
      <c r="L25" s="758">
        <f>IF($L72="Yes",'Model Assumptions'!$E$12,0)</f>
        <v/>
      </c>
      <c r="M25" s="406">
        <f>$H$72</f>
        <v/>
      </c>
      <c r="N25" s="1544">
        <f>$J$72</f>
        <v/>
      </c>
      <c r="O25" s="755">
        <f>$M$72</f>
        <v/>
      </c>
    </row>
    <row r="26">
      <c r="A26" s="305" t="inlineStr">
        <is>
          <t>P07</t>
        </is>
      </c>
      <c r="B26" s="406">
        <f>$B$73</f>
        <v/>
      </c>
      <c r="C26" s="406">
        <f>$C$73</f>
        <v/>
      </c>
      <c r="D26" s="406">
        <f>$D$73</f>
        <v/>
      </c>
      <c r="E26" s="407">
        <f>IF(ISNUMBER(SEARCH("EAF",$E$73)),"EAF",IF(ISNUMBER(SEARCH("BF",$E$73)),"BF-BOF",IF(ISNUMBER(SEARCH("integrated",$E$73)),"BF-BOF (integrated)",IF(ISNUMBER(SEARCH("melt",$G$73)),"Stainless melt","Not specified"))))</f>
        <v/>
      </c>
      <c r="F26" s="406">
        <f>$E$73</f>
        <v/>
      </c>
      <c r="G26" s="408" t="n"/>
      <c r="H26" s="409">
        <f>$F$73</f>
        <v/>
      </c>
      <c r="I26" s="408" t="n"/>
      <c r="J26" s="408" t="n"/>
      <c r="K26" s="757">
        <f>$I$73</f>
        <v/>
      </c>
      <c r="L26" s="758">
        <f>IF($L73="Yes",'Model Assumptions'!$E$12,0)</f>
        <v/>
      </c>
      <c r="M26" s="406">
        <f>$H$73</f>
        <v/>
      </c>
      <c r="N26" s="1544">
        <f>$J$73</f>
        <v/>
      </c>
      <c r="O26" s="755">
        <f>$M$73</f>
        <v/>
      </c>
    </row>
    <row r="27">
      <c r="A27" s="305" t="inlineStr">
        <is>
          <t>P08</t>
        </is>
      </c>
      <c r="B27" s="406">
        <f>$B$74</f>
        <v/>
      </c>
      <c r="C27" s="406">
        <f>$C$74</f>
        <v/>
      </c>
      <c r="D27" s="406">
        <f>$D$74</f>
        <v/>
      </c>
      <c r="E27" s="407">
        <f>IF(ISNUMBER(SEARCH("EAF",$E$74)),"EAF",IF(ISNUMBER(SEARCH("BF",$E$74)),"BF-BOF",IF(ISNUMBER(SEARCH("integrated",$E$74)),"BF-BOF (integrated)",IF(ISNUMBER(SEARCH("melt",$G$74)),"Stainless melt","Not specified"))))</f>
        <v/>
      </c>
      <c r="F27" s="406">
        <f>$E$74</f>
        <v/>
      </c>
      <c r="G27" s="408" t="n"/>
      <c r="H27" s="409">
        <f>$F$74</f>
        <v/>
      </c>
      <c r="I27" s="408" t="n"/>
      <c r="J27" s="408" t="n"/>
      <c r="K27" s="757">
        <f>$I$74</f>
        <v/>
      </c>
      <c r="L27" s="758">
        <f>IF($L74="Yes",'Model Assumptions'!$E$12,0)</f>
        <v/>
      </c>
      <c r="M27" s="406">
        <f>$H$74</f>
        <v/>
      </c>
      <c r="N27" s="1544">
        <f>$J$74</f>
        <v/>
      </c>
      <c r="O27" s="755">
        <f>$M$74</f>
        <v/>
      </c>
    </row>
    <row r="28">
      <c r="A28" s="305" t="inlineStr">
        <is>
          <t>P09</t>
        </is>
      </c>
      <c r="B28" s="406">
        <f>$B$75</f>
        <v/>
      </c>
      <c r="C28" s="406">
        <f>$C$75</f>
        <v/>
      </c>
      <c r="D28" s="406">
        <f>$D$75</f>
        <v/>
      </c>
      <c r="E28" s="407">
        <f>IF(ISNUMBER(SEARCH("EAF",$E$75)),"EAF",IF(ISNUMBER(SEARCH("BF",$E$75)),"BF-BOF",IF(ISNUMBER(SEARCH("integrated",$E$75)),"BF-BOF (integrated)",IF(ISNUMBER(SEARCH("melt",$G$75)),"Stainless melt","Not specified"))))</f>
        <v/>
      </c>
      <c r="F28" s="406">
        <f>$E$75</f>
        <v/>
      </c>
      <c r="G28" s="408" t="n"/>
      <c r="H28" s="409">
        <f>$F$75</f>
        <v/>
      </c>
      <c r="I28" s="408" t="n"/>
      <c r="J28" s="408" t="n"/>
      <c r="K28" s="757">
        <f>$I$75</f>
        <v/>
      </c>
      <c r="L28" s="758">
        <f>IF($L75="Yes",'Model Assumptions'!$E$12,0)</f>
        <v/>
      </c>
      <c r="M28" s="406">
        <f>$H$75</f>
        <v/>
      </c>
      <c r="N28" s="1544">
        <f>$J$75</f>
        <v/>
      </c>
      <c r="O28" s="755">
        <f>$M$75</f>
        <v/>
      </c>
    </row>
    <row r="29">
      <c r="A29" s="305" t="inlineStr">
        <is>
          <t>P10</t>
        </is>
      </c>
      <c r="B29" s="406">
        <f>$B$76</f>
        <v/>
      </c>
      <c r="C29" s="406">
        <f>$C$76</f>
        <v/>
      </c>
      <c r="D29" s="406">
        <f>$D$76</f>
        <v/>
      </c>
      <c r="E29" s="407">
        <f>IF(ISNUMBER(SEARCH("EAF",$E$76)),"EAF",IF(ISNUMBER(SEARCH("BF",$E$76)),"BF-BOF",IF(ISNUMBER(SEARCH("integrated",$E$76)),"BF-BOF (integrated)",IF(ISNUMBER(SEARCH("melt",$G$76)),"Stainless melt","Not specified"))))</f>
        <v/>
      </c>
      <c r="F29" s="406">
        <f>$E$76</f>
        <v/>
      </c>
      <c r="G29" s="408" t="n"/>
      <c r="H29" s="409">
        <f>$F$76</f>
        <v/>
      </c>
      <c r="I29" s="408" t="n"/>
      <c r="J29" s="408" t="n"/>
      <c r="K29" s="757">
        <f>$I$76</f>
        <v/>
      </c>
      <c r="L29" s="758">
        <f>IF($L76="Yes",'Model Assumptions'!$E$12,0)</f>
        <v/>
      </c>
      <c r="M29" s="406">
        <f>$H$76</f>
        <v/>
      </c>
      <c r="N29" s="1544">
        <f>$J$76</f>
        <v/>
      </c>
      <c r="O29" s="755">
        <f>$M$76</f>
        <v/>
      </c>
    </row>
    <row r="30">
      <c r="A30" s="305" t="inlineStr">
        <is>
          <t>P11</t>
        </is>
      </c>
      <c r="B30" s="406">
        <f>$B$77</f>
        <v/>
      </c>
      <c r="C30" s="406">
        <f>$C$77</f>
        <v/>
      </c>
      <c r="D30" s="406">
        <f>$D$77</f>
        <v/>
      </c>
      <c r="E30" s="407">
        <f>IF(ISNUMBER(SEARCH("EAF",$E$77)),"EAF",IF(ISNUMBER(SEARCH("BF",$E$77)),"BF-BOF",IF(ISNUMBER(SEARCH("integrated",$E$77)),"BF-BOF (integrated)",IF(ISNUMBER(SEARCH("melt",$G$77)),"Stainless melt","Not specified"))))</f>
        <v/>
      </c>
      <c r="F30" s="406">
        <f>$E$77</f>
        <v/>
      </c>
      <c r="G30" s="408" t="n"/>
      <c r="H30" s="409">
        <f>$F$77</f>
        <v/>
      </c>
      <c r="I30" s="408" t="n"/>
      <c r="J30" s="408" t="n"/>
      <c r="K30" s="757">
        <f>$I$77</f>
        <v/>
      </c>
      <c r="L30" s="758">
        <f>IF($L77="Yes",'Model Assumptions'!$E$12,0)</f>
        <v/>
      </c>
      <c r="M30" s="406">
        <f>$H$77</f>
        <v/>
      </c>
      <c r="N30" s="1544">
        <f>$J$77</f>
        <v/>
      </c>
      <c r="O30" s="755">
        <f>$M$77</f>
        <v/>
      </c>
    </row>
    <row r="31">
      <c r="A31" s="305" t="inlineStr">
        <is>
          <t>P12</t>
        </is>
      </c>
      <c r="B31" s="406">
        <f>$B$78</f>
        <v/>
      </c>
      <c r="C31" s="406">
        <f>$C$78</f>
        <v/>
      </c>
      <c r="D31" s="406">
        <f>$D$78</f>
        <v/>
      </c>
      <c r="E31" s="407">
        <f>IF(ISNUMBER(SEARCH("EAF",$E$78)),"EAF",IF(ISNUMBER(SEARCH("BF",$E$78)),"BF-BOF",IF(ISNUMBER(SEARCH("integrated",$E$78)),"BF-BOF (integrated)",IF(ISNUMBER(SEARCH("melt",$G$78)),"Stainless melt","Not specified"))))</f>
        <v/>
      </c>
      <c r="F31" s="406">
        <f>$E$78</f>
        <v/>
      </c>
      <c r="G31" s="408" t="n"/>
      <c r="H31" s="409">
        <f>$F$78</f>
        <v/>
      </c>
      <c r="I31" s="408" t="n"/>
      <c r="J31" s="408" t="n"/>
      <c r="K31" s="757">
        <f>$I$78</f>
        <v/>
      </c>
      <c r="L31" s="758">
        <f>IF($L78="Yes",'Model Assumptions'!$E$12,0)</f>
        <v/>
      </c>
      <c r="M31" s="406">
        <f>$H$78</f>
        <v/>
      </c>
      <c r="N31" s="1544">
        <f>$J$78</f>
        <v/>
      </c>
      <c r="O31" s="755">
        <f>$M$78</f>
        <v/>
      </c>
    </row>
    <row r="32">
      <c r="A32" s="305" t="inlineStr">
        <is>
          <t>P13</t>
        </is>
      </c>
      <c r="B32" s="406">
        <f>$B$79</f>
        <v/>
      </c>
      <c r="C32" s="406">
        <f>$C$79</f>
        <v/>
      </c>
      <c r="D32" s="406">
        <f>$D$79</f>
        <v/>
      </c>
      <c r="E32" s="407">
        <f>IF(ISNUMBER(SEARCH("EAF",$E$79)),"EAF",IF(ISNUMBER(SEARCH("BF",$E$79)),"BF-BOF",IF(ISNUMBER(SEARCH("integrated",$E$79)),"BF-BOF (integrated)",IF(ISNUMBER(SEARCH("melt",$G$79)),"Stainless melt","Not specified"))))</f>
        <v/>
      </c>
      <c r="F32" s="406">
        <f>$E$79</f>
        <v/>
      </c>
      <c r="G32" s="408" t="n"/>
      <c r="H32" s="409">
        <f>$F$79</f>
        <v/>
      </c>
      <c r="I32" s="408" t="n"/>
      <c r="J32" s="408" t="n"/>
      <c r="K32" s="757">
        <f>$I$79</f>
        <v/>
      </c>
      <c r="L32" s="758">
        <f>IF($L79="Yes",'Model Assumptions'!$E$12,0)</f>
        <v/>
      </c>
      <c r="M32" s="406">
        <f>$H$79</f>
        <v/>
      </c>
      <c r="N32" s="1544">
        <f>$J$79</f>
        <v/>
      </c>
      <c r="O32" s="755">
        <f>$M$79</f>
        <v/>
      </c>
    </row>
    <row r="33">
      <c r="A33" s="305" t="inlineStr">
        <is>
          <t>P14</t>
        </is>
      </c>
      <c r="B33" s="406">
        <f>$B$80</f>
        <v/>
      </c>
      <c r="C33" s="406">
        <f>$C$80</f>
        <v/>
      </c>
      <c r="D33" s="406">
        <f>$D$80</f>
        <v/>
      </c>
      <c r="E33" s="407">
        <f>IF(ISNUMBER(SEARCH("EAF",$E$80)),"EAF",IF(ISNUMBER(SEARCH("BF",$E$80)),"BF-BOF",IF(ISNUMBER(SEARCH("integrated",$E$80)),"BF-BOF (integrated)",IF(ISNUMBER(SEARCH("melt",$G$80)),"Stainless melt","Not specified"))))</f>
        <v/>
      </c>
      <c r="F33" s="406">
        <f>$E$80</f>
        <v/>
      </c>
      <c r="G33" s="408" t="n"/>
      <c r="H33" s="409">
        <f>$F$80</f>
        <v/>
      </c>
      <c r="I33" s="408" t="n"/>
      <c r="J33" s="408" t="n"/>
      <c r="K33" s="757">
        <f>$I$80</f>
        <v/>
      </c>
      <c r="L33" s="758">
        <f>IF($L80="Yes",'Model Assumptions'!$E$12,0)</f>
        <v/>
      </c>
      <c r="M33" s="406">
        <f>$H$80</f>
        <v/>
      </c>
      <c r="N33" s="1544">
        <f>$J$80</f>
        <v/>
      </c>
      <c r="O33" s="755">
        <f>$M$80</f>
        <v/>
      </c>
    </row>
    <row r="34">
      <c r="A34" s="305" t="inlineStr">
        <is>
          <t>P15</t>
        </is>
      </c>
      <c r="B34" s="406">
        <f>$B$81</f>
        <v/>
      </c>
      <c r="C34" s="406">
        <f>$C$81</f>
        <v/>
      </c>
      <c r="D34" s="406">
        <f>$D$81</f>
        <v/>
      </c>
      <c r="E34" s="407">
        <f>IF(ISNUMBER(SEARCH("EAF",$E$81)),"EAF",IF(ISNUMBER(SEARCH("BF",$E$81)),"BF-BOF",IF(ISNUMBER(SEARCH("integrated",$E$81)),"BF-BOF (integrated)",IF(ISNUMBER(SEARCH("melt",$G$81)),"Stainless melt","Not specified"))))</f>
        <v/>
      </c>
      <c r="F34" s="406">
        <f>$E$81</f>
        <v/>
      </c>
      <c r="G34" s="408" t="n"/>
      <c r="H34" s="409">
        <f>$F$81</f>
        <v/>
      </c>
      <c r="I34" s="408" t="n"/>
      <c r="J34" s="408" t="n"/>
      <c r="K34" s="757">
        <f>$I$81</f>
        <v/>
      </c>
      <c r="L34" s="758">
        <f>IF($L81="Yes",'Model Assumptions'!$E$12,0)</f>
        <v/>
      </c>
      <c r="M34" s="406">
        <f>$H$81</f>
        <v/>
      </c>
      <c r="N34" s="1544">
        <f>$J$81</f>
        <v/>
      </c>
      <c r="O34" s="755">
        <f>$M$81</f>
        <v/>
      </c>
    </row>
    <row r="35">
      <c r="A35" s="305" t="inlineStr">
        <is>
          <t>P16</t>
        </is>
      </c>
      <c r="B35" s="406">
        <f>$B$82</f>
        <v/>
      </c>
      <c r="C35" s="406">
        <f>$C$82</f>
        <v/>
      </c>
      <c r="D35" s="406">
        <f>$D$82</f>
        <v/>
      </c>
      <c r="E35" s="407">
        <f>IF(ISNUMBER(SEARCH("EAF",$E$82)),"EAF",IF(ISNUMBER(SEARCH("BF",$E$82)),"BF-BOF",IF(ISNUMBER(SEARCH("integrated",$E$82)),"BF-BOF (integrated)",IF(ISNUMBER(SEARCH("melt",$G$82)),"Stainless melt","Not specified"))))</f>
        <v/>
      </c>
      <c r="F35" s="406">
        <f>$E$82</f>
        <v/>
      </c>
      <c r="G35" s="408" t="n"/>
      <c r="H35" s="409">
        <f>$F$82</f>
        <v/>
      </c>
      <c r="I35" s="408" t="n"/>
      <c r="J35" s="408" t="n"/>
      <c r="K35" s="757">
        <f>$I$82</f>
        <v/>
      </c>
      <c r="L35" s="758">
        <f>IF($L82="Yes",'Model Assumptions'!$E$12,0)</f>
        <v/>
      </c>
      <c r="M35" s="406">
        <f>$H$82</f>
        <v/>
      </c>
      <c r="N35" s="1544">
        <f>$J$82</f>
        <v/>
      </c>
      <c r="O35" s="755">
        <f>$M$82</f>
        <v/>
      </c>
    </row>
    <row r="36">
      <c r="A36" s="305" t="inlineStr">
        <is>
          <t>P17</t>
        </is>
      </c>
      <c r="B36" s="406">
        <f>$B$83</f>
        <v/>
      </c>
      <c r="C36" s="406">
        <f>$C$83</f>
        <v/>
      </c>
      <c r="D36" s="406">
        <f>$D$83</f>
        <v/>
      </c>
      <c r="E36" s="407">
        <f>IF(ISNUMBER(SEARCH("EAF",$E$83)),"EAF",IF(ISNUMBER(SEARCH("BF",$E$83)),"BF-BOF",IF(ISNUMBER(SEARCH("integrated",$E$83)),"BF-BOF (integrated)",IF(ISNUMBER(SEARCH("melt",$G$83)),"Stainless melt","Not specified"))))</f>
        <v/>
      </c>
      <c r="F36" s="406">
        <f>$E$83</f>
        <v/>
      </c>
      <c r="G36" s="408" t="n"/>
      <c r="H36" s="409">
        <f>$F$83</f>
        <v/>
      </c>
      <c r="I36" s="408" t="n"/>
      <c r="J36" s="408" t="n"/>
      <c r="K36" s="757">
        <f>$I$83</f>
        <v/>
      </c>
      <c r="L36" s="758">
        <f>IF($L83="Yes",'Model Assumptions'!$E$12,0)</f>
        <v/>
      </c>
      <c r="M36" s="406">
        <f>$H$83</f>
        <v/>
      </c>
      <c r="N36" s="1544">
        <f>$J$83</f>
        <v/>
      </c>
      <c r="O36" s="755">
        <f>$M$83</f>
        <v/>
      </c>
    </row>
    <row r="37">
      <c r="A37" s="305" t="inlineStr">
        <is>
          <t>P18</t>
        </is>
      </c>
      <c r="B37" s="406">
        <f>$B$84</f>
        <v/>
      </c>
      <c r="C37" s="406">
        <f>$C$84</f>
        <v/>
      </c>
      <c r="D37" s="406">
        <f>$D$84</f>
        <v/>
      </c>
      <c r="E37" s="407">
        <f>IF(ISNUMBER(SEARCH("EAF",$E$84)),"EAF",IF(ISNUMBER(SEARCH("BF",$E$84)),"BF-BOF",IF(ISNUMBER(SEARCH("integrated",$E$84)),"BF-BOF (integrated)",IF(ISNUMBER(SEARCH("melt",$G$84)),"Stainless melt","Not specified"))))</f>
        <v/>
      </c>
      <c r="F37" s="406">
        <f>$E$84</f>
        <v/>
      </c>
      <c r="G37" s="408" t="n"/>
      <c r="H37" s="409">
        <f>$F$84</f>
        <v/>
      </c>
      <c r="I37" s="408" t="n"/>
      <c r="J37" s="408" t="n"/>
      <c r="K37" s="757">
        <f>$I$84</f>
        <v/>
      </c>
      <c r="L37" s="758">
        <f>IF($L84="Yes",'Model Assumptions'!$E$12,0)</f>
        <v/>
      </c>
      <c r="M37" s="406">
        <f>$H$84</f>
        <v/>
      </c>
      <c r="N37" s="1544">
        <f>$J$84</f>
        <v/>
      </c>
      <c r="O37" s="755">
        <f>$M$84</f>
        <v/>
      </c>
    </row>
    <row r="38">
      <c r="A38" s="305" t="inlineStr">
        <is>
          <t>P19</t>
        </is>
      </c>
      <c r="B38" s="406">
        <f>$B$85</f>
        <v/>
      </c>
      <c r="C38" s="406">
        <f>$C$85</f>
        <v/>
      </c>
      <c r="D38" s="406">
        <f>$D$85</f>
        <v/>
      </c>
      <c r="E38" s="407">
        <f>IF(ISNUMBER(SEARCH("EAF",$E$85)),"EAF",IF(ISNUMBER(SEARCH("BF",$E$85)),"BF-BOF",IF(ISNUMBER(SEARCH("integrated",$E$85)),"BF-BOF (integrated)",IF(ISNUMBER(SEARCH("melt",$G$85)),"Stainless melt","Not specified"))))</f>
        <v/>
      </c>
      <c r="F38" s="406">
        <f>$E$85</f>
        <v/>
      </c>
      <c r="G38" s="408" t="n"/>
      <c r="H38" s="409">
        <f>$F$85</f>
        <v/>
      </c>
      <c r="I38" s="408" t="n"/>
      <c r="J38" s="408" t="n"/>
      <c r="K38" s="757">
        <f>$I$85</f>
        <v/>
      </c>
      <c r="L38" s="758">
        <f>IF($L85="Yes",'Model Assumptions'!$E$12,0)</f>
        <v/>
      </c>
      <c r="M38" s="406">
        <f>$H$85</f>
        <v/>
      </c>
      <c r="N38" s="1544">
        <f>$J$85</f>
        <v/>
      </c>
      <c r="O38" s="755">
        <f>$M$85</f>
        <v/>
      </c>
    </row>
    <row r="39">
      <c r="A39" s="305" t="inlineStr">
        <is>
          <t>P20</t>
        </is>
      </c>
      <c r="B39" s="406">
        <f>$B$86</f>
        <v/>
      </c>
      <c r="C39" s="406">
        <f>$C$86</f>
        <v/>
      </c>
      <c r="D39" s="406">
        <f>$D$86</f>
        <v/>
      </c>
      <c r="E39" s="407">
        <f>IF(ISNUMBER(SEARCH("EAF",$E$86)),"EAF",IF(ISNUMBER(SEARCH("BF",$E$86)),"BF-BOF",IF(ISNUMBER(SEARCH("integrated",$E$86)),"BF-BOF (integrated)",IF(ISNUMBER(SEARCH("melt",$G$86)),"Stainless melt","Not specified"))))</f>
        <v/>
      </c>
      <c r="F39" s="406">
        <f>$E$86</f>
        <v/>
      </c>
      <c r="G39" s="408" t="n"/>
      <c r="H39" s="409">
        <f>$F$86</f>
        <v/>
      </c>
      <c r="I39" s="408" t="n"/>
      <c r="J39" s="408" t="n"/>
      <c r="K39" s="757">
        <f>$I$86</f>
        <v/>
      </c>
      <c r="L39" s="758">
        <f>IF($L86="Yes",'Model Assumptions'!$E$12,0)</f>
        <v/>
      </c>
      <c r="M39" s="406">
        <f>$H$86</f>
        <v/>
      </c>
      <c r="N39" s="1544">
        <f>$J$86</f>
        <v/>
      </c>
      <c r="O39" s="755">
        <f>$M$86</f>
        <v/>
      </c>
    </row>
    <row r="40">
      <c r="A40" s="1255" t="n"/>
      <c r="B40" s="1255" t="n"/>
      <c r="C40" s="1255" t="n"/>
      <c r="D40" s="1255" t="n"/>
      <c r="E40" s="1255" t="n"/>
      <c r="F40" s="1255" t="n"/>
      <c r="G40" s="1255" t="n"/>
      <c r="H40" s="1255" t="n"/>
      <c r="I40" s="1255" t="n"/>
      <c r="J40" s="1255" t="n"/>
      <c r="K40" s="1255" t="n"/>
      <c r="L40" s="1255" t="n"/>
      <c r="M40" s="1255" t="n"/>
      <c r="N40" s="1255" t="n"/>
      <c r="O40" s="1255" t="n"/>
    </row>
    <row r="41">
      <c r="A41" s="1255" t="n"/>
      <c r="B41" s="1255" t="n"/>
      <c r="C41" s="1255" t="n"/>
      <c r="D41" s="1255" t="n"/>
      <c r="E41" s="1255" t="n"/>
      <c r="F41" s="1255" t="n"/>
      <c r="G41" s="1255" t="n"/>
      <c r="H41" s="1255" t="n"/>
      <c r="I41" s="1255" t="n"/>
      <c r="J41" s="1255" t="n"/>
      <c r="K41" s="1255" t="n"/>
      <c r="L41" s="1255" t="n"/>
      <c r="M41" s="1255" t="n"/>
      <c r="N41" s="1255" t="n"/>
      <c r="O41" s="1255" t="n"/>
    </row>
    <row r="42" ht="16.2" customHeight="1" thickBot="1">
      <c r="A42" s="1184" t="inlineStr">
        <is>
          <t>Annual Capacity Addition</t>
        </is>
      </c>
      <c r="J42" s="1255" t="n"/>
      <c r="K42" s="1255" t="n"/>
      <c r="L42" s="1255" t="n"/>
      <c r="M42" s="1255" t="n"/>
      <c r="N42" s="1255" t="n"/>
      <c r="O42" s="1255" t="n"/>
    </row>
    <row r="43" ht="15" customHeight="1" thickBot="1">
      <c r="A43" s="273" t="inlineStr">
        <is>
          <t>Year</t>
        </is>
      </c>
      <c r="B43" s="1256" t="inlineStr">
        <is>
          <t>Brownfield</t>
        </is>
      </c>
      <c r="C43" s="1256" t="inlineStr">
        <is>
          <t>Greenfield</t>
        </is>
      </c>
      <c r="D43" s="1256" t="inlineStr">
        <is>
          <t>Debottlenecking</t>
        </is>
      </c>
      <c r="E43" s="1256" t="inlineStr">
        <is>
          <t>Restart</t>
        </is>
      </c>
      <c r="F43" s="1257" t="inlineStr">
        <is>
          <t>Total</t>
        </is>
      </c>
      <c r="G43" s="1255" t="n"/>
      <c r="H43" s="1255" t="n"/>
      <c r="I43" s="1255" t="n"/>
      <c r="J43" s="1255" t="n"/>
      <c r="K43" s="1255" t="n"/>
      <c r="L43" s="1255" t="n"/>
      <c r="M43" s="1255" t="n"/>
      <c r="N43" s="1255" t="n"/>
      <c r="O43" s="1255" t="n"/>
    </row>
    <row r="44" ht="15" customHeight="1" thickTop="1">
      <c r="A44" s="206" t="inlineStr">
        <is>
          <t>FY27</t>
        </is>
      </c>
      <c r="B44" s="410">
        <f>SUMIFS($F$67:$F$86,$E$67:$E$86,"*Brownfield*",$I$67:$I$86,"FY2027",$L$67:$L$86,"Yes")</f>
        <v/>
      </c>
      <c r="C44" s="410">
        <f>SUMIFS($F$67:$F$86,$E$67:$E$86,"Greenfield*",$I$67:$I$86,"FY2027",$L$67:$L$86,"Yes")+SUMIFS($F$67:$F$86,$E$67:$E$86,"Programme",$I$67:$I$86,"FY2027",$L$67:$L$86,"Yes")</f>
        <v/>
      </c>
      <c r="D44" s="410">
        <f>SUMIFS($F$67:$F$86,$E$67:$E$86,"Debottlenecking*",$I$67:$I$86,"FY2027",$L$67:$L$86,"Yes")</f>
        <v/>
      </c>
      <c r="E44" s="410">
        <f>SUMIFS($F$67:$F$86,$E$67:$E$86,"Restart*",$I$67:$I$86,"FY2027",$L$67:$L$86,"Yes")</f>
        <v/>
      </c>
      <c r="F44" s="411">
        <f>SUM(B44:E44)</f>
        <v/>
      </c>
      <c r="G44" s="1255" t="n"/>
      <c r="H44" s="1255" t="n"/>
      <c r="I44" s="1255" t="n"/>
      <c r="J44" s="1255" t="n"/>
      <c r="K44" s="1255" t="n"/>
      <c r="L44" s="1255" t="n"/>
      <c r="M44" s="1255" t="n"/>
      <c r="N44" s="1255" t="n"/>
      <c r="O44" s="1255" t="n"/>
    </row>
    <row r="45">
      <c r="A45" s="207" t="inlineStr">
        <is>
          <t>FY28</t>
        </is>
      </c>
      <c r="B45" s="412">
        <f>SUMIFS($F$67:$F$86,$E$67:$E$86,"Brownfield*",$I$67:$I$86,"FY2028",$L$67:$L$86,"Yes")</f>
        <v/>
      </c>
      <c r="C45" s="412">
        <f>SUMIFS($F$67:$F$86,$E$67:$E$86,"Greenfield*",$I$67:$I$86,"FY2028",$L$67:$L$86,"Yes")+SUMIFS($F$67:$F$86,$E$67:$E$86,"Programme",$I$67:$I$86,"FY2028",$L$67:$L$86,"Yes")</f>
        <v/>
      </c>
      <c r="D45" s="412">
        <f>SUMIFS($F$67:$F$86,$E$67:$E$86,"Debottlenecking*",$I$67:$I$86,"FY2028",$L$67:$L$86,"Yes")</f>
        <v/>
      </c>
      <c r="E45" s="412">
        <f>SUMIFS($F$67:$F$86,$E$67:$E$86,"Restart*",$I$67:$I$86,"FY2028",$L$67:$L$86,"Yes")</f>
        <v/>
      </c>
      <c r="F45" s="403">
        <f>SUM(B45:E45)</f>
        <v/>
      </c>
      <c r="G45" s="1255" t="n"/>
      <c r="H45" s="1255" t="n"/>
      <c r="I45" s="1255" t="n"/>
      <c r="J45" s="1255" t="n"/>
      <c r="K45" s="1255" t="n"/>
      <c r="L45" s="1255" t="n"/>
      <c r="M45" s="1255" t="n"/>
      <c r="N45" s="1255" t="n"/>
      <c r="O45" s="1255" t="n"/>
    </row>
    <row r="46">
      <c r="A46" s="207" t="inlineStr">
        <is>
          <t>FY29</t>
        </is>
      </c>
      <c r="B46" s="412">
        <f>SUMIFS($F$67:$F$86,$E$67:$E$86,"Brownfield*",$I$67:$I$86,"FY2029",$L$67:$L$86,"Yes")</f>
        <v/>
      </c>
      <c r="C46" s="412">
        <f>SUMIFS($F$67:$F$86,$E$67:$E$86,"Greenfield*",$I$67:$I$86,"FY2029",$L$67:$L$86,"Yes")+SUMIFS($F$67:$F$86,$E$67:$E$86,"Programme",$I$67:$I$86,"FY2029",$L$67:$L$86,"Yes")</f>
        <v/>
      </c>
      <c r="D46" s="412">
        <f>SUMIFS($F$67:$F$86,$E$67:$E$86,"Debottlenecking*",$I$67:$I$86,"FY2029",$L$67:$L$86,"Yes")</f>
        <v/>
      </c>
      <c r="E46" s="412">
        <f>SUMIFS($F$67:$F$86,$E$67:$E$86,"Restart*",$I$67:$I$86,"FY2029",$L$67:$L$86,"Yes")</f>
        <v/>
      </c>
      <c r="F46" s="403">
        <f>SUM(B46:E46)</f>
        <v/>
      </c>
      <c r="G46" s="1255" t="n"/>
      <c r="H46" s="1255" t="n"/>
      <c r="I46" s="1255" t="n"/>
      <c r="J46" s="1255" t="n"/>
      <c r="K46" s="1255" t="n"/>
      <c r="L46" s="1255" t="n"/>
      <c r="M46" s="1255" t="n"/>
      <c r="N46" s="1255" t="n"/>
      <c r="O46" s="1255" t="n"/>
    </row>
    <row r="47">
      <c r="A47" s="207" t="inlineStr">
        <is>
          <t>FY30</t>
        </is>
      </c>
      <c r="B47" s="412">
        <f>SUMIFS($F$67:$F$86,$E$67:$E$86,"Brownfield*",$I$67:$I$86,"FY2030",$L$67:$L$86,"Yes")</f>
        <v/>
      </c>
      <c r="C47" s="412">
        <f>SUMIFS($F$67:$F$86,$E$67:$E$86,"Greenfield*",$I$67:$I$86,"FY2030",$L$67:$L$86,"Yes")+SUMIFS($F$67:$F$86,$E$67:$E$86,"Programme",$I$67:$I$86,"FY2030",$L$67:$L$86,"Yes")</f>
        <v/>
      </c>
      <c r="D47" s="412">
        <f>SUMIFS($F$67:$F$86,$E$67:$E$86,"Debottlenecking*",$I$67:$I$86,"FY2030",$L$67:$L$86,"Yes")</f>
        <v/>
      </c>
      <c r="E47" s="412">
        <f>SUMIFS($F$67:$F$86,$E$67:$E$86,"Restart*",$I$67:$I$86,"FY2030",$L$67:$L$86,"Yes")</f>
        <v/>
      </c>
      <c r="F47" s="403">
        <f>SUM(B47:E47)</f>
        <v/>
      </c>
      <c r="G47" s="1255" t="n"/>
      <c r="H47" s="1255" t="n"/>
      <c r="I47" s="1255" t="n"/>
      <c r="J47" s="1255" t="n"/>
      <c r="K47" s="1255" t="n"/>
      <c r="L47" s="1255" t="n"/>
      <c r="M47" s="1255" t="n"/>
      <c r="N47" s="1255" t="n"/>
      <c r="O47" s="1255" t="n"/>
    </row>
    <row r="48">
      <c r="A48" s="207" t="inlineStr">
        <is>
          <t>FY31</t>
        </is>
      </c>
      <c r="B48" s="412">
        <f>SUMIFS($F$67:$F$86,$E$67:$E$86,"Brownfield*",$I$67:$I$86,"FY2031",$L$67:$L$86,"Yes")</f>
        <v/>
      </c>
      <c r="C48" s="412">
        <f>SUMIFS($F$67:$F$86,$E$67:$E$86,"Greenfield*",$I$67:$I$86,"FY2031",$L$67:$L$86,"Yes")+SUMIFS($F$67:$F$86,$E$67:$E$86,"Programme",$I$67:$I$86,"FY2031",$L$67:$L$86,"Yes")</f>
        <v/>
      </c>
      <c r="D48" s="412">
        <f>SUMIFS($F$67:$F$86,$E$67:$E$86,"Debottlenecking*",$I$67:$I$86,"FY2031",$L$67:$L$86,"Yes")</f>
        <v/>
      </c>
      <c r="E48" s="412">
        <f>SUMIFS($F$67:$F$86,$E$67:$E$86,"Restart*",$I$67:$I$86,"FY2031",$L$67:$L$86,"Yes")</f>
        <v/>
      </c>
      <c r="F48" s="403">
        <f>SUM(B48:E48)</f>
        <v/>
      </c>
      <c r="G48" s="1255" t="n"/>
      <c r="H48" s="1255" t="n"/>
      <c r="I48" s="1255" t="n"/>
      <c r="J48" s="1255" t="n"/>
      <c r="K48" s="1255" t="n"/>
      <c r="L48" s="1255" t="n"/>
      <c r="M48" s="1255" t="n"/>
      <c r="N48" s="1255" t="n"/>
      <c r="O48" s="1255" t="n"/>
    </row>
    <row r="49">
      <c r="A49" s="207" t="inlineStr">
        <is>
          <t>FY32</t>
        </is>
      </c>
      <c r="B49" s="412">
        <f>SUMIFS($F$67:$F$86,$E$67:$E$86,"Brownfield*",$I$67:$I$86,"FY2032",$L$67:$L$86,"Yes")</f>
        <v/>
      </c>
      <c r="C49" s="412">
        <f>SUMIFS($F$67:$F$86,$E$67:$E$86,"Greenfield*",$I$67:$I$86,"FY2032",$L$67:$L$86,"Yes")+SUMIFS($F$67:$F$86,$E$67:$E$86,"Programme",$I$67:$I$86,"FY2032",$L$67:$L$86,"Yes")</f>
        <v/>
      </c>
      <c r="D49" s="412">
        <f>SUMIFS($F$67:$F$86,$E$67:$E$86,"Debottlenecking*",$I$67:$I$86,"FY2032",$L$67:$L$86,"Yes")</f>
        <v/>
      </c>
      <c r="E49" s="412">
        <f>SUMIFS($F$67:$F$86,$E$67:$E$86,"Restart*",$I$67:$I$86,"FY2032",$L$67:$L$86,"Yes")</f>
        <v/>
      </c>
      <c r="F49" s="403">
        <f>SUM(B49:E49)</f>
        <v/>
      </c>
      <c r="G49" s="1255" t="n"/>
      <c r="H49" s="1255" t="n"/>
      <c r="I49" s="1255" t="n"/>
      <c r="J49" s="1255" t="n"/>
      <c r="K49" s="1255" t="n"/>
      <c r="L49" s="1255" t="n"/>
      <c r="M49" s="1255" t="n"/>
      <c r="N49" s="1255" t="n"/>
      <c r="O49" s="1255" t="n"/>
    </row>
    <row r="50" ht="15" customHeight="1" thickBot="1">
      <c r="A50" s="208" t="inlineStr">
        <is>
          <t>FY33</t>
        </is>
      </c>
      <c r="B50" s="413">
        <f>SUMIFS($F$67:$F$86,$E$67:$E$86,"Brownfield*",$I$67:$I$86,"FY2033",$L$67:$L$86,"Yes")</f>
        <v/>
      </c>
      <c r="C50" s="413">
        <f>SUMIFS($F$67:$F$86,$E$67:$E$86,"Greenfield*",$I$67:$I$86,"FY2033",$L$67:$L$86,"Yes")+SUMIFS($F$67:$F$86,$E$67:$E$86,"Programme",$I$67:$I$86,"FY2033",$L$67:$L$86,"Yes")</f>
        <v/>
      </c>
      <c r="D50" s="413">
        <f>SUMIFS($F$67:$F$86,$E$67:$E$86,"Debottlenecking*",$I$67:$I$86,"FY2033",$L$67:$L$86,"Yes")</f>
        <v/>
      </c>
      <c r="E50" s="413">
        <f>SUMIFS($F$67:$F$86,$E$67:$E$86,"Restart*",$I$67:$I$86,"FY2033",$L$67:$L$86,"Yes")</f>
        <v/>
      </c>
      <c r="F50" s="405">
        <f>SUM(B50:E50)</f>
        <v/>
      </c>
      <c r="G50" s="1255" t="n"/>
      <c r="H50" s="1255" t="n"/>
      <c r="I50" s="1255" t="n"/>
      <c r="J50" s="1255" t="n"/>
      <c r="K50" s="1255" t="n"/>
      <c r="L50" s="1255" t="n"/>
      <c r="M50" s="1255" t="n"/>
      <c r="N50" s="1255" t="n"/>
      <c r="O50" s="1255" t="n"/>
    </row>
    <row r="51">
      <c r="A51" s="1255" t="n"/>
      <c r="B51" s="1255" t="n"/>
      <c r="C51" s="1255" t="n"/>
      <c r="D51" s="1255" t="n"/>
      <c r="E51" s="1255" t="n"/>
      <c r="F51" s="1255" t="n"/>
      <c r="G51" s="1255" t="n"/>
      <c r="H51" s="1255" t="n"/>
      <c r="I51" s="1255" t="n"/>
      <c r="J51" s="1255" t="n"/>
      <c r="K51" s="1255" t="n"/>
      <c r="L51" s="1255" t="n"/>
      <c r="M51" s="1255" t="n"/>
      <c r="N51" s="1255" t="n"/>
      <c r="O51" s="1255" t="n"/>
    </row>
    <row r="52">
      <c r="A52" s="1255" t="n"/>
      <c r="B52" s="1255" t="n"/>
      <c r="C52" s="1255" t="n"/>
      <c r="D52" s="1255" t="n"/>
      <c r="E52" s="1255" t="n"/>
      <c r="F52" s="1255" t="n"/>
      <c r="G52" s="1255" t="n"/>
      <c r="H52" s="1255" t="n"/>
      <c r="I52" s="1255" t="n"/>
      <c r="J52" s="1255" t="n"/>
      <c r="K52" s="1255" t="n"/>
      <c r="L52" s="1255" t="n"/>
      <c r="M52" s="1255" t="n"/>
      <c r="N52" s="1255" t="n"/>
      <c r="O52" s="1255" t="n"/>
    </row>
    <row r="53" ht="16.2" customHeight="1" thickBot="1">
      <c r="A53" s="1184" t="inlineStr">
        <is>
          <t>Probability Matrix</t>
        </is>
      </c>
      <c r="J53" s="1255" t="n"/>
      <c r="K53" s="1255" t="n"/>
      <c r="L53" s="1255" t="n"/>
      <c r="M53" s="1255" t="n"/>
      <c r="N53" s="1255" t="n"/>
      <c r="O53" s="1255" t="n"/>
    </row>
    <row r="54">
      <c r="A54" s="277" t="inlineStr">
        <is>
          <t>Status</t>
        </is>
      </c>
      <c r="B54" s="278" t="inlineStr">
        <is>
          <t>Probability</t>
        </is>
      </c>
      <c r="C54" s="1255" t="n"/>
      <c r="D54" s="1255" t="n"/>
      <c r="E54" s="1255" t="n"/>
      <c r="F54" s="1255" t="n"/>
      <c r="G54" s="1255" t="n"/>
      <c r="H54" s="1255" t="n"/>
      <c r="I54" s="1255" t="n"/>
      <c r="J54" s="1255" t="n"/>
      <c r="K54" s="1255" t="n"/>
      <c r="L54" s="1255" t="n"/>
      <c r="M54" s="1255" t="n"/>
      <c r="N54" s="1255" t="n"/>
      <c r="O54" s="1255" t="n"/>
    </row>
    <row r="55">
      <c r="A55" s="207" t="inlineStr">
        <is>
          <t>Commissioned</t>
        </is>
      </c>
      <c r="B55" s="306" t="n">
        <v>1</v>
      </c>
      <c r="C55" s="1255" t="n"/>
      <c r="D55" s="1255" t="n"/>
      <c r="E55" s="1255" t="n"/>
      <c r="F55" s="1255" t="n"/>
      <c r="G55" s="1255" t="n"/>
      <c r="H55" s="1255" t="n"/>
      <c r="I55" s="1255" t="n"/>
      <c r="J55" s="1255" t="n"/>
      <c r="K55" s="1255" t="n"/>
      <c r="L55" s="1255" t="n"/>
      <c r="M55" s="1255" t="n"/>
      <c r="N55" s="1255" t="n"/>
      <c r="O55" s="1255" t="n"/>
    </row>
    <row r="56">
      <c r="A56" s="207" t="inlineStr">
        <is>
          <t>Under Construction</t>
        </is>
      </c>
      <c r="B56" s="306" t="n">
        <v>0.95</v>
      </c>
      <c r="C56" s="1255" t="n"/>
      <c r="D56" s="1255" t="n"/>
      <c r="E56" s="1255" t="n"/>
      <c r="F56" s="1255" t="n"/>
      <c r="G56" s="1255" t="n"/>
      <c r="H56" s="1255" t="n"/>
      <c r="I56" s="1255" t="n"/>
      <c r="J56" s="1255" t="n"/>
      <c r="K56" s="1255" t="n"/>
      <c r="L56" s="1255" t="n"/>
      <c r="M56" s="1255" t="n"/>
      <c r="N56" s="1255" t="n"/>
      <c r="O56" s="1255" t="n"/>
    </row>
    <row r="57">
      <c r="A57" s="207" t="inlineStr">
        <is>
          <t>Financial Closure</t>
        </is>
      </c>
      <c r="B57" s="306" t="n">
        <v>0.85</v>
      </c>
      <c r="C57" s="1255" t="n"/>
      <c r="D57" s="1255" t="n"/>
      <c r="E57" s="1255" t="n"/>
      <c r="F57" s="1255" t="n"/>
      <c r="G57" s="1255" t="n"/>
      <c r="H57" s="1255" t="n"/>
      <c r="I57" s="1255" t="n"/>
      <c r="J57" s="1255" t="n"/>
      <c r="K57" s="1255" t="n"/>
      <c r="L57" s="1255" t="n"/>
      <c r="M57" s="1255" t="n"/>
      <c r="N57" s="1255" t="n"/>
      <c r="O57" s="1255" t="n"/>
    </row>
    <row r="58">
      <c r="A58" s="207" t="inlineStr">
        <is>
          <t>Approved</t>
        </is>
      </c>
      <c r="B58" s="306" t="n">
        <v>0.7</v>
      </c>
      <c r="C58" s="1255" t="n"/>
      <c r="D58" s="1255" t="n"/>
      <c r="E58" s="1255" t="n"/>
      <c r="F58" s="1255" t="n"/>
      <c r="G58" s="1255" t="n"/>
      <c r="H58" s="1255" t="n"/>
      <c r="I58" s="1255" t="n"/>
      <c r="J58" s="1255" t="n"/>
      <c r="K58" s="1255" t="n"/>
      <c r="L58" s="1255" t="n"/>
      <c r="M58" s="1255" t="n"/>
      <c r="N58" s="1255" t="n"/>
      <c r="O58" s="1255" t="n"/>
    </row>
    <row r="59">
      <c r="A59" s="207" t="inlineStr">
        <is>
          <t>Announced</t>
        </is>
      </c>
      <c r="B59" s="306" t="n">
        <v>0.5</v>
      </c>
      <c r="C59" s="1255" t="n"/>
      <c r="D59" s="1255" t="n"/>
      <c r="E59" s="1255" t="n"/>
      <c r="F59" s="1255" t="n"/>
      <c r="G59" s="1255" t="n"/>
      <c r="H59" s="1255" t="n"/>
      <c r="I59" s="1255" t="n"/>
      <c r="J59" s="1255" t="n"/>
      <c r="K59" s="1255" t="n"/>
      <c r="L59" s="1255" t="n"/>
      <c r="M59" s="1255" t="n"/>
      <c r="N59" s="1255" t="n"/>
      <c r="O59" s="1255" t="n"/>
    </row>
    <row r="60">
      <c r="A60" s="207" t="inlineStr">
        <is>
          <t>Proposed</t>
        </is>
      </c>
      <c r="B60" s="306" t="n">
        <v>0.25</v>
      </c>
      <c r="C60" s="1255" t="n"/>
      <c r="D60" s="1255" t="n"/>
      <c r="E60" s="1255" t="n"/>
      <c r="F60" s="1255" t="n"/>
      <c r="G60" s="1255" t="n"/>
      <c r="H60" s="1255" t="n"/>
      <c r="I60" s="1255" t="n"/>
      <c r="J60" s="1255" t="n"/>
      <c r="K60" s="1255" t="n"/>
      <c r="L60" s="1255" t="n"/>
      <c r="M60" s="1255" t="n"/>
      <c r="N60" s="1255" t="n"/>
      <c r="O60" s="1255" t="n"/>
    </row>
    <row r="61">
      <c r="A61" s="207" t="inlineStr">
        <is>
          <t>Suspended</t>
        </is>
      </c>
      <c r="B61" s="306" t="n">
        <v>0.1</v>
      </c>
      <c r="C61" s="1255" t="n"/>
      <c r="D61" s="1255" t="n"/>
      <c r="E61" s="1255" t="n"/>
      <c r="F61" s="1255" t="n"/>
      <c r="G61" s="1255" t="n"/>
      <c r="H61" s="1255" t="n"/>
      <c r="I61" s="1255" t="n"/>
      <c r="J61" s="1255" t="n"/>
      <c r="K61" s="1255" t="n"/>
      <c r="L61" s="1255" t="n"/>
      <c r="M61" s="1255" t="n"/>
      <c r="N61" s="1255" t="n"/>
      <c r="O61" s="1255" t="n"/>
    </row>
    <row r="62" ht="15" customHeight="1" thickBot="1">
      <c r="A62" s="208" t="inlineStr">
        <is>
          <t>Cancelled</t>
        </is>
      </c>
      <c r="B62" s="307" t="n">
        <v>0</v>
      </c>
      <c r="C62" s="1255" t="n"/>
      <c r="D62" s="1255" t="n"/>
      <c r="E62" s="1255" t="n"/>
      <c r="F62" s="1255" t="n"/>
      <c r="G62" s="1255" t="n"/>
      <c r="H62" s="1255" t="n"/>
      <c r="I62" s="1255" t="n"/>
      <c r="J62" s="1255" t="n"/>
      <c r="K62" s="1255" t="n"/>
      <c r="L62" s="1255" t="n"/>
      <c r="M62" s="1255" t="n"/>
      <c r="N62" s="1255" t="n"/>
      <c r="O62" s="1255" t="n"/>
    </row>
    <row r="63">
      <c r="A63" s="1255" t="n"/>
      <c r="B63" s="1255" t="n"/>
      <c r="C63" s="1255" t="n"/>
      <c r="D63" s="1255" t="n"/>
      <c r="E63" s="1255" t="n"/>
      <c r="F63" s="1255" t="n"/>
      <c r="G63" s="1255" t="n"/>
      <c r="H63" s="1255" t="n"/>
      <c r="I63" s="1255" t="n"/>
      <c r="J63" s="1255" t="n"/>
      <c r="K63" s="1255" t="n"/>
      <c r="L63" s="1255" t="n"/>
      <c r="M63" s="1255" t="n"/>
      <c r="N63" s="1255" t="n"/>
      <c r="O63" s="1255" t="n"/>
    </row>
    <row r="64">
      <c r="A64" s="1255" t="n"/>
      <c r="B64" s="1255" t="n"/>
      <c r="C64" s="1255" t="n"/>
      <c r="D64" s="1255" t="n"/>
      <c r="E64" s="1255" t="n"/>
      <c r="F64" s="1255" t="n"/>
      <c r="G64" s="1255" t="n"/>
      <c r="H64" s="1255" t="n"/>
      <c r="I64" s="1255" t="n"/>
      <c r="J64" s="1255" t="n"/>
      <c r="K64" s="1255" t="n"/>
      <c r="L64" s="1255" t="n"/>
      <c r="M64" s="1255" t="n"/>
      <c r="N64" s="1255" t="n"/>
      <c r="O64" s="1255" t="n"/>
    </row>
    <row r="65" ht="15.6" customHeight="1">
      <c r="A65" s="1184" t="inlineStr">
        <is>
          <t>Master Project Register</t>
        </is>
      </c>
    </row>
    <row r="66" ht="27.6" customHeight="1">
      <c r="A66" s="48" t="inlineStr">
        <is>
          <t>Project ID</t>
        </is>
      </c>
      <c r="B66" s="31" t="inlineStr">
        <is>
          <t>Company</t>
        </is>
      </c>
      <c r="C66" s="31" t="inlineStr">
        <is>
          <t>Project / Asset</t>
        </is>
      </c>
      <c r="D66" s="31" t="inlineStr">
        <is>
          <t>State / Country</t>
        </is>
      </c>
      <c r="E66" s="31" t="inlineStr">
        <is>
          <t>Type</t>
        </is>
      </c>
      <c r="F66" s="21" t="inlineStr">
        <is>
          <t>Capacity Added (Mtpa)</t>
        </is>
      </c>
      <c r="G66" s="31" t="inlineStr">
        <is>
          <t>Capacity Definition</t>
        </is>
      </c>
      <c r="H66" s="31" t="inlineStr">
        <is>
          <t>Status At Cutoff</t>
        </is>
      </c>
      <c r="I66" s="32" t="inlineStr">
        <is>
          <t>Expected Commissioning FY</t>
        </is>
      </c>
      <c r="J66" s="32" t="inlineStr">
        <is>
          <t>Capex (Rs cr)</t>
        </is>
      </c>
      <c r="K66" s="32" t="inlineStr">
        <is>
          <t>Implied Capex (Rs/t)</t>
        </is>
      </c>
      <c r="L66" s="31" t="inlineStr">
        <is>
          <t>Included In Forecast?</t>
        </is>
      </c>
      <c r="M66" s="32" t="inlineStr">
        <is>
          <t>Source ID</t>
        </is>
      </c>
      <c r="N66" s="32" t="inlineStr">
        <is>
          <t>Confidence</t>
        </is>
      </c>
      <c r="O66" s="33" t="inlineStr">
        <is>
          <t>Notes</t>
        </is>
      </c>
    </row>
    <row r="67" ht="36" customHeight="1">
      <c r="A67" s="87" t="inlineStr">
        <is>
          <t>P01</t>
        </is>
      </c>
      <c r="B67" s="88" t="inlineStr">
        <is>
          <t>Tata Steel</t>
        </is>
      </c>
      <c r="C67" s="88" t="inlineStr">
        <is>
          <t>Ludhiana scrap-based EAF</t>
        </is>
      </c>
      <c r="D67" s="88" t="inlineStr">
        <is>
          <t>Punjab</t>
        </is>
      </c>
      <c r="E67" s="88" t="inlineStr">
        <is>
          <t>Brownfield EAF</t>
        </is>
      </c>
      <c r="F67" s="1545" t="n">
        <v>0.75</v>
      </c>
      <c r="G67" s="88" t="inlineStr">
        <is>
          <t>Crude steel</t>
        </is>
      </c>
      <c r="H67" s="88" t="inlineStr">
        <is>
          <t>Commissioned Mar-2026</t>
        </is>
      </c>
      <c r="I67" s="88" t="inlineStr">
        <is>
          <t>FY2026</t>
        </is>
      </c>
      <c r="J67" s="1546" t="n">
        <v>3200</v>
      </c>
      <c r="K67" s="1546">
        <f>J67/F67*10000</f>
        <v/>
      </c>
      <c r="L67" s="88" t="inlineStr">
        <is>
          <t>No - already in base</t>
        </is>
      </c>
      <c r="M67" s="98" t="inlineStr">
        <is>
          <t>S08</t>
        </is>
      </c>
      <c r="N67" s="98" t="inlineStr">
        <is>
          <t>High</t>
        </is>
      </c>
      <c r="O67" s="90" t="inlineStr">
        <is>
          <t>Commissioned in Mar-2026 and therefore already inside the FY2026 capacity base of 220.4 Mtpa. Designed for under 0.3 tCO2e per tonne of crude steel, which makes it 5-star green steel under the Taxonomy notified 23-Dec-2024.</t>
        </is>
      </c>
    </row>
    <row r="68" ht="24" customHeight="1">
      <c r="A68" s="87" t="inlineStr">
        <is>
          <t>P02</t>
        </is>
      </c>
      <c r="B68" s="88" t="inlineStr">
        <is>
          <t>Tata Steel</t>
        </is>
      </c>
      <c r="C68" s="88" t="inlineStr">
        <is>
          <t>NINL expansion</t>
        </is>
      </c>
      <c r="D68" s="88" t="inlineStr">
        <is>
          <t>Odisha</t>
        </is>
      </c>
      <c r="E68" s="88" t="inlineStr">
        <is>
          <t>Brownfield integrated</t>
        </is>
      </c>
      <c r="F68" s="1545" t="n">
        <v>4.8</v>
      </c>
      <c r="G68" s="88" t="inlineStr">
        <is>
          <t>Crude steel</t>
        </is>
      </c>
      <c r="H68" s="88" t="inlineStr">
        <is>
          <t>Proposed</t>
        </is>
      </c>
      <c r="I68" s="88" t="inlineStr">
        <is>
          <t>FY2030</t>
        </is>
      </c>
      <c r="J68" s="15" t="n"/>
      <c r="K68" s="15" t="n"/>
      <c r="L68" s="88" t="inlineStr">
        <is>
          <t>Yes</t>
        </is>
      </c>
      <c r="M68" s="98" t="inlineStr">
        <is>
          <t>S08</t>
        </is>
      </c>
      <c r="N68" s="98" t="inlineStr">
        <is>
          <t>Medium</t>
        </is>
      </c>
      <c r="O68" s="90" t="inlineStr">
        <is>
          <t>Described as proposed in the FY2026 results release, so not yet Board-approved capex. Commissioning year is the modeller's estimate based on typical 4-year build.</t>
        </is>
      </c>
    </row>
    <row r="69" ht="36" customHeight="1">
      <c r="A69" s="87" t="inlineStr">
        <is>
          <t>P03</t>
        </is>
      </c>
      <c r="B69" s="88" t="inlineStr">
        <is>
          <t>Tata Steel</t>
        </is>
      </c>
      <c r="C69" s="88" t="inlineStr">
        <is>
          <t>India roadmap to 40 Mtpa</t>
        </is>
      </c>
      <c r="D69" s="88" t="inlineStr">
        <is>
          <t>India</t>
        </is>
      </c>
      <c r="E69" s="88" t="inlineStr">
        <is>
          <t>Programme</t>
        </is>
      </c>
      <c r="F69" s="1545" t="n">
        <v>5</v>
      </c>
      <c r="G69" s="88" t="inlineStr">
        <is>
          <t>Crude steel</t>
        </is>
      </c>
      <c r="H69" s="88" t="inlineStr">
        <is>
          <t>Announced - aspirational</t>
        </is>
      </c>
      <c r="I69" s="88" t="inlineStr">
        <is>
          <t>FY2033</t>
        </is>
      </c>
      <c r="J69" s="15" t="n"/>
      <c r="K69" s="15" t="n"/>
      <c r="L69" s="88" t="inlineStr">
        <is>
          <t>Yes</t>
        </is>
      </c>
      <c r="M69" s="98" t="inlineStr">
        <is>
          <t>S37</t>
        </is>
      </c>
      <c r="N69" s="98" t="inlineStr">
        <is>
          <t>Low</t>
        </is>
      </c>
      <c r="O69" s="90" t="inlineStr">
        <is>
          <t>Tata Steel's Q1FY2027 presentation (31-Jul-2026) sets out an India roadmap to 40 Mtpa. The residual above identified projects is carried at low confidence and is materially reduced by the delivery factor D05.</t>
        </is>
      </c>
    </row>
    <row r="70" ht="41.4" customHeight="1">
      <c r="A70" s="87" t="inlineStr">
        <is>
          <t>P04</t>
        </is>
      </c>
      <c r="B70" s="88" t="inlineStr">
        <is>
          <t>JSW Steel</t>
        </is>
      </c>
      <c r="C70" s="88" t="inlineStr">
        <is>
          <t>Vijayanagar BF-3 expansion 3.0 to 4.5 Mtpa</t>
        </is>
      </c>
      <c r="D70" s="88" t="inlineStr">
        <is>
          <t>Karnataka</t>
        </is>
      </c>
      <c r="E70" s="88" t="inlineStr">
        <is>
          <t>Brownfield BF</t>
        </is>
      </c>
      <c r="F70" s="1545" t="n">
        <v>1.5</v>
      </c>
      <c r="G70" s="88" t="inlineStr">
        <is>
          <t>Crude steel</t>
        </is>
      </c>
      <c r="H70" s="88" t="inlineStr">
        <is>
          <t>Under testing and commissioning</t>
        </is>
      </c>
      <c r="I70" s="88" t="inlineStr">
        <is>
          <t>FY2027</t>
        </is>
      </c>
      <c r="J70" s="15" t="n"/>
      <c r="K70" s="15" t="n"/>
      <c r="L70" s="88" t="inlineStr">
        <is>
          <t>Yes</t>
        </is>
      </c>
      <c r="M70" s="98" t="inlineStr">
        <is>
          <t>S09</t>
        </is>
      </c>
      <c r="N70" s="98" t="inlineStr">
        <is>
          <t>High</t>
        </is>
      </c>
      <c r="O70" s="90" t="inlineStr">
        <is>
          <t>Was under testing at FY2026 year-end and excluded from the FY2026 utilisation calculation, so it is genuinely incremental to the base.</t>
        </is>
      </c>
    </row>
    <row r="71" ht="27.6" customHeight="1">
      <c r="A71" s="87" t="inlineStr">
        <is>
          <t>P05</t>
        </is>
      </c>
      <c r="B71" s="88" t="inlineStr">
        <is>
          <t>JSW Steel</t>
        </is>
      </c>
      <c r="C71" s="88" t="inlineStr">
        <is>
          <t>JVML-Vijayanagar brownfield expansion</t>
        </is>
      </c>
      <c r="D71" s="88" t="inlineStr">
        <is>
          <t>Karnataka</t>
        </is>
      </c>
      <c r="E71" s="88" t="inlineStr">
        <is>
          <t>Brownfield integrated</t>
        </is>
      </c>
      <c r="F71" s="1545" t="n">
        <v>5</v>
      </c>
      <c r="G71" s="88" t="inlineStr">
        <is>
          <t>Crude steel</t>
        </is>
      </c>
      <c r="H71" s="88" t="inlineStr">
        <is>
          <t>Board approved</t>
        </is>
      </c>
      <c r="I71" s="88" t="inlineStr">
        <is>
          <t>FY2030</t>
        </is>
      </c>
      <c r="J71" s="1546" t="n">
        <v>26000</v>
      </c>
      <c r="K71" s="1546">
        <f>J71/F71*10000</f>
        <v/>
      </c>
      <c r="L71" s="88" t="inlineStr">
        <is>
          <t>Yes</t>
        </is>
      </c>
      <c r="M71" s="98" t="inlineStr">
        <is>
          <t>S09</t>
        </is>
      </c>
      <c r="N71" s="98" t="inlineStr">
        <is>
          <t>High</t>
        </is>
      </c>
      <c r="O71" s="90" t="inlineStr">
        <is>
          <t>Board approved. Rs 26,000 cr for 5 Mtpa gives Rs 52,000 per tonne, the cleanest brownfield capex-intensity datapoint available and the primary calibration for D16.</t>
        </is>
      </c>
    </row>
    <row r="72" ht="72" customHeight="1">
      <c r="A72" s="87" t="inlineStr">
        <is>
          <t>P06</t>
        </is>
      </c>
      <c r="B72" s="88" t="inlineStr">
        <is>
          <t>JSW Steel</t>
        </is>
      </c>
      <c r="C72" s="88" t="inlineStr">
        <is>
          <t>BMM Ispat acquisition</t>
        </is>
      </c>
      <c r="D72" s="88" t="inlineStr">
        <is>
          <t>Karnataka</t>
        </is>
      </c>
      <c r="E72" s="88" t="inlineStr">
        <is>
          <t>Acquisition</t>
        </is>
      </c>
      <c r="F72" s="1545" t="n">
        <v>0.9</v>
      </c>
      <c r="G72" s="88" t="inlineStr">
        <is>
          <t>Crude steel</t>
        </is>
      </c>
      <c r="H72" s="88" t="inlineStr">
        <is>
          <t>Board approved</t>
        </is>
      </c>
      <c r="I72" s="88" t="inlineStr">
        <is>
          <t>FY2027</t>
        </is>
      </c>
      <c r="J72" s="15" t="n"/>
      <c r="K72" s="15" t="n"/>
      <c r="L72" s="88" t="inlineStr">
        <is>
          <t>No - acquisition, not new national capacity</t>
        </is>
      </c>
      <c r="M72" s="98" t="inlineStr">
        <is>
          <t>S09</t>
        </is>
      </c>
      <c r="N72" s="98" t="inlineStr">
        <is>
          <t>High</t>
        </is>
      </c>
      <c r="O72" s="90" t="inlineStr">
        <is>
          <t>Acquisition of existing operating capacity, so it adds to JSW Steel's own capacity and volume but adds NOTHING to India's national capacity - those tonnes are already in the 220.4 Mtpa FY2026 base. Correctly excluded from the industry capacity build. This is a standard trap: summing company announcements without stripping out acquisitions double-counts national capacity. JSW's FY2027 guidance explicitly includes BMM Ispat production of 0.75 Mt and sales of 0.70 Mt, so it IS included in the company-level volume build on sheet 12.</t>
        </is>
      </c>
    </row>
    <row r="73" ht="36" customHeight="1">
      <c r="A73" s="87" t="inlineStr">
        <is>
          <t>P07</t>
        </is>
      </c>
      <c r="B73" s="88" t="inlineStr">
        <is>
          <t>JSW Steel / POSCO</t>
        </is>
      </c>
      <c r="C73" s="88" t="inlineStr">
        <is>
          <t>Greenfield integrated plant, 50:50 JV</t>
        </is>
      </c>
      <c r="D73" s="88" t="inlineStr">
        <is>
          <t>Odisha</t>
        </is>
      </c>
      <c r="E73" s="88" t="inlineStr">
        <is>
          <t>Greenfield JV</t>
        </is>
      </c>
      <c r="F73" s="1545" t="n">
        <v>6</v>
      </c>
      <c r="G73" s="88" t="inlineStr">
        <is>
          <t>Crude steel</t>
        </is>
      </c>
      <c r="H73" s="88" t="inlineStr">
        <is>
          <t>Announced Apr-2026</t>
        </is>
      </c>
      <c r="I73" s="88" t="inlineStr">
        <is>
          <t>FY2031</t>
        </is>
      </c>
      <c r="J73" s="15" t="n"/>
      <c r="K73" s="15" t="n"/>
      <c r="L73" s="88" t="inlineStr">
        <is>
          <t>Yes</t>
        </is>
      </c>
      <c r="M73" s="98" t="inlineStr">
        <is>
          <t>S09</t>
        </is>
      </c>
      <c r="N73" s="98" t="inlineStr">
        <is>
          <t>Medium</t>
        </is>
      </c>
      <c r="O73" s="90" t="inlineStr">
        <is>
          <t>50:50 joint venture announced Apr-2026 targeting commissioning by 2031. This is the single most distant dated project in the pipeline and is the reason the announced pipeline terminates in FY2031, which in turn drives the horizon selection.</t>
        </is>
      </c>
    </row>
    <row r="74" ht="27.6" customHeight="1">
      <c r="A74" s="87" t="inlineStr">
        <is>
          <t>P08</t>
        </is>
      </c>
      <c r="B74" s="88" t="inlineStr">
        <is>
          <t>SAIL</t>
        </is>
      </c>
      <c r="C74" s="88" t="inlineStr">
        <is>
          <t>IISCO Steel Plant greenfield expansion</t>
        </is>
      </c>
      <c r="D74" s="88" t="inlineStr">
        <is>
          <t>West Bengal</t>
        </is>
      </c>
      <c r="E74" s="88" t="inlineStr">
        <is>
          <t>Greenfield</t>
        </is>
      </c>
      <c r="F74" s="1545" t="n">
        <v>4.08</v>
      </c>
      <c r="G74" s="88" t="inlineStr">
        <is>
          <t>Crude steel</t>
        </is>
      </c>
      <c r="H74" s="88" t="inlineStr">
        <is>
          <t>Board approved</t>
        </is>
      </c>
      <c r="I74" s="88" t="inlineStr">
        <is>
          <t>FY2031</t>
        </is>
      </c>
      <c r="J74" s="15" t="n"/>
      <c r="K74" s="15" t="n"/>
      <c r="L74" s="88" t="inlineStr">
        <is>
          <t>Yes</t>
        </is>
      </c>
      <c r="M74" s="98" t="inlineStr">
        <is>
          <t>S26</t>
        </is>
      </c>
      <c r="N74" s="98" t="inlineStr">
        <is>
          <t>High</t>
        </is>
      </c>
      <c r="O74" s="90" t="inlineStr">
        <is>
          <t>Board approved per Ministry of Steel, Rajya Sabha USQ 3982 answered 27-Mar-2026. IISCO averaged 91.6% utilisation over FY2021-FY2025 on 2.5 Mtpa.</t>
        </is>
      </c>
    </row>
    <row r="75" ht="27.6" customHeight="1">
      <c r="A75" s="87" t="inlineStr">
        <is>
          <t>P09</t>
        </is>
      </c>
      <c r="B75" s="88" t="inlineStr">
        <is>
          <t>SAIL</t>
        </is>
      </c>
      <c r="C75" s="88" t="inlineStr">
        <is>
          <t>Bokaro Steel Plant brownfield expansion</t>
        </is>
      </c>
      <c r="D75" s="88" t="inlineStr">
        <is>
          <t>Jharkhand</t>
        </is>
      </c>
      <c r="E75" s="88" t="inlineStr">
        <is>
          <t>Brownfield</t>
        </is>
      </c>
      <c r="F75" s="1545" t="n">
        <v>2.65</v>
      </c>
      <c r="G75" s="88" t="inlineStr">
        <is>
          <t>Crude steel</t>
        </is>
      </c>
      <c r="H75" s="88" t="inlineStr">
        <is>
          <t>Board approved</t>
        </is>
      </c>
      <c r="I75" s="88" t="inlineStr">
        <is>
          <t>FY2030</t>
        </is>
      </c>
      <c r="J75" s="15" t="n"/>
      <c r="K75" s="15" t="n"/>
      <c r="L75" s="88" t="inlineStr">
        <is>
          <t>Yes</t>
        </is>
      </c>
      <c r="M75" s="98" t="inlineStr">
        <is>
          <t>S26</t>
        </is>
      </c>
      <c r="N75" s="98" t="inlineStr">
        <is>
          <t>High</t>
        </is>
      </c>
      <c r="O75" s="90" t="inlineStr">
        <is>
          <t>Board approved per the same Parliamentary answer. Bokaro averaged 87.8% utilisation on 4.6 Mtpa, so there is headroom in the existing asset as well.</t>
        </is>
      </c>
    </row>
    <row r="76" ht="27.6" customHeight="1">
      <c r="A76" s="87" t="inlineStr">
        <is>
          <t>P10</t>
        </is>
      </c>
      <c r="B76" s="88" t="inlineStr">
        <is>
          <t>SAIL</t>
        </is>
      </c>
      <c r="C76" s="88" t="inlineStr">
        <is>
          <t>Durgapur Steel Plant brownfield expansion</t>
        </is>
      </c>
      <c r="D76" s="88" t="inlineStr">
        <is>
          <t>West Bengal</t>
        </is>
      </c>
      <c r="E76" s="88" t="inlineStr">
        <is>
          <t>Brownfield</t>
        </is>
      </c>
      <c r="F76" s="1545" t="n">
        <v>0.89</v>
      </c>
      <c r="G76" s="88" t="inlineStr">
        <is>
          <t>Crude steel</t>
        </is>
      </c>
      <c r="H76" s="88" t="inlineStr">
        <is>
          <t>Board approved</t>
        </is>
      </c>
      <c r="I76" s="88" t="inlineStr">
        <is>
          <t>FY2029</t>
        </is>
      </c>
      <c r="J76" s="15" t="n"/>
      <c r="K76" s="15" t="n"/>
      <c r="L76" s="88" t="inlineStr">
        <is>
          <t>Yes</t>
        </is>
      </c>
      <c r="M76" s="98" t="inlineStr">
        <is>
          <t>S26</t>
        </is>
      </c>
      <c r="N76" s="98" t="inlineStr">
        <is>
          <t>High</t>
        </is>
      </c>
      <c r="O76" s="90" t="inlineStr">
        <is>
          <t>Board approved. Durgapur already averaged 101.6% utilisation on 2.2 Mtpa over FY2021-FY2025, i.e. it is running above nameplate and the expansion is debottlenecking.</t>
        </is>
      </c>
    </row>
    <row r="77" ht="36" customHeight="1">
      <c r="A77" s="87" t="inlineStr">
        <is>
          <t>P11</t>
        </is>
      </c>
      <c r="B77" s="88" t="inlineStr">
        <is>
          <t>SAIL</t>
        </is>
      </c>
      <c r="C77" s="88" t="inlineStr">
        <is>
          <t>Residual ambition to ~35 Mt by FY2031</t>
        </is>
      </c>
      <c r="D77" s="88" t="inlineStr">
        <is>
          <t>India</t>
        </is>
      </c>
      <c r="E77" s="88" t="inlineStr">
        <is>
          <t>Programme</t>
        </is>
      </c>
      <c r="F77" s="1545" t="n">
        <v>8</v>
      </c>
      <c r="G77" s="88" t="inlineStr">
        <is>
          <t>Crude steel</t>
        </is>
      </c>
      <c r="H77" s="88" t="inlineStr">
        <is>
          <t>Announced - aspirational</t>
        </is>
      </c>
      <c r="I77" s="88" t="inlineStr">
        <is>
          <t>FY2033</t>
        </is>
      </c>
      <c r="J77" s="15" t="n"/>
      <c r="K77" s="15" t="n"/>
      <c r="L77" s="88" t="inlineStr">
        <is>
          <t>Yes</t>
        </is>
      </c>
      <c r="M77" s="98" t="inlineStr">
        <is>
          <t>S47</t>
        </is>
      </c>
      <c r="N77" s="98" t="inlineStr">
        <is>
          <t>Low</t>
        </is>
      </c>
      <c r="O77" s="90" t="inlineStr">
        <is>
          <t>SAIL has publicly targeted roughly 35 Mt by FY2031 against 19.676 Mtpa today at an indicated roughly Rs 1 lakh crore outlay. Board-approved tranches total only 7.62 Mtpa, so about 8 Mtpa of the ambition is unapproved and is carried at low confidence.</t>
        </is>
      </c>
    </row>
    <row r="78" ht="27.6" customHeight="1">
      <c r="A78" s="87" t="inlineStr">
        <is>
          <t>P12</t>
        </is>
      </c>
      <c r="B78" s="88" t="inlineStr">
        <is>
          <t>AM/NS India</t>
        </is>
      </c>
      <c r="C78" s="88" t="inlineStr">
        <is>
          <t>Hazira expansion 9 to 15 Mtpa</t>
        </is>
      </c>
      <c r="D78" s="88" t="inlineStr">
        <is>
          <t>Gujarat</t>
        </is>
      </c>
      <c r="E78" s="88" t="inlineStr">
        <is>
          <t>Brownfield integrated</t>
        </is>
      </c>
      <c r="F78" s="1545" t="n">
        <v>6</v>
      </c>
      <c r="G78" s="88" t="inlineStr">
        <is>
          <t>Crude steel</t>
        </is>
      </c>
      <c r="H78" s="88" t="inlineStr">
        <is>
          <t>Under implementation</t>
        </is>
      </c>
      <c r="I78" s="88" t="inlineStr">
        <is>
          <t>FY2029</t>
        </is>
      </c>
      <c r="J78" s="15" t="n"/>
      <c r="K78" s="15" t="n"/>
      <c r="L78" s="88" t="inlineStr">
        <is>
          <t>Yes</t>
        </is>
      </c>
      <c r="M78" s="98" t="inlineStr">
        <is>
          <t>S13</t>
        </is>
      </c>
      <c r="N78" s="98" t="inlineStr">
        <is>
          <t>High</t>
        </is>
      </c>
      <c r="O78" s="90" t="inlineStr">
        <is>
          <t>Under implementation. The largest single brownfield addition in the pipeline.</t>
        </is>
      </c>
    </row>
    <row r="79" ht="27.6" customHeight="1">
      <c r="A79" s="87" t="inlineStr">
        <is>
          <t>P13</t>
        </is>
      </c>
      <c r="B79" s="88" t="inlineStr">
        <is>
          <t>AM/NS India</t>
        </is>
      </c>
      <c r="C79" s="88" t="inlineStr">
        <is>
          <t>Rajayyapeta greenfield, Phase 1</t>
        </is>
      </c>
      <c r="D79" s="88" t="inlineStr">
        <is>
          <t>Andhra Pradesh</t>
        </is>
      </c>
      <c r="E79" s="88" t="inlineStr">
        <is>
          <t>Greenfield</t>
        </is>
      </c>
      <c r="F79" s="1545" t="n">
        <v>8.199999999999999</v>
      </c>
      <c r="G79" s="88" t="inlineStr">
        <is>
          <t>Crude steel</t>
        </is>
      </c>
      <c r="H79" s="88" t="inlineStr">
        <is>
          <t>Announced 23-Mar-2026</t>
        </is>
      </c>
      <c r="I79" s="88" t="inlineStr">
        <is>
          <t>FY2032</t>
        </is>
      </c>
      <c r="J79" s="15" t="n"/>
      <c r="K79" s="15" t="n"/>
      <c r="L79" s="88" t="inlineStr">
        <is>
          <t>Yes</t>
        </is>
      </c>
      <c r="M79" s="98" t="inlineStr">
        <is>
          <t>S14</t>
        </is>
      </c>
      <c r="N79" s="98" t="inlineStr">
        <is>
          <t>Medium</t>
        </is>
      </c>
      <c r="O79" s="90" t="inlineStr">
        <is>
          <t>Announced 23-Mar-2026 as a low-cost, highly efficient coastal asset. Phase 1 of 8.2 Mtpa. Greenfield of this scale in India has historically taken 5 to 7 years.</t>
        </is>
      </c>
    </row>
    <row r="80" ht="27.6" customHeight="1">
      <c r="A80" s="87" t="inlineStr">
        <is>
          <t>P14</t>
        </is>
      </c>
      <c r="B80" s="88" t="inlineStr">
        <is>
          <t>AM/NS India</t>
        </is>
      </c>
      <c r="C80" s="88" t="inlineStr">
        <is>
          <t>Hazira further expansion to 24 Mtpa</t>
        </is>
      </c>
      <c r="D80" s="88" t="inlineStr">
        <is>
          <t>Gujarat</t>
        </is>
      </c>
      <c r="E80" s="88" t="inlineStr">
        <is>
          <t>Brownfield</t>
        </is>
      </c>
      <c r="F80" s="1545" t="n">
        <v>9</v>
      </c>
      <c r="G80" s="88" t="inlineStr">
        <is>
          <t>Crude steel</t>
        </is>
      </c>
      <c r="H80" s="88" t="inlineStr">
        <is>
          <t>Detailed engineering under way</t>
        </is>
      </c>
      <c r="I80" s="88" t="inlineStr">
        <is>
          <t>Beyond FY2033</t>
        </is>
      </c>
      <c r="J80" s="15" t="n"/>
      <c r="K80" s="15" t="n"/>
      <c r="L80" s="88" t="inlineStr">
        <is>
          <t>No - beyond horizon</t>
        </is>
      </c>
      <c r="M80" s="98" t="inlineStr">
        <is>
          <t>S13</t>
        </is>
      </c>
      <c r="N80" s="98" t="inlineStr">
        <is>
          <t>Low</t>
        </is>
      </c>
      <c r="O80" s="90" t="inlineStr">
        <is>
          <t>Detailed engineering only. Falls outside the FY2033 horizon and is therefore excluded from the capacity build. Retained in the tracker for completeness and for terminal-value context.</t>
        </is>
      </c>
    </row>
    <row r="81" ht="36" customHeight="1">
      <c r="A81" s="87" t="inlineStr">
        <is>
          <t>P15</t>
        </is>
      </c>
      <c r="B81" s="88" t="inlineStr">
        <is>
          <t>Jindal Steel</t>
        </is>
      </c>
      <c r="C81" s="88" t="inlineStr">
        <is>
          <t>Angul expansion 6.0 to 12.0 Mtpa</t>
        </is>
      </c>
      <c r="D81" s="88" t="inlineStr">
        <is>
          <t>Odisha</t>
        </is>
      </c>
      <c r="E81" s="88" t="inlineStr">
        <is>
          <t>Brownfield integrated</t>
        </is>
      </c>
      <c r="F81" s="1545" t="n">
        <v>6</v>
      </c>
      <c r="G81" s="88" t="inlineStr">
        <is>
          <t>Crude steel</t>
        </is>
      </c>
      <c r="H81" s="88" t="inlineStr">
        <is>
          <t>Completed in FY2026</t>
        </is>
      </c>
      <c r="I81" s="88" t="inlineStr">
        <is>
          <t>FY2026</t>
        </is>
      </c>
      <c r="J81" s="15" t="n"/>
      <c r="K81" s="15" t="n"/>
      <c r="L81" s="88" t="inlineStr">
        <is>
          <t>No - already in base</t>
        </is>
      </c>
      <c r="M81" s="98" t="inlineStr">
        <is>
          <t>S11</t>
        </is>
      </c>
      <c r="N81" s="98" t="inlineStr">
        <is>
          <t>High</t>
        </is>
      </c>
      <c r="O81" s="90" t="inlineStr">
        <is>
          <t>Completed during FY2026, taking group steelmaking capacity from 9.6 to 15.6 Mtpa. Already inside the FY2026 capacity base. Ironmaking capacity is being raised by a further 6.6 Mtpa with elements still under construction.</t>
        </is>
      </c>
    </row>
    <row r="82" ht="27.6" customHeight="1">
      <c r="A82" s="87" t="inlineStr">
        <is>
          <t>P16</t>
        </is>
      </c>
      <c r="B82" s="88" t="inlineStr">
        <is>
          <t>Jindal Stainless</t>
        </is>
      </c>
      <c r="C82" s="88" t="inlineStr">
        <is>
          <t>Indonesia stainless melt shop</t>
        </is>
      </c>
      <c r="D82" s="88" t="inlineStr">
        <is>
          <t>Indonesia</t>
        </is>
      </c>
      <c r="E82" s="88" t="inlineStr">
        <is>
          <t>Greenfield</t>
        </is>
      </c>
      <c r="F82" s="1545" t="n">
        <v>1.2</v>
      </c>
      <c r="G82" s="88" t="inlineStr">
        <is>
          <t>Stainless melt</t>
        </is>
      </c>
      <c r="H82" s="88" t="inlineStr">
        <is>
          <t>Commissioned in FY2026</t>
        </is>
      </c>
      <c r="I82" s="88" t="inlineStr">
        <is>
          <t>FY2026</t>
        </is>
      </c>
      <c r="J82" s="15" t="n"/>
      <c r="K82" s="15" t="n"/>
      <c r="L82" s="88" t="inlineStr">
        <is>
          <t>No - outside India and in base</t>
        </is>
      </c>
      <c r="M82" s="98" t="inlineStr">
        <is>
          <t>S12</t>
        </is>
      </c>
      <c r="N82" s="98" t="inlineStr">
        <is>
          <t>High</t>
        </is>
      </c>
      <c r="O82" s="90" t="inlineStr">
        <is>
          <t>Commissioned ahead of schedule in FY2026, taking group melt capacity to 4.2 Mtpa. OUTSIDE INDIA, so excluded from the India capacity build.</t>
        </is>
      </c>
    </row>
    <row r="83" ht="27.6" customHeight="1">
      <c r="A83" s="87" t="inlineStr">
        <is>
          <t>P17</t>
        </is>
      </c>
      <c r="B83" s="88" t="inlineStr">
        <is>
          <t>Jindal Stainless</t>
        </is>
      </c>
      <c r="C83" s="88" t="inlineStr">
        <is>
          <t>Jajpur HRAP and CRAP downstream lines</t>
        </is>
      </c>
      <c r="D83" s="88" t="inlineStr">
        <is>
          <t>Odisha</t>
        </is>
      </c>
      <c r="E83" s="88" t="inlineStr">
        <is>
          <t>Downstream</t>
        </is>
      </c>
      <c r="F83" s="1545" t="n">
        <v>1.27</v>
      </c>
      <c r="G83" s="88" t="inlineStr">
        <is>
          <t>Downstream processing</t>
        </is>
      </c>
      <c r="H83" s="88" t="inlineStr">
        <is>
          <t>Upcoming</t>
        </is>
      </c>
      <c r="I83" s="88" t="inlineStr">
        <is>
          <t>FY2028</t>
        </is>
      </c>
      <c r="J83" s="15" t="n"/>
      <c r="K83" s="15" t="n"/>
      <c r="L83" s="88" t="inlineStr">
        <is>
          <t>No - downstream, not melt</t>
        </is>
      </c>
      <c r="M83" s="98" t="inlineStr">
        <is>
          <t>S12</t>
        </is>
      </c>
      <c r="N83" s="98" t="inlineStr">
        <is>
          <t>High</t>
        </is>
      </c>
      <c r="O83" s="90" t="inlineStr">
        <is>
          <t>1.1 Mtpa HRAP plus 0.17 Mtpa CRAP. DOWNSTREAM PROCESSING, not melt capacity, so it must not be added to crude steel capacity. Included in the tracker because it drives mix and realisation, not tonnage.</t>
        </is>
      </c>
    </row>
    <row r="84" ht="41.4" customHeight="1">
      <c r="A84" s="87" t="inlineStr">
        <is>
          <t>P18</t>
        </is>
      </c>
      <c r="B84" s="88" t="inlineStr">
        <is>
          <t>Jindal Stainless</t>
        </is>
      </c>
      <c r="C84" s="88" t="inlineStr">
        <is>
          <t>Hisar and Kharagpur cold rolling augmentation</t>
        </is>
      </c>
      <c r="D84" s="88" t="inlineStr">
        <is>
          <t>Haryana / West Bengal</t>
        </is>
      </c>
      <c r="E84" s="88" t="inlineStr">
        <is>
          <t>Downstream</t>
        </is>
      </c>
      <c r="F84" s="96" t="n"/>
      <c r="G84" s="88" t="inlineStr">
        <is>
          <t>Downstream processing</t>
        </is>
      </c>
      <c r="H84" s="88" t="inlineStr">
        <is>
          <t>Announced - Rs 900 cr committed</t>
        </is>
      </c>
      <c r="I84" s="88" t="inlineStr">
        <is>
          <t>FY2028</t>
        </is>
      </c>
      <c r="J84" s="1546" t="n">
        <v>900</v>
      </c>
      <c r="K84" s="15" t="n"/>
      <c r="L84" s="88" t="inlineStr">
        <is>
          <t>No - downstream, not melt</t>
        </is>
      </c>
      <c r="M84" s="98" t="inlineStr">
        <is>
          <t>S12</t>
        </is>
      </c>
      <c r="N84" s="98" t="inlineStr">
        <is>
          <t>High</t>
        </is>
      </c>
      <c r="O84" s="90" t="inlineStr">
        <is>
          <t>Takes CRAP capacity to 2.67 Mtpa by FY2028. Downstream only.</t>
        </is>
      </c>
    </row>
    <row r="85" ht="27.6" customHeight="1">
      <c r="A85" s="87" t="inlineStr">
        <is>
          <t>P19</t>
        </is>
      </c>
      <c r="B85" s="88" t="inlineStr">
        <is>
          <t>Electrosteel / ESL</t>
        </is>
      </c>
      <c r="C85" s="88" t="inlineStr">
        <is>
          <t>Bokaro capacity doubling</t>
        </is>
      </c>
      <c r="D85" s="88" t="inlineStr">
        <is>
          <t>Jharkhand</t>
        </is>
      </c>
      <c r="E85" s="88" t="inlineStr">
        <is>
          <t>Brownfield</t>
        </is>
      </c>
      <c r="F85" s="1545" t="n">
        <v>1.5</v>
      </c>
      <c r="G85" s="88" t="inlineStr">
        <is>
          <t>Crude steel</t>
        </is>
      </c>
      <c r="H85" s="88" t="inlineStr">
        <is>
          <t>Announced by parent</t>
        </is>
      </c>
      <c r="I85" s="88" t="inlineStr">
        <is>
          <t>FY2027</t>
        </is>
      </c>
      <c r="J85" s="15" t="n"/>
      <c r="K85" s="15" t="n"/>
      <c r="L85" s="88" t="inlineStr">
        <is>
          <t>Yes</t>
        </is>
      </c>
      <c r="M85" s="98" t="inlineStr">
        <is>
          <t>S43</t>
        </is>
      </c>
      <c r="N85" s="98" t="inlineStr">
        <is>
          <t>Low</t>
        </is>
      </c>
      <c r="O85" s="90" t="inlineStr">
        <is>
          <t>Vedanta targeting a doubling of Bokaro from 1.5 to 3.0 Mtpa by end-CY2026. Rests on a single secondary source and is carried at low confidence.</t>
        </is>
      </c>
    </row>
    <row r="86" ht="48" customHeight="1">
      <c r="A86" s="91" t="inlineStr">
        <is>
          <t>P20</t>
        </is>
      </c>
      <c r="B86" s="92" t="inlineStr">
        <is>
          <t>NMDC Steel</t>
        </is>
      </c>
      <c r="C86" s="92" t="inlineStr">
        <is>
          <t>Nagarnar ramp-up to nameplate</t>
        </is>
      </c>
      <c r="D86" s="92" t="inlineStr">
        <is>
          <t>Chhattisgarh</t>
        </is>
      </c>
      <c r="E86" s="92" t="inlineStr">
        <is>
          <t>Ramp-up</t>
        </is>
      </c>
      <c r="F86" s="97" t="n"/>
      <c r="G86" s="92" t="inlineStr">
        <is>
          <t>Crude steel</t>
        </is>
      </c>
      <c r="H86" s="92" t="inlineStr">
        <is>
          <t>Ramping</t>
        </is>
      </c>
      <c r="I86" s="92" t="inlineStr">
        <is>
          <t>FY2028</t>
        </is>
      </c>
      <c r="J86" s="93" t="n"/>
      <c r="K86" s="93" t="n"/>
      <c r="L86" s="92" t="inlineStr">
        <is>
          <t>No - utilisation, not capacity</t>
        </is>
      </c>
      <c r="M86" s="99" t="inlineStr">
        <is>
          <t>S01</t>
        </is>
      </c>
      <c r="N86" s="99" t="inlineStr">
        <is>
          <t>High</t>
        </is>
      </c>
      <c r="O86" s="94" t="inlineStr">
        <is>
          <t>The 3 Mtpa plant produced 2.382 Mt in FY2026, up 61.9%. The remaining roughly 0.6 Mt is a UTILISATION gain within existing capacity, not new capacity, and is captured through the utilisation forecast rather than the capacity build. Included here because it is one of the two empirical ramp-rate observations underpinning the horizon choice.</t>
        </is>
      </c>
    </row>
    <row r="88">
      <c r="A88" s="1252" t="inlineStr">
        <is>
          <t>SUMMARY - GROSS ANNOUNCED INDIA CRUDE STEEL ADDITIONS BY YEAR (live SUMIFS)</t>
        </is>
      </c>
    </row>
    <row r="89">
      <c r="A89" s="1253" t="inlineStr">
        <is>
          <t>Included projects only</t>
        </is>
      </c>
      <c r="C89" s="1253" t="inlineStr">
        <is>
          <t>Mtpa</t>
        </is>
      </c>
      <c r="E89" s="1547">
        <f>SUMIFS($F$67:$F$86,$I$67:$I$86,"FY2027",$L$67:$L$86,"Yes")</f>
        <v/>
      </c>
      <c r="F89" s="1547">
        <f>SUMIFS($F$67:$F$86,$I$67:$I$86,"FY2028",$L$67:$L$86,"Yes")</f>
        <v/>
      </c>
      <c r="G89" s="1547">
        <f>SUMIFS($F$67:$F$86,$I$67:$I$86,"FY2029",$L$67:$L$86,"Yes")</f>
        <v/>
      </c>
      <c r="H89" s="1547">
        <f>SUMIFS($F$67:$F$86,$I$67:$I$86,"FY2030",$L$67:$L$86,"Yes")</f>
        <v/>
      </c>
      <c r="I89" s="1547">
        <f>SUMIFS($F$67:$F$86,$I$67:$I$86,"FY2031",$L$67:$L$86,"Yes")</f>
        <v/>
      </c>
      <c r="J89" s="1547">
        <f>SUMIFS($F$67:$F$86,$I$67:$I$86,"FY2032",$L$67:$L$86,"Yes")</f>
        <v/>
      </c>
      <c r="K89" s="1547">
        <f>SUMIFS($F$67:$F$86,$I$67:$I$86,"FY2033",$L$67:$L$86,"Yes")</f>
        <v/>
      </c>
      <c r="O89" s="1253" t="inlineStr">
        <is>
          <t>Live SUMIFS across the table above. Matches on the commissioning year AND on the inclusion flag being exactly 'Yes'.</t>
        </is>
      </c>
    </row>
    <row r="91">
      <c r="A91" s="1251" t="inlineStr">
        <is>
          <t>Total gross announced additions, FY2027E-FY2033E</t>
        </is>
      </c>
      <c r="C91" s="1253" t="inlineStr">
        <is>
          <t>Mtpa</t>
        </is>
      </c>
      <c r="D91" s="1548">
        <f>SUM(E89:K89)</f>
        <v/>
      </c>
      <c r="O91" s="1253" t="inlineStr">
        <is>
          <t>53.62 Mtpa of individually announced projects. Note this averages only 7.7 Mtpa a year against India's ACTUAL 20.8 and 20.1 Mtpa additions in FY2025 and FY2026, which is precisely why driver D22 exists - see 06.</t>
        </is>
      </c>
    </row>
  </sheetData>
  <mergeCells count="12">
    <mergeCell ref="A4:B4"/>
    <mergeCell ref="A2:F2"/>
    <mergeCell ref="A65:I65"/>
    <mergeCell ref="A7:I7"/>
    <mergeCell ref="A42:I42"/>
    <mergeCell ref="A1:O1"/>
    <mergeCell ref="A5:O5"/>
    <mergeCell ref="A88:F88"/>
    <mergeCell ref="A89:B89"/>
    <mergeCell ref="A18:I18"/>
    <mergeCell ref="A53:I53"/>
    <mergeCell ref="A91:B9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codeName="Sheet13">
    <tabColor rgb="FF002060"/>
    <outlinePr summaryBelow="1" summaryRight="1"/>
    <pageSetUpPr/>
  </sheetPr>
  <dimension ref="A1:J70"/>
  <sheetViews>
    <sheetView showGridLines="0" topLeftCell="A54" workbookViewId="0">
      <selection activeCell="J32" sqref="J32"/>
    </sheetView>
  </sheetViews>
  <sheetFormatPr baseColWidth="8" defaultRowHeight="14.4"/>
  <cols>
    <col width="38.5546875" customWidth="1" style="1262" min="1" max="1"/>
    <col width="17.77734375" customWidth="1" style="107" min="2" max="9"/>
    <col width="17.77734375" customWidth="1" style="1262" min="10" max="10"/>
    <col width="8.88671875" customWidth="1" style="1262" min="11" max="16384"/>
  </cols>
  <sheetData>
    <row r="1" ht="25.8" customHeight="1">
      <c r="A1" s="1133" t="inlineStr">
        <is>
          <t>CAPACITY UTILIZATION</t>
        </is>
      </c>
    </row>
    <row r="2" ht="15" customHeight="1" thickBot="1">
      <c r="A2" s="1136" t="inlineStr">
        <is>
          <t>Industry Financial Model  |  Indian Steel Industry  |  Horizon FY2027E-FY2033E  |  Base year FY2026A</t>
        </is>
      </c>
    </row>
    <row r="3" ht="16.2" customHeight="1" thickBot="1">
      <c r="A3" s="1167" t="n"/>
      <c r="G3" s="1127" t="inlineStr">
        <is>
          <t>Active Scenario</t>
        </is>
      </c>
      <c r="H3" s="1549" t="n"/>
      <c r="I3" s="1259">
        <f>'Control Panel'!$E$17</f>
        <v/>
      </c>
    </row>
    <row r="4">
      <c r="A4" s="1145" t="inlineStr">
        <is>
          <t>OBJECTIVE</t>
        </is>
      </c>
    </row>
    <row r="5">
      <c r="A5" s="1134" t="inlineStr">
        <is>
          <t>Forecast annual capacity utilisation for the Indian steel industry by comparing available production capacity with expected crude steel production.</t>
        </is>
      </c>
    </row>
    <row r="6">
      <c r="A6" s="1134" t="n"/>
      <c r="B6" s="311" t="n"/>
      <c r="C6" s="311" t="n"/>
      <c r="D6" s="311" t="n"/>
      <c r="E6" s="311" t="n"/>
      <c r="F6" s="311" t="n"/>
      <c r="G6" s="311" t="n"/>
      <c r="H6" s="311" t="n"/>
      <c r="I6" s="311" t="n"/>
      <c r="J6" s="1134" t="n"/>
    </row>
    <row r="7" ht="16.2" customHeight="1" thickBot="1">
      <c r="A7" s="1184" t="inlineStr">
        <is>
          <t>Executive Summary</t>
        </is>
      </c>
      <c r="J7" s="1134" t="n"/>
    </row>
    <row r="8" ht="15" customHeight="1" thickBot="1">
      <c r="A8" s="308" t="inlineStr">
        <is>
          <t>KPI</t>
        </is>
      </c>
      <c r="B8" s="775" t="inlineStr">
        <is>
          <t>FY26A</t>
        </is>
      </c>
      <c r="C8" s="775" t="inlineStr">
        <is>
          <t>FY27E</t>
        </is>
      </c>
      <c r="D8" s="775" t="inlineStr">
        <is>
          <t>FY28E</t>
        </is>
      </c>
      <c r="E8" s="775" t="inlineStr">
        <is>
          <t>FY29E</t>
        </is>
      </c>
      <c r="F8" s="775" t="inlineStr">
        <is>
          <t>FY30E</t>
        </is>
      </c>
      <c r="G8" s="775" t="inlineStr">
        <is>
          <t>FY31E</t>
        </is>
      </c>
      <c r="H8" s="775" t="inlineStr">
        <is>
          <t>FY32E</t>
        </is>
      </c>
      <c r="I8" s="776" t="inlineStr">
        <is>
          <t>FY33E</t>
        </is>
      </c>
      <c r="J8" s="1134" t="n"/>
    </row>
    <row r="9" ht="15" customHeight="1" thickTop="1">
      <c r="A9" s="206" t="inlineStr">
        <is>
          <t>Installed Capacity (Mtpa)</t>
        </is>
      </c>
      <c r="B9" s="1480">
        <f>$C$64</f>
        <v/>
      </c>
      <c r="C9" s="1480">
        <f>$D$64</f>
        <v/>
      </c>
      <c r="D9" s="1480">
        <f>$E$64</f>
        <v/>
      </c>
      <c r="E9" s="1480">
        <f>$F$64</f>
        <v/>
      </c>
      <c r="F9" s="1480">
        <f>$G$64</f>
        <v/>
      </c>
      <c r="G9" s="1480">
        <f>$H$64</f>
        <v/>
      </c>
      <c r="H9" s="1480">
        <f>$I$64</f>
        <v/>
      </c>
      <c r="I9" s="1481">
        <f>$J$64</f>
        <v/>
      </c>
      <c r="J9" s="1134" t="n"/>
    </row>
    <row r="10">
      <c r="A10" s="207" t="inlineStr">
        <is>
          <t>Crude Steel Production (Mt)</t>
        </is>
      </c>
      <c r="B10" s="1482">
        <f>$C$63</f>
        <v/>
      </c>
      <c r="C10" s="1482">
        <f>$D$63</f>
        <v/>
      </c>
      <c r="D10" s="1482">
        <f>$E$63</f>
        <v/>
      </c>
      <c r="E10" s="1482">
        <f>$F$63</f>
        <v/>
      </c>
      <c r="F10" s="1482">
        <f>$G$63</f>
        <v/>
      </c>
      <c r="G10" s="1482">
        <f>$H$63</f>
        <v/>
      </c>
      <c r="H10" s="1482">
        <f>$I$63</f>
        <v/>
      </c>
      <c r="I10" s="1483">
        <f>$J$63</f>
        <v/>
      </c>
      <c r="J10" s="1134" t="n"/>
    </row>
    <row r="11">
      <c r="A11" s="207" t="inlineStr">
        <is>
          <t>Capacity Utilisation (%)</t>
        </is>
      </c>
      <c r="B11" s="1550">
        <f>$C$65</f>
        <v/>
      </c>
      <c r="C11" s="1550">
        <f>$D$65</f>
        <v/>
      </c>
      <c r="D11" s="1550">
        <f>$E$65</f>
        <v/>
      </c>
      <c r="E11" s="1550">
        <f>$F$65</f>
        <v/>
      </c>
      <c r="F11" s="1550">
        <f>$G$65</f>
        <v/>
      </c>
      <c r="G11" s="1550">
        <f>$H$65</f>
        <v/>
      </c>
      <c r="H11" s="1550">
        <f>$I$65</f>
        <v/>
      </c>
      <c r="I11" s="1551">
        <f>$J$65</f>
        <v/>
      </c>
      <c r="J11" s="1134" t="n"/>
    </row>
    <row r="12">
      <c r="A12" s="207" t="inlineStr">
        <is>
          <t>Growth (%)</t>
        </is>
      </c>
      <c r="B12" s="1550" t="n"/>
      <c r="C12" s="838">
        <f>C11/B11-1</f>
        <v/>
      </c>
      <c r="D12" s="838">
        <f>D11/C11-1</f>
        <v/>
      </c>
      <c r="E12" s="838">
        <f>E11/D11-1</f>
        <v/>
      </c>
      <c r="F12" s="838">
        <f>F11/E11-1</f>
        <v/>
      </c>
      <c r="G12" s="838">
        <f>G11/F11-1</f>
        <v/>
      </c>
      <c r="H12" s="838">
        <f>H11/G11-1</f>
        <v/>
      </c>
      <c r="I12" s="839">
        <f>I11/H11-1</f>
        <v/>
      </c>
      <c r="J12" s="1134" t="n"/>
    </row>
    <row r="13">
      <c r="A13" s="207" t="inlineStr">
        <is>
          <t>Idle Capacity (Mt)</t>
        </is>
      </c>
      <c r="B13" s="1487">
        <f>C64-C63</f>
        <v/>
      </c>
      <c r="C13" s="1487">
        <f>D64-D63</f>
        <v/>
      </c>
      <c r="D13" s="1487">
        <f>E64-E63</f>
        <v/>
      </c>
      <c r="E13" s="1487">
        <f>F64-F63</f>
        <v/>
      </c>
      <c r="F13" s="1487">
        <f>G64-G63</f>
        <v/>
      </c>
      <c r="G13" s="1487">
        <f>H64-H63</f>
        <v/>
      </c>
      <c r="H13" s="1487">
        <f>I64-I63</f>
        <v/>
      </c>
      <c r="I13" s="1439">
        <f>J64-J63</f>
        <v/>
      </c>
      <c r="J13" s="1134" t="n"/>
    </row>
    <row r="14">
      <c r="A14" s="207" t="inlineStr">
        <is>
          <t>Spare Capacity (%)</t>
        </is>
      </c>
      <c r="B14" s="1515">
        <f>IFERROR(1-C65,"")</f>
        <v/>
      </c>
      <c r="C14" s="1515">
        <f>IFERROR(1-D65,"")</f>
        <v/>
      </c>
      <c r="D14" s="1515">
        <f>IFERROR(1-E65,"")</f>
        <v/>
      </c>
      <c r="E14" s="1515">
        <f>IFERROR(1-F65,"")</f>
        <v/>
      </c>
      <c r="F14" s="1515">
        <f>IFERROR(1-G65,"")</f>
        <v/>
      </c>
      <c r="G14" s="1515">
        <f>IFERROR(1-H65,"")</f>
        <v/>
      </c>
      <c r="H14" s="1515">
        <f>IFERROR(1-I65,"")</f>
        <v/>
      </c>
      <c r="I14" s="1493">
        <f>IFERROR(1-J65,"")</f>
        <v/>
      </c>
      <c r="J14" s="1134" t="n"/>
    </row>
    <row r="15" ht="15" customHeight="1" thickBot="1">
      <c r="A15" s="208" t="inlineStr">
        <is>
          <t>Capacity Tightness</t>
        </is>
      </c>
      <c r="B15" s="779">
        <f>IF(C65&gt;0.9,"Capacity constrained",IF(C65&gt;0.85,"Tight market",IF(C65&gt;0.75,"Balanced market",IF(C65&gt;0.65,"Weak market","Significant overcapacity"))))</f>
        <v/>
      </c>
      <c r="C15" s="779">
        <f>IF(D65&gt;0.9,"Capacity constrained",IF(D65&gt;0.85,"Tight market",IF(D65&gt;0.75,"Balanced market",IF(D65&gt;0.65,"Weak market","Significant overcapacity"))))</f>
        <v/>
      </c>
      <c r="D15" s="779">
        <f>IF(E65&gt;0.9,"Capacity constrained",IF(E65&gt;0.85,"Tight market",IF(E65&gt;0.75,"Balanced market",IF(E65&gt;0.65,"Weak market","Significant overcapacity"))))</f>
        <v/>
      </c>
      <c r="E15" s="779">
        <f>IF(F65&gt;0.9,"Capacity constrained",IF(F65&gt;0.85,"Tight market",IF(F65&gt;0.75,"Balanced market",IF(F65&gt;0.65,"Weak market","Significant overcapacity"))))</f>
        <v/>
      </c>
      <c r="F15" s="779">
        <f>IF(G65&gt;0.9,"Capacity constrained",IF(G65&gt;0.85,"Tight market",IF(G65&gt;0.75,"Balanced market",IF(G65&gt;0.65,"Weak market","Significant overcapacity"))))</f>
        <v/>
      </c>
      <c r="G15" s="779">
        <f>IF(H65&gt;0.9,"Capacity constrained",IF(H65&gt;0.85,"Tight market",IF(H65&gt;0.75,"Balanced market",IF(H65&gt;0.65,"Weak market","Significant overcapacity"))))</f>
        <v/>
      </c>
      <c r="H15" s="779">
        <f>IF(I65&gt;0.9,"Capacity constrained",IF(I65&gt;0.85,"Tight market",IF(I65&gt;0.75,"Balanced market",IF(I65&gt;0.65,"Weak market","Significant overcapacity"))))</f>
        <v/>
      </c>
      <c r="I15" s="780">
        <f>IF(J65&gt;0.9,"Capacity constrained",IF(J65&gt;0.85,"Tight market",IF(J65&gt;0.75,"Balanced market",IF(J65&gt;0.65,"Weak market","Significant overcapacity"))))</f>
        <v/>
      </c>
      <c r="J15" s="1134" t="n"/>
    </row>
    <row r="16">
      <c r="A16" s="1134" t="n"/>
      <c r="B16" s="311" t="n"/>
      <c r="C16" s="311" t="n"/>
      <c r="D16" s="311" t="n"/>
      <c r="E16" s="311" t="n"/>
      <c r="F16" s="311" t="n"/>
      <c r="G16" s="311" t="n"/>
      <c r="H16" s="311" t="n"/>
      <c r="I16" s="311" t="n"/>
      <c r="J16" s="1134" t="n"/>
    </row>
    <row r="17">
      <c r="A17" s="1134" t="n"/>
      <c r="B17" s="311" t="n"/>
      <c r="C17" s="311" t="n"/>
      <c r="D17" s="311" t="n"/>
      <c r="E17" s="311" t="n"/>
      <c r="F17" s="311" t="n"/>
      <c r="G17" s="311" t="n"/>
      <c r="H17" s="311" t="n"/>
      <c r="I17" s="311" t="n"/>
      <c r="J17" s="1134" t="n"/>
    </row>
    <row r="18" ht="16.2" customHeight="1" thickBot="1">
      <c r="A18" s="1243" t="inlineStr">
        <is>
          <t>Industry Utilization</t>
        </is>
      </c>
      <c r="B18" s="1339" t="n"/>
      <c r="C18" s="1339" t="n"/>
      <c r="D18" s="1339" t="n"/>
      <c r="E18" s="1137" t="n"/>
      <c r="F18" s="1137" t="inlineStr">
        <is>
          <t>Company Wise Utilization</t>
        </is>
      </c>
    </row>
    <row r="19" ht="17.4" customHeight="1" thickBot="1">
      <c r="A19" s="1188" t="inlineStr">
        <is>
          <t>Year</t>
        </is>
      </c>
      <c r="B19" s="485" t="inlineStr">
        <is>
          <t>Installed Capacity</t>
        </is>
      </c>
      <c r="C19" s="485" t="inlineStr">
        <is>
          <t>Production</t>
        </is>
      </c>
      <c r="D19" s="485" t="inlineStr">
        <is>
          <t>Utilisation %</t>
        </is>
      </c>
      <c r="E19" s="311" t="n"/>
      <c r="F19" s="312" t="inlineStr">
        <is>
          <t>Company</t>
        </is>
      </c>
      <c r="G19" s="563" t="inlineStr">
        <is>
          <t>Capacity</t>
        </is>
      </c>
      <c r="H19" s="563" t="inlineStr">
        <is>
          <t>Production</t>
        </is>
      </c>
      <c r="I19" s="563" t="inlineStr">
        <is>
          <t>Utilisation %</t>
        </is>
      </c>
      <c r="J19" s="286" t="inlineStr">
        <is>
          <t>Audit Code</t>
        </is>
      </c>
    </row>
    <row r="20" ht="15" customHeight="1" thickTop="1">
      <c r="A20" s="1199" t="inlineStr">
        <is>
          <t>FY26A</t>
        </is>
      </c>
      <c r="B20" s="1482">
        <f>$C$64</f>
        <v/>
      </c>
      <c r="C20" s="1482">
        <f>$C$63</f>
        <v/>
      </c>
      <c r="D20" s="1515">
        <f>IFERROR(C20/B20,"")</f>
        <v/>
      </c>
      <c r="E20" s="311" t="n"/>
      <c r="F20" s="206" t="inlineStr">
        <is>
          <t>Tata Steel</t>
        </is>
      </c>
      <c r="G20" s="1436">
        <f>'Capacity Forecast'!B19</f>
        <v/>
      </c>
      <c r="H20" s="1490">
        <f>'[1]Production Volume'!$H15</f>
        <v/>
      </c>
      <c r="I20" s="1552">
        <f>IFERROR(H20/G20,"")</f>
        <v/>
      </c>
      <c r="J20" s="781" t="inlineStr">
        <is>
          <t>CU01</t>
        </is>
      </c>
    </row>
    <row r="21">
      <c r="A21" s="1199" t="inlineStr">
        <is>
          <t>FY27E</t>
        </is>
      </c>
      <c r="B21" s="1482">
        <f>$D$64</f>
        <v/>
      </c>
      <c r="C21" s="1482">
        <f>$D$63</f>
        <v/>
      </c>
      <c r="D21" s="1515">
        <f>IFERROR(C21/B21,"")</f>
        <v/>
      </c>
      <c r="E21" s="311" t="n"/>
      <c r="F21" s="207" t="inlineStr">
        <is>
          <t>JSW Steel</t>
        </is>
      </c>
      <c r="G21" s="1438">
        <f>'Capacity Forecast'!B20</f>
        <v/>
      </c>
      <c r="H21" s="1490">
        <f>'[1]Production Volume'!$H16</f>
        <v/>
      </c>
      <c r="I21" s="1515">
        <f>IFERROR(H21/G21,"")</f>
        <v/>
      </c>
      <c r="J21" s="782" t="inlineStr">
        <is>
          <t>CU02</t>
        </is>
      </c>
    </row>
    <row r="22">
      <c r="A22" s="1199" t="inlineStr">
        <is>
          <t>FY28E</t>
        </is>
      </c>
      <c r="B22" s="1482">
        <f>$E$64</f>
        <v/>
      </c>
      <c r="C22" s="1482">
        <f>$E$63</f>
        <v/>
      </c>
      <c r="D22" s="1515">
        <f>IFERROR(C22/B22,"")</f>
        <v/>
      </c>
      <c r="E22" s="311" t="n"/>
      <c r="F22" s="207" t="inlineStr">
        <is>
          <t>SAIL</t>
        </is>
      </c>
      <c r="G22" s="1438">
        <f>'Capacity Forecast'!B21</f>
        <v/>
      </c>
      <c r="H22" s="1490">
        <f>'[1]Production Volume'!$H17</f>
        <v/>
      </c>
      <c r="I22" s="1515">
        <f>IFERROR(H22/G22,"")</f>
        <v/>
      </c>
      <c r="J22" s="782" t="inlineStr">
        <is>
          <t>CU03</t>
        </is>
      </c>
    </row>
    <row r="23">
      <c r="A23" s="1199" t="inlineStr">
        <is>
          <t>FY29E</t>
        </is>
      </c>
      <c r="B23" s="1482">
        <f>$F$64</f>
        <v/>
      </c>
      <c r="C23" s="1482">
        <f>$F$63</f>
        <v/>
      </c>
      <c r="D23" s="1515">
        <f>IFERROR(C23/B23,"")</f>
        <v/>
      </c>
      <c r="E23" s="311" t="n"/>
      <c r="F23" s="207" t="inlineStr">
        <is>
          <t>Jindal Steel</t>
        </is>
      </c>
      <c r="G23" s="1438">
        <f>'Capacity Forecast'!B22</f>
        <v/>
      </c>
      <c r="H23" s="1490">
        <f>'[1]Production Volume'!$H18</f>
        <v/>
      </c>
      <c r="I23" s="1515">
        <f>IFERROR(H23/G23,"")</f>
        <v/>
      </c>
      <c r="J23" s="782" t="inlineStr">
        <is>
          <t>CU04</t>
        </is>
      </c>
    </row>
    <row r="24">
      <c r="A24" s="1199" t="inlineStr">
        <is>
          <t>FY30E</t>
        </is>
      </c>
      <c r="B24" s="1482">
        <f>$G$64</f>
        <v/>
      </c>
      <c r="C24" s="1482">
        <f>$G$63</f>
        <v/>
      </c>
      <c r="D24" s="1515">
        <f>IFERROR(C24/B24,"")</f>
        <v/>
      </c>
      <c r="E24" s="311" t="n"/>
      <c r="F24" s="207" t="inlineStr">
        <is>
          <t>Jindal Stainless</t>
        </is>
      </c>
      <c r="G24" s="1438">
        <f>'Capacity Forecast'!B23</f>
        <v/>
      </c>
      <c r="H24" s="1490">
        <f>'[1]Production Volume'!$H19</f>
        <v/>
      </c>
      <c r="I24" s="1515">
        <f>IFERROR(H24/G24,"")</f>
        <v/>
      </c>
      <c r="J24" s="782" t="inlineStr">
        <is>
          <t>CU05</t>
        </is>
      </c>
    </row>
    <row r="25">
      <c r="A25" s="1199" t="inlineStr">
        <is>
          <t>FY31E</t>
        </is>
      </c>
      <c r="B25" s="1482">
        <f>$H$64</f>
        <v/>
      </c>
      <c r="C25" s="1482">
        <f>$H$63</f>
        <v/>
      </c>
      <c r="D25" s="1515">
        <f>IFERROR(C25/B25,"")</f>
        <v/>
      </c>
      <c r="E25" s="311" t="n"/>
      <c r="F25" s="207" t="inlineStr">
        <is>
          <t>Others</t>
        </is>
      </c>
      <c r="G25" s="1438">
        <f>'Capacity Forecast'!B24</f>
        <v/>
      </c>
      <c r="H25" s="1490">
        <f>'[1]Production Volume'!$H20</f>
        <v/>
      </c>
      <c r="I25" s="1515">
        <f>IFERROR(H25/G25,"")</f>
        <v/>
      </c>
      <c r="J25" s="782" t="inlineStr">
        <is>
          <t>CU08</t>
        </is>
      </c>
    </row>
    <row r="26" ht="15" customHeight="1" thickBot="1">
      <c r="A26" s="1199" t="inlineStr">
        <is>
          <t>FY32E</t>
        </is>
      </c>
      <c r="B26" s="1482">
        <f>$I$64</f>
        <v/>
      </c>
      <c r="C26" s="1482">
        <f>$I$63</f>
        <v/>
      </c>
      <c r="D26" s="1515">
        <f>IFERROR(C26/B26,"")</f>
        <v/>
      </c>
      <c r="E26" s="311" t="n"/>
      <c r="F26" s="247" t="inlineStr">
        <is>
          <t>Industry Average</t>
        </is>
      </c>
      <c r="G26" s="1553">
        <f>SUM(G20:G25)</f>
        <v/>
      </c>
      <c r="H26" s="1553">
        <f>SUM(H20:H25)</f>
        <v/>
      </c>
      <c r="I26" s="1554">
        <f>IFERROR(H26/G26,"")</f>
        <v/>
      </c>
      <c r="J26" s="783" t="inlineStr">
        <is>
          <t>CU09</t>
        </is>
      </c>
    </row>
    <row r="27">
      <c r="A27" s="1199" t="inlineStr">
        <is>
          <t>FY33E</t>
        </is>
      </c>
      <c r="B27" s="1482">
        <f>$J$64</f>
        <v/>
      </c>
      <c r="C27" s="1482">
        <f>$J$63</f>
        <v/>
      </c>
      <c r="D27" s="1515">
        <f>IFERROR(C27/B27,"")</f>
        <v/>
      </c>
      <c r="E27" s="311" t="n"/>
    </row>
    <row r="28" ht="14.4" customHeight="1" thickBot="1">
      <c r="A28" s="247" t="inlineStr">
        <is>
          <t>Industry Average</t>
        </is>
      </c>
      <c r="B28" s="1553">
        <f>AVERAGE(B20:B27)</f>
        <v/>
      </c>
      <c r="C28" s="1553">
        <f>AVERAGE(C20:C27)</f>
        <v/>
      </c>
      <c r="D28" s="1555">
        <f>IFERROR(C28/B28,"")</f>
        <v/>
      </c>
      <c r="E28" s="311" t="n"/>
    </row>
    <row r="29">
      <c r="A29" s="1134" t="n"/>
      <c r="B29" s="311" t="n"/>
      <c r="C29" s="311" t="n"/>
      <c r="D29" s="311" t="n"/>
      <c r="E29" s="311" t="n"/>
      <c r="F29" s="311" t="n"/>
      <c r="G29" s="311" t="n"/>
      <c r="H29" s="311" t="n"/>
      <c r="I29" s="311" t="n"/>
      <c r="J29" s="1134" t="n"/>
    </row>
    <row r="30">
      <c r="A30" s="1134" t="n"/>
      <c r="B30" s="311" t="n"/>
      <c r="C30" s="311" t="n"/>
      <c r="D30" s="311" t="n"/>
      <c r="E30" s="311" t="n"/>
      <c r="F30" s="311" t="n"/>
      <c r="G30" s="311" t="n"/>
      <c r="H30" s="311" t="n"/>
      <c r="I30" s="311" t="n"/>
      <c r="J30" s="1134" t="n"/>
    </row>
    <row r="31" ht="16.2" customHeight="1" thickBot="1">
      <c r="A31" s="1137" t="inlineStr">
        <is>
          <t>Company Wise Utilization Forecast</t>
        </is>
      </c>
    </row>
    <row r="32" ht="15" customHeight="1" thickBot="1">
      <c r="A32" s="312" t="inlineStr">
        <is>
          <t>Company</t>
        </is>
      </c>
      <c r="B32" s="834" t="inlineStr">
        <is>
          <t>FY26A</t>
        </is>
      </c>
      <c r="C32" s="834" t="inlineStr">
        <is>
          <t>FY27E</t>
        </is>
      </c>
      <c r="D32" s="834" t="inlineStr">
        <is>
          <t>FY28E</t>
        </is>
      </c>
      <c r="E32" s="834" t="inlineStr">
        <is>
          <t>FY29E</t>
        </is>
      </c>
      <c r="F32" s="834" t="inlineStr">
        <is>
          <t>FY30E</t>
        </is>
      </c>
      <c r="G32" s="834" t="inlineStr">
        <is>
          <t>FY31E</t>
        </is>
      </c>
      <c r="H32" s="834" t="inlineStr">
        <is>
          <t>FY32E</t>
        </is>
      </c>
      <c r="I32" s="835" t="inlineStr">
        <is>
          <t>FY33E</t>
        </is>
      </c>
      <c r="J32" s="286" t="inlineStr">
        <is>
          <t>Audit Code</t>
        </is>
      </c>
    </row>
    <row r="33" ht="15" customHeight="1" thickTop="1">
      <c r="A33" s="206" t="inlineStr">
        <is>
          <t>Tata Steel</t>
        </is>
      </c>
      <c r="B33" s="1556">
        <f>I20</f>
        <v/>
      </c>
      <c r="C33" s="1557">
        <f>B33</f>
        <v/>
      </c>
      <c r="D33" s="1557">
        <f>C33+0.5%</f>
        <v/>
      </c>
      <c r="E33" s="1557">
        <f>D33+0.5%</f>
        <v/>
      </c>
      <c r="F33" s="1557">
        <f>E33</f>
        <v/>
      </c>
      <c r="G33" s="1557">
        <f>F33+0.5%</f>
        <v/>
      </c>
      <c r="H33" s="1557">
        <f>G33+0.5%</f>
        <v/>
      </c>
      <c r="I33" s="1557" t="n">
        <v>0.9</v>
      </c>
      <c r="J33" s="1558" t="inlineStr">
        <is>
          <t>CC10</t>
        </is>
      </c>
    </row>
    <row r="34">
      <c r="A34" s="207" t="inlineStr">
        <is>
          <t>JSW Steel</t>
        </is>
      </c>
      <c r="B34" s="1556">
        <f>I21</f>
        <v/>
      </c>
      <c r="C34" s="1557" t="n">
        <v>0.905</v>
      </c>
      <c r="D34" s="1557" t="n">
        <v>0.9</v>
      </c>
      <c r="E34" s="1557">
        <f>D34</f>
        <v/>
      </c>
      <c r="F34" s="1557">
        <f>E34</f>
        <v/>
      </c>
      <c r="G34" s="1557">
        <f>F34</f>
        <v/>
      </c>
      <c r="H34" s="1557">
        <f>G34</f>
        <v/>
      </c>
      <c r="I34" s="1557">
        <f>H34</f>
        <v/>
      </c>
      <c r="J34" s="1558" t="inlineStr">
        <is>
          <t>CC11</t>
        </is>
      </c>
    </row>
    <row r="35">
      <c r="A35" s="207" t="inlineStr">
        <is>
          <t>SAIL</t>
        </is>
      </c>
      <c r="B35" s="1556">
        <f>I22</f>
        <v/>
      </c>
      <c r="C35" s="1557" t="n">
        <v>0.93</v>
      </c>
      <c r="D35" s="1557" t="n">
        <v>0.91</v>
      </c>
      <c r="E35" s="1557" t="n">
        <v>0.9</v>
      </c>
      <c r="F35" s="1557" t="n">
        <v>0.89</v>
      </c>
      <c r="G35" s="1557" t="n">
        <v>0.885</v>
      </c>
      <c r="H35" s="1557" t="n">
        <v>0.88</v>
      </c>
      <c r="I35" s="1557" t="n">
        <v>0.88</v>
      </c>
      <c r="J35" s="1558" t="inlineStr">
        <is>
          <t>CC12</t>
        </is>
      </c>
    </row>
    <row r="36">
      <c r="A36" s="207" t="inlineStr">
        <is>
          <t>Jindal Steel</t>
        </is>
      </c>
      <c r="B36" s="1556">
        <f>I23</f>
        <v/>
      </c>
      <c r="C36" s="1557" t="n">
        <v>0.68</v>
      </c>
      <c r="D36" s="1557" t="n">
        <v>0.73</v>
      </c>
      <c r="E36" s="1557" t="n">
        <v>0.78</v>
      </c>
      <c r="F36" s="1557" t="n">
        <v>0.8</v>
      </c>
      <c r="G36" s="1557" t="n">
        <v>0.82</v>
      </c>
      <c r="H36" s="1557" t="n">
        <v>0.84</v>
      </c>
      <c r="I36" s="1557" t="n">
        <v>0.85</v>
      </c>
      <c r="J36" s="1558" t="inlineStr">
        <is>
          <t>CC13</t>
        </is>
      </c>
    </row>
    <row r="37">
      <c r="A37" s="207" t="inlineStr">
        <is>
          <t>Jindal Stainless</t>
        </is>
      </c>
      <c r="B37" s="1556">
        <f>I24</f>
        <v/>
      </c>
      <c r="C37" s="1557" t="n">
        <v>0.87</v>
      </c>
      <c r="D37" s="1557" t="n">
        <v>0.875</v>
      </c>
      <c r="E37" s="1557" t="n">
        <v>0.88</v>
      </c>
      <c r="F37" s="1557" t="n">
        <v>0.88</v>
      </c>
      <c r="G37" s="1557" t="n">
        <v>0.885</v>
      </c>
      <c r="H37" s="1557" t="n">
        <v>0.89</v>
      </c>
      <c r="I37" s="1557" t="n">
        <v>0.89</v>
      </c>
      <c r="J37" s="1558" t="inlineStr">
        <is>
          <t>CC14</t>
        </is>
      </c>
    </row>
    <row r="38">
      <c r="A38" s="207" t="inlineStr">
        <is>
          <t>Others</t>
        </is>
      </c>
      <c r="B38" s="1556">
        <f>I25</f>
        <v/>
      </c>
      <c r="C38" s="1557" t="n">
        <v>0.715</v>
      </c>
      <c r="D38" s="1557" t="n">
        <v>0.765</v>
      </c>
      <c r="E38" s="1557" t="n">
        <v>0.78</v>
      </c>
      <c r="F38" s="1557" t="n">
        <v>0.78</v>
      </c>
      <c r="G38" s="1557" t="n">
        <v>0.795</v>
      </c>
      <c r="H38" s="1557" t="n">
        <v>0.8149999999999999</v>
      </c>
      <c r="I38" s="1557" t="n">
        <v>0.825</v>
      </c>
      <c r="J38" s="1558" t="inlineStr">
        <is>
          <t>CC15</t>
        </is>
      </c>
    </row>
    <row r="39" ht="15" customHeight="1" thickBot="1">
      <c r="A39" s="247" t="inlineStr">
        <is>
          <t>Industry Average</t>
        </is>
      </c>
      <c r="B39" s="1559">
        <f>C65</f>
        <v/>
      </c>
      <c r="C39" s="1559">
        <f>D65</f>
        <v/>
      </c>
      <c r="D39" s="1559">
        <f>E65</f>
        <v/>
      </c>
      <c r="E39" s="1559">
        <f>F65</f>
        <v/>
      </c>
      <c r="F39" s="1559">
        <f>G65</f>
        <v/>
      </c>
      <c r="G39" s="1559">
        <f>H65</f>
        <v/>
      </c>
      <c r="H39" s="1559">
        <f>I65</f>
        <v/>
      </c>
      <c r="I39" s="1559">
        <f>J65</f>
        <v/>
      </c>
      <c r="J39" s="1558" t="inlineStr">
        <is>
          <t>CC16</t>
        </is>
      </c>
    </row>
    <row r="40">
      <c r="A40" s="1134" t="n"/>
      <c r="B40" s="311" t="n"/>
      <c r="C40" s="311" t="n"/>
      <c r="D40" s="311" t="n"/>
      <c r="E40" s="311" t="n"/>
      <c r="F40" s="311" t="n"/>
      <c r="G40" s="311" t="n"/>
      <c r="H40" s="311" t="n"/>
      <c r="I40" s="311" t="n"/>
      <c r="J40" s="1134" t="n"/>
    </row>
    <row r="41" ht="16.2" customHeight="1" thickBot="1">
      <c r="A41" s="1137" t="inlineStr">
        <is>
          <t>Utilization Bands</t>
        </is>
      </c>
      <c r="C41" s="1137" t="n"/>
      <c r="F41" s="1137" t="inlineStr">
        <is>
          <t>Price Relationship</t>
        </is>
      </c>
      <c r="G41" s="1137" t="n"/>
      <c r="H41" s="1137" t="n"/>
      <c r="I41" s="1137" t="n"/>
      <c r="J41" s="1134" t="n"/>
    </row>
    <row r="42" ht="15" customHeight="1" thickBot="1">
      <c r="A42" s="273" t="inlineStr">
        <is>
          <t>Utilisation</t>
        </is>
      </c>
      <c r="B42" s="1256" t="inlineStr">
        <is>
          <t>Interpretation</t>
        </is>
      </c>
      <c r="C42" s="1336" t="n"/>
      <c r="F42" s="273" t="inlineStr">
        <is>
          <t>Utilisation</t>
        </is>
      </c>
      <c r="G42" s="1256" t="inlineStr">
        <is>
          <t>Expected Steel Price Impact</t>
        </is>
      </c>
      <c r="H42" s="1336" t="n"/>
      <c r="I42" s="311" t="n"/>
      <c r="J42" s="1134" t="n"/>
    </row>
    <row r="43" ht="15" customHeight="1" thickTop="1">
      <c r="A43" s="206" t="inlineStr">
        <is>
          <t>&lt;65%</t>
        </is>
      </c>
      <c r="B43" s="1206" t="inlineStr">
        <is>
          <t>Significant Overcapacity</t>
        </is>
      </c>
      <c r="C43" s="1423" t="n"/>
      <c r="F43" s="206" t="inlineStr">
        <is>
          <t>Below 70%</t>
        </is>
      </c>
      <c r="G43" s="1206" t="inlineStr">
        <is>
          <t>Strong Downward Pressure</t>
        </is>
      </c>
      <c r="H43" s="1423" t="n"/>
      <c r="I43" s="311" t="n"/>
      <c r="J43" s="1134" t="n"/>
    </row>
    <row r="44">
      <c r="A44" s="207" t="inlineStr">
        <is>
          <t>65–75%</t>
        </is>
      </c>
      <c r="B44" s="1199" t="inlineStr">
        <is>
          <t>Weak Market</t>
        </is>
      </c>
      <c r="C44" s="1360" t="n"/>
      <c r="F44" s="207" t="inlineStr">
        <is>
          <t>70–80%</t>
        </is>
      </c>
      <c r="G44" s="1199" t="inlineStr">
        <is>
          <t>Mild Downward Pressure</t>
        </is>
      </c>
      <c r="H44" s="1360" t="n"/>
      <c r="I44" s="311" t="n"/>
      <c r="J44" s="1134" t="n"/>
    </row>
    <row r="45">
      <c r="A45" s="207" t="inlineStr">
        <is>
          <t>75–85%</t>
        </is>
      </c>
      <c r="B45" s="1199" t="inlineStr">
        <is>
          <t>Balanced Market</t>
        </is>
      </c>
      <c r="C45" s="1360" t="n"/>
      <c r="F45" s="207" t="inlineStr">
        <is>
          <t>80–85%</t>
        </is>
      </c>
      <c r="G45" s="1199" t="inlineStr">
        <is>
          <t>Stable</t>
        </is>
      </c>
      <c r="H45" s="1360" t="n"/>
      <c r="I45" s="311" t="n"/>
      <c r="J45" s="1134" t="n"/>
    </row>
    <row r="46">
      <c r="A46" s="207" t="inlineStr">
        <is>
          <t>85–90%</t>
        </is>
      </c>
      <c r="B46" s="1199" t="inlineStr">
        <is>
          <t>Tight Market</t>
        </is>
      </c>
      <c r="C46" s="1360" t="n"/>
      <c r="F46" s="207" t="inlineStr">
        <is>
          <t>85–90%</t>
        </is>
      </c>
      <c r="G46" s="1199" t="inlineStr">
        <is>
          <t>Upward Pressure</t>
        </is>
      </c>
      <c r="H46" s="1360" t="n"/>
      <c r="I46" s="311" t="n"/>
      <c r="J46" s="1134" t="n"/>
    </row>
    <row r="47" ht="15" customHeight="1" thickBot="1">
      <c r="A47" s="208" t="inlineStr">
        <is>
          <t>&gt;90%</t>
        </is>
      </c>
      <c r="B47" s="1201" t="inlineStr">
        <is>
          <t>Capacity Constrained</t>
        </is>
      </c>
      <c r="C47" s="1425" t="n"/>
      <c r="F47" s="208" t="inlineStr">
        <is>
          <t>Above 90%</t>
        </is>
      </c>
      <c r="G47" s="1201" t="inlineStr">
        <is>
          <t>Strong Upward Pressure</t>
        </is>
      </c>
      <c r="H47" s="1425" t="n"/>
      <c r="I47" s="311" t="n"/>
      <c r="J47" s="1134" t="n"/>
    </row>
    <row r="48">
      <c r="A48" s="1134" t="n"/>
      <c r="B48" s="311" t="n"/>
      <c r="C48" s="311" t="n"/>
      <c r="F48" s="311" t="n"/>
      <c r="G48" s="311" t="n"/>
      <c r="H48" s="311" t="n"/>
      <c r="I48" s="311" t="n"/>
      <c r="J48" s="1134" t="n"/>
    </row>
    <row r="49">
      <c r="A49" s="1134" t="n"/>
      <c r="B49" s="311" t="n"/>
      <c r="C49" s="311" t="n"/>
      <c r="F49" s="311" t="n"/>
      <c r="G49" s="311" t="n"/>
      <c r="H49" s="311" t="n"/>
      <c r="I49" s="311" t="n"/>
      <c r="J49" s="1134" t="n"/>
    </row>
    <row r="50" ht="16.2" customHeight="1" thickBot="1">
      <c r="A50" s="1203" t="inlineStr">
        <is>
          <t>Scenario Comparision</t>
        </is>
      </c>
      <c r="B50" s="444" t="n"/>
      <c r="C50" s="444" t="n"/>
      <c r="D50" s="444" t="n"/>
      <c r="E50" s="444" t="n"/>
      <c r="F50" s="311" t="n"/>
      <c r="G50" s="311" t="n"/>
      <c r="H50" s="311" t="n"/>
      <c r="I50" s="311" t="n"/>
      <c r="J50" s="1134" t="n"/>
    </row>
    <row r="51" ht="15.6" customHeight="1" thickBot="1" thickTop="1">
      <c r="A51" s="312" t="inlineStr">
        <is>
          <t>Year</t>
        </is>
      </c>
      <c r="B51" s="313" t="inlineStr">
        <is>
          <t>Base</t>
        </is>
      </c>
      <c r="C51" s="313" t="inlineStr">
        <is>
          <t>Bull</t>
        </is>
      </c>
      <c r="D51" s="313" t="inlineStr">
        <is>
          <t>Bear</t>
        </is>
      </c>
      <c r="E51" s="314" t="inlineStr">
        <is>
          <t>Stress</t>
        </is>
      </c>
      <c r="F51" s="311" t="n"/>
      <c r="G51" s="311" t="n"/>
      <c r="H51" s="311" t="n"/>
      <c r="I51" s="311" t="n"/>
      <c r="J51" s="1134" t="n"/>
    </row>
    <row r="52" ht="15" customHeight="1" thickTop="1">
      <c r="A52" s="206" t="inlineStr">
        <is>
          <t>FY27</t>
        </is>
      </c>
      <c r="B52" s="1560" t="n"/>
      <c r="C52" s="1560" t="n"/>
      <c r="D52" s="1560" t="n"/>
      <c r="E52" s="1561" t="n"/>
      <c r="F52" s="311" t="n"/>
      <c r="G52" s="311" t="n"/>
      <c r="H52" s="311" t="n"/>
      <c r="I52" s="311" t="n"/>
      <c r="J52" s="1134" t="n"/>
    </row>
    <row r="53">
      <c r="A53" s="207" t="inlineStr">
        <is>
          <t>FY28</t>
        </is>
      </c>
      <c r="B53" s="1560" t="n"/>
      <c r="C53" s="1560" t="n"/>
      <c r="D53" s="1560" t="n"/>
      <c r="E53" s="1561" t="n"/>
      <c r="F53" s="311" t="n"/>
      <c r="G53" s="311" t="n"/>
      <c r="H53" s="311" t="n"/>
      <c r="I53" s="311" t="n"/>
      <c r="J53" s="1134" t="n"/>
    </row>
    <row r="54">
      <c r="A54" s="207" t="inlineStr">
        <is>
          <t>FY29</t>
        </is>
      </c>
      <c r="B54" s="1560" t="n"/>
      <c r="C54" s="1560" t="n"/>
      <c r="D54" s="1560" t="n"/>
      <c r="E54" s="1561" t="n"/>
      <c r="F54" s="311" t="n"/>
      <c r="G54" s="311" t="n"/>
      <c r="H54" s="311" t="n"/>
      <c r="I54" s="311" t="n"/>
      <c r="J54" s="1134" t="n"/>
    </row>
    <row r="55">
      <c r="A55" s="207" t="inlineStr">
        <is>
          <t>FY30</t>
        </is>
      </c>
      <c r="B55" s="1560" t="n"/>
      <c r="C55" s="1560" t="n"/>
      <c r="D55" s="1560" t="n"/>
      <c r="E55" s="1561" t="n"/>
      <c r="F55" s="311" t="n"/>
      <c r="G55" s="311" t="n"/>
      <c r="H55" s="311" t="n"/>
      <c r="I55" s="311" t="n"/>
      <c r="J55" s="1134" t="n"/>
    </row>
    <row r="56">
      <c r="A56" s="207" t="inlineStr">
        <is>
          <t>FY31</t>
        </is>
      </c>
      <c r="B56" s="1560" t="n"/>
      <c r="C56" s="1560" t="n"/>
      <c r="D56" s="1560" t="n"/>
      <c r="E56" s="1561" t="n"/>
      <c r="F56" s="311" t="n"/>
      <c r="G56" s="311" t="n"/>
      <c r="H56" s="311" t="n"/>
      <c r="I56" s="311" t="n"/>
      <c r="J56" s="1134" t="n"/>
    </row>
    <row r="57">
      <c r="A57" s="207" t="inlineStr">
        <is>
          <t>FY32</t>
        </is>
      </c>
      <c r="B57" s="1560" t="n"/>
      <c r="C57" s="1560" t="n"/>
      <c r="D57" s="1560" t="n"/>
      <c r="E57" s="1561" t="n"/>
      <c r="F57" s="311" t="n"/>
      <c r="G57" s="311" t="n"/>
      <c r="H57" s="311" t="n"/>
      <c r="I57" s="311" t="n"/>
      <c r="J57" s="1134" t="n"/>
    </row>
    <row r="58" ht="15" customHeight="1" thickBot="1">
      <c r="A58" s="208" t="inlineStr">
        <is>
          <t>FY33</t>
        </is>
      </c>
      <c r="B58" s="1507" t="n"/>
      <c r="C58" s="1507" t="n"/>
      <c r="D58" s="1507" t="n"/>
      <c r="E58" s="1562" t="n"/>
      <c r="F58" s="311" t="n"/>
      <c r="G58" s="311" t="n"/>
      <c r="H58" s="311" t="n"/>
      <c r="I58" s="311" t="n"/>
      <c r="J58" s="1134" t="n"/>
    </row>
    <row r="59">
      <c r="A59" s="1134" t="n"/>
      <c r="B59" s="311" t="n"/>
      <c r="C59" s="311" t="n"/>
      <c r="D59" s="311" t="n"/>
      <c r="E59" s="311" t="n"/>
      <c r="F59" s="311" t="n"/>
      <c r="G59" s="311" t="n"/>
      <c r="H59" s="311" t="n"/>
      <c r="I59" s="311" t="n"/>
      <c r="J59" s="1134" t="n"/>
    </row>
    <row r="60">
      <c r="A60" s="1134" t="n"/>
      <c r="B60" s="311" t="n"/>
      <c r="C60" s="311" t="n"/>
      <c r="D60" s="311" t="n"/>
      <c r="E60" s="311" t="n"/>
      <c r="F60" s="311" t="n"/>
      <c r="G60" s="311" t="n"/>
      <c r="H60" s="311" t="n"/>
      <c r="I60" s="311" t="n"/>
      <c r="J60" s="1134" t="n"/>
    </row>
    <row r="61" ht="16.2" customHeight="1" thickBot="1">
      <c r="A61" s="1203" t="inlineStr">
        <is>
          <t>Workbook</t>
        </is>
      </c>
      <c r="B61" s="444" t="n"/>
      <c r="C61" s="444" t="n"/>
      <c r="D61" s="444" t="n"/>
      <c r="E61" s="444" t="n"/>
      <c r="F61" s="444" t="n"/>
      <c r="G61" s="444" t="n"/>
      <c r="H61" s="444" t="n"/>
      <c r="I61" s="444" t="n"/>
      <c r="J61" s="444" t="n"/>
    </row>
    <row r="62" ht="15" customHeight="1" thickTop="1">
      <c r="A62" s="765" t="inlineStr">
        <is>
          <t>Line item</t>
        </is>
      </c>
      <c r="B62" s="21" t="inlineStr">
        <is>
          <t>Unit</t>
        </is>
      </c>
      <c r="C62" s="672" t="inlineStr">
        <is>
          <t>FY2026A</t>
        </is>
      </c>
      <c r="D62" s="672" t="inlineStr">
        <is>
          <t>FY2027E</t>
        </is>
      </c>
      <c r="E62" s="672" t="inlineStr">
        <is>
          <t>FY2028E</t>
        </is>
      </c>
      <c r="F62" s="672" t="inlineStr">
        <is>
          <t>FY2029E</t>
        </is>
      </c>
      <c r="G62" s="672" t="inlineStr">
        <is>
          <t>FY2030E</t>
        </is>
      </c>
      <c r="H62" s="672" t="inlineStr">
        <is>
          <t>FY2031E</t>
        </is>
      </c>
      <c r="I62" s="672" t="inlineStr">
        <is>
          <t>FY2032E</t>
        </is>
      </c>
      <c r="J62" s="766" t="inlineStr">
        <is>
          <t>FY2033E</t>
        </is>
      </c>
    </row>
    <row r="63">
      <c r="A63" s="761" t="inlineStr">
        <is>
          <t>Crude steel production</t>
        </is>
      </c>
      <c r="B63" s="69" t="inlineStr">
        <is>
          <t>Mt</t>
        </is>
      </c>
      <c r="C63" s="1563">
        <f>'Steel Supply Model'!C$88</f>
        <v/>
      </c>
      <c r="D63" s="1563">
        <f>'Steel Supply Model'!D$88</f>
        <v/>
      </c>
      <c r="E63" s="1563">
        <f>'Steel Supply Model'!E$88</f>
        <v/>
      </c>
      <c r="F63" s="1563">
        <f>'Steel Supply Model'!F$88</f>
        <v/>
      </c>
      <c r="G63" s="1563">
        <f>'Steel Supply Model'!G$88</f>
        <v/>
      </c>
      <c r="H63" s="1563">
        <f>'Steel Supply Model'!H$88</f>
        <v/>
      </c>
      <c r="I63" s="1563">
        <f>'Steel Supply Model'!I$88</f>
        <v/>
      </c>
      <c r="J63" s="1564">
        <f>'Steel Supply Model'!J$88</f>
        <v/>
      </c>
    </row>
    <row r="64">
      <c r="A64" s="761" t="inlineStr">
        <is>
          <t>Crude steel capacity</t>
        </is>
      </c>
      <c r="B64" s="69" t="inlineStr">
        <is>
          <t>Mtpa</t>
        </is>
      </c>
      <c r="C64" s="1565">
        <f>'Capacity Forecast'!C$96</f>
        <v/>
      </c>
      <c r="D64" s="1565">
        <f>'Capacity Forecast'!D$96</f>
        <v/>
      </c>
      <c r="E64" s="1565">
        <f>'Capacity Forecast'!E$96</f>
        <v/>
      </c>
      <c r="F64" s="1565">
        <f>'Capacity Forecast'!F$96</f>
        <v/>
      </c>
      <c r="G64" s="1565">
        <f>'Capacity Forecast'!G$96</f>
        <v/>
      </c>
      <c r="H64" s="1565">
        <f>'Capacity Forecast'!H$96</f>
        <v/>
      </c>
      <c r="I64" s="1565">
        <f>'Capacity Forecast'!I$96</f>
        <v/>
      </c>
      <c r="J64" s="1566">
        <f>'Capacity Forecast'!J$96</f>
        <v/>
      </c>
    </row>
    <row r="65">
      <c r="A65" s="762" t="inlineStr">
        <is>
          <t>Capacity utilisation</t>
        </is>
      </c>
      <c r="B65" s="69" t="inlineStr">
        <is>
          <t>%</t>
        </is>
      </c>
      <c r="C65" s="1567">
        <f>C63/C64</f>
        <v/>
      </c>
      <c r="D65" s="1567">
        <f>D63/D64</f>
        <v/>
      </c>
      <c r="E65" s="1567">
        <f>E63/E64</f>
        <v/>
      </c>
      <c r="F65" s="1567">
        <f>F63/F64</f>
        <v/>
      </c>
      <c r="G65" s="1567">
        <f>G63/G64</f>
        <v/>
      </c>
      <c r="H65" s="1567">
        <f>H63/H64</f>
        <v/>
      </c>
      <c r="I65" s="1567">
        <f>I63/I64</f>
        <v/>
      </c>
      <c r="J65" s="1568">
        <f>J63/J64</f>
        <v/>
      </c>
    </row>
    <row r="66">
      <c r="A66" s="761" t="inlineStr">
        <is>
          <t>Normal utilisation</t>
        </is>
      </c>
      <c r="B66" s="69" t="inlineStr">
        <is>
          <t>%</t>
        </is>
      </c>
      <c r="C66" s="1569">
        <f>'Model Assumptions'!D$31</f>
        <v/>
      </c>
      <c r="D66" s="1569">
        <f>'Model Assumptions'!E$31</f>
        <v/>
      </c>
      <c r="E66" s="1569">
        <f>'Model Assumptions'!F$31</f>
        <v/>
      </c>
      <c r="F66" s="1569">
        <f>'Model Assumptions'!G$31</f>
        <v/>
      </c>
      <c r="G66" s="1569">
        <f>'Model Assumptions'!H$31</f>
        <v/>
      </c>
      <c r="H66" s="1569">
        <f>'Model Assumptions'!I$31</f>
        <v/>
      </c>
      <c r="I66" s="1569">
        <f>'Model Assumptions'!J$31</f>
        <v/>
      </c>
      <c r="J66" s="1570">
        <f>'Model Assumptions'!K$31</f>
        <v/>
      </c>
    </row>
    <row r="67">
      <c r="A67" s="761" t="inlineStr">
        <is>
          <t>Utilisation gap vs normal</t>
        </is>
      </c>
      <c r="B67" s="69" t="inlineStr">
        <is>
          <t>ppt</t>
        </is>
      </c>
      <c r="C67" s="772">
        <f>C65-C66</f>
        <v/>
      </c>
      <c r="D67" s="772">
        <f>D65-D66</f>
        <v/>
      </c>
      <c r="E67" s="1569">
        <f>E65-E66</f>
        <v/>
      </c>
      <c r="F67" s="1569">
        <f>F65-F66</f>
        <v/>
      </c>
      <c r="G67" s="1569">
        <f>G65-G66</f>
        <v/>
      </c>
      <c r="H67" s="1569">
        <f>H65-H66</f>
        <v/>
      </c>
      <c r="I67" s="1569">
        <f>I65-I66</f>
        <v/>
      </c>
      <c r="J67" s="1570">
        <f>J65-J66</f>
        <v/>
      </c>
    </row>
    <row r="68" ht="15" customHeight="1" thickBot="1">
      <c r="A68" s="763" t="inlineStr">
        <is>
          <t>Spare capacity</t>
        </is>
      </c>
      <c r="B68" s="764" t="inlineStr">
        <is>
          <t>Mt</t>
        </is>
      </c>
      <c r="C68" s="1571">
        <f>C64-C63</f>
        <v/>
      </c>
      <c r="D68" s="1571">
        <f>D64-D63</f>
        <v/>
      </c>
      <c r="E68" s="1571">
        <f>E64-E63</f>
        <v/>
      </c>
      <c r="F68" s="1571">
        <f>F64-F63</f>
        <v/>
      </c>
      <c r="G68" s="1571">
        <f>G64-G63</f>
        <v/>
      </c>
      <c r="H68" s="1571">
        <f>H64-H63</f>
        <v/>
      </c>
      <c r="I68" s="1571">
        <f>I64-I63</f>
        <v/>
      </c>
      <c r="J68" s="1572">
        <f>J64-J63</f>
        <v/>
      </c>
    </row>
    <row r="70">
      <c r="A70" s="1132" t="inlineStr">
        <is>
          <t>FY2026 utilisation of 76.4% against 80.4% in FY2024 is the single most important structural fact in the Indian steel investment case: capacity has been added faster than demand, which caps domestic pricing power and is why a safeguard duty was needed.</t>
        </is>
      </c>
    </row>
  </sheetData>
  <mergeCells count="25">
    <mergeCell ref="A7:I7"/>
    <mergeCell ref="A5:J5"/>
    <mergeCell ref="G43:H43"/>
    <mergeCell ref="B47:C47"/>
    <mergeCell ref="G42:H42"/>
    <mergeCell ref="B46:C46"/>
    <mergeCell ref="B43:C43"/>
    <mergeCell ref="A2:F2"/>
    <mergeCell ref="A31:J31"/>
    <mergeCell ref="A41:B41"/>
    <mergeCell ref="B42:C42"/>
    <mergeCell ref="F18:J18"/>
    <mergeCell ref="G3:H3"/>
    <mergeCell ref="I3:J3"/>
    <mergeCell ref="A1:J1"/>
    <mergeCell ref="A50:E50"/>
    <mergeCell ref="B44:C44"/>
    <mergeCell ref="A61:J61"/>
    <mergeCell ref="A70:J70"/>
    <mergeCell ref="G45:H45"/>
    <mergeCell ref="A18:D18"/>
    <mergeCell ref="G47:H47"/>
    <mergeCell ref="B45:C45"/>
    <mergeCell ref="G44:H44"/>
    <mergeCell ref="G46:H46"/>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codeName="Sheet14">
    <tabColor rgb="FF002060"/>
    <outlinePr summaryBelow="1" summaryRight="1"/>
    <pageSetUpPr/>
  </sheetPr>
  <dimension ref="A1:K78"/>
  <sheetViews>
    <sheetView showGridLines="0" topLeftCell="A50" zoomScaleNormal="100" workbookViewId="0">
      <selection activeCell="D71" sqref="D71"/>
    </sheetView>
  </sheetViews>
  <sheetFormatPr baseColWidth="8" defaultRowHeight="14.4"/>
  <cols>
    <col width="35.77734375" customWidth="1" min="1" max="1"/>
    <col width="14.44140625" customWidth="1" min="2" max="2"/>
    <col width="14.44140625" customWidth="1" style="696" min="3" max="9"/>
    <col width="11.88671875" customWidth="1" style="696" min="10" max="10"/>
    <col width="10.88671875" customWidth="1" min="11" max="11"/>
  </cols>
  <sheetData>
    <row r="1" ht="25.8" customHeight="1">
      <c r="A1" s="1150" t="inlineStr">
        <is>
          <t>STEEL PRICE FORECAST</t>
        </is>
      </c>
    </row>
    <row r="2" ht="15" customHeight="1" thickBot="1">
      <c r="A2" s="1159" t="inlineStr">
        <is>
          <t>Industry Financial Model  |  Indian Steel Industry  |  Horizon FY2027E-FY2033E  |  Base year FY2026A</t>
        </is>
      </c>
    </row>
    <row r="3" ht="16.2" customHeight="1" thickBot="1">
      <c r="A3" s="1149" t="n"/>
      <c r="H3" s="1407" t="inlineStr">
        <is>
          <t>Active Scenario</t>
        </is>
      </c>
      <c r="I3" s="1401" t="n"/>
      <c r="J3" s="760">
        <f>'Control Panel'!$E$17</f>
        <v/>
      </c>
      <c r="K3" s="1354" t="n"/>
    </row>
    <row r="4">
      <c r="A4" s="1254" t="inlineStr">
        <is>
          <t>OBJECTIVE</t>
        </is>
      </c>
    </row>
    <row r="5">
      <c r="A5" s="1217" t="inlineStr">
        <is>
          <t>Forecast Indian domestic steel prices by integrating supply-demand fundamentals, capacity utilisation, raw material costs, international prices, trade dynamics, and macroeconomic conditions.</t>
        </is>
      </c>
    </row>
    <row r="6">
      <c r="A6" s="1217" t="n"/>
      <c r="B6" s="1217" t="n"/>
      <c r="C6" s="489" t="n"/>
      <c r="D6" s="489" t="n"/>
      <c r="E6" s="489" t="n"/>
      <c r="F6" s="489" t="n"/>
      <c r="G6" s="489" t="n"/>
      <c r="H6" s="489" t="n"/>
      <c r="I6" s="489" t="n"/>
      <c r="J6" s="489" t="n"/>
    </row>
    <row r="7" ht="16.2" customHeight="1" thickBot="1">
      <c r="A7" s="1137" t="inlineStr">
        <is>
          <t>Executive Summary</t>
        </is>
      </c>
      <c r="J7" s="489" t="n"/>
    </row>
    <row r="8" ht="15" customHeight="1" thickBot="1">
      <c r="A8" s="284" t="inlineStr">
        <is>
          <t>KPIs</t>
        </is>
      </c>
      <c r="B8" s="469" t="inlineStr">
        <is>
          <t>FY26A</t>
        </is>
      </c>
      <c r="C8" s="469" t="inlineStr">
        <is>
          <t>FY27E</t>
        </is>
      </c>
      <c r="D8" s="469" t="inlineStr">
        <is>
          <t>FY28E</t>
        </is>
      </c>
      <c r="E8" s="469" t="inlineStr">
        <is>
          <t>FY29E</t>
        </is>
      </c>
      <c r="F8" s="469" t="inlineStr">
        <is>
          <t>FY30E</t>
        </is>
      </c>
      <c r="G8" s="469" t="inlineStr">
        <is>
          <t>FY31E</t>
        </is>
      </c>
      <c r="H8" s="469" t="inlineStr">
        <is>
          <t>FY32E</t>
        </is>
      </c>
      <c r="I8" s="469" t="inlineStr">
        <is>
          <t>FY33E</t>
        </is>
      </c>
      <c r="J8" s="286" t="inlineStr">
        <is>
          <t>Audit Code</t>
        </is>
      </c>
    </row>
    <row r="9" ht="15" customHeight="1" thickTop="1">
      <c r="A9" s="206" t="inlineStr">
        <is>
          <t>Domestic HRC Price (₹/t)</t>
        </is>
      </c>
      <c r="B9" s="793">
        <f>C74</f>
        <v/>
      </c>
      <c r="C9" s="505">
        <f>$B$9*D72/$C$72</f>
        <v/>
      </c>
      <c r="D9" s="505">
        <f>$B$9*E72/$C$72</f>
        <v/>
      </c>
      <c r="E9" s="505">
        <f>$B$9*F72/$C$72</f>
        <v/>
      </c>
      <c r="F9" s="505">
        <f>$B$9*G72/$C$72</f>
        <v/>
      </c>
      <c r="G9" s="505">
        <f>$B$9*H72/$C$72</f>
        <v/>
      </c>
      <c r="H9" s="505">
        <f>$B$9*I72/$C$72</f>
        <v/>
      </c>
      <c r="I9" s="505">
        <f>$B$9*J72/$C$72</f>
        <v/>
      </c>
      <c r="J9" s="806" t="inlineStr">
        <is>
          <t>SP01</t>
        </is>
      </c>
    </row>
    <row r="10">
      <c r="A10" s="207" t="inlineStr">
        <is>
          <t>Steel Price Growth (%)</t>
        </is>
      </c>
      <c r="B10" s="414" t="n"/>
      <c r="C10" s="1515">
        <f>(D72-C72)/C72</f>
        <v/>
      </c>
      <c r="D10" s="1515">
        <f>(E72-D72)/D72</f>
        <v/>
      </c>
      <c r="E10" s="1515">
        <f>(F72-E72)/E72</f>
        <v/>
      </c>
      <c r="F10" s="1515">
        <f>(G72-F72)/F72</f>
        <v/>
      </c>
      <c r="G10" s="1515">
        <f>(H72-G72)/G72</f>
        <v/>
      </c>
      <c r="H10" s="1515">
        <f>(I72-H72)/H72</f>
        <v/>
      </c>
      <c r="I10" s="1515">
        <f>(J72-I72)/I72</f>
        <v/>
      </c>
      <c r="J10" s="807" t="inlineStr">
        <is>
          <t>SP02</t>
        </is>
      </c>
    </row>
    <row r="11">
      <c r="A11" s="207" t="inlineStr">
        <is>
          <t>Blened Steel ASP</t>
        </is>
      </c>
      <c r="B11" s="560">
        <f>$C$72</f>
        <v/>
      </c>
      <c r="C11" s="560">
        <f>$D$72</f>
        <v/>
      </c>
      <c r="D11" s="560">
        <f>$E$72</f>
        <v/>
      </c>
      <c r="E11" s="560">
        <f>$F$72</f>
        <v/>
      </c>
      <c r="F11" s="560">
        <f>$G$72</f>
        <v/>
      </c>
      <c r="G11" s="560">
        <f>$H$72</f>
        <v/>
      </c>
      <c r="H11" s="560">
        <f>$I$72</f>
        <v/>
      </c>
      <c r="I11" s="560">
        <f>$J$72</f>
        <v/>
      </c>
      <c r="J11" s="1573" t="inlineStr">
        <is>
          <t>SP03</t>
        </is>
      </c>
    </row>
    <row r="12">
      <c r="A12" s="207" t="inlineStr">
        <is>
          <t>Price Index (FY26=100)</t>
        </is>
      </c>
      <c r="B12" s="1487">
        <f>B11/B11*100</f>
        <v/>
      </c>
      <c r="C12" s="1487">
        <f>C11/$B$11*100</f>
        <v/>
      </c>
      <c r="D12" s="1487">
        <f>D11/$B$11*100</f>
        <v/>
      </c>
      <c r="E12" s="1487">
        <f>E11/$B$11*100</f>
        <v/>
      </c>
      <c r="F12" s="1487">
        <f>F11/$B$11*100</f>
        <v/>
      </c>
      <c r="G12" s="1487">
        <f>G11/$B$11*100</f>
        <v/>
      </c>
      <c r="H12" s="1487">
        <f>H11/$B$11*100</f>
        <v/>
      </c>
      <c r="I12" s="1487">
        <f>I11/$B$11*100</f>
        <v/>
      </c>
      <c r="J12" s="807" t="inlineStr">
        <is>
          <t>SP04</t>
        </is>
      </c>
    </row>
    <row r="13" ht="15" customHeight="1" thickBot="1">
      <c r="A13" s="208" t="inlineStr">
        <is>
          <t>Real Price Growth (%)</t>
        </is>
      </c>
      <c r="B13" s="504" t="n"/>
      <c r="C13" s="1574">
        <f>IFERROR((1+C10)/(1+'Model Assumptions'!E$11)-1,"")</f>
        <v/>
      </c>
      <c r="D13" s="1574">
        <f>IFERROR((1+D10)/(1+'Model Assumptions'!F$11)-1,"")</f>
        <v/>
      </c>
      <c r="E13" s="1574">
        <f>IFERROR((1+E10)/(1+'Model Assumptions'!G$11)-1,"")</f>
        <v/>
      </c>
      <c r="F13" s="1574">
        <f>IFERROR((1+F10)/(1+'Model Assumptions'!H$11)-1,"")</f>
        <v/>
      </c>
      <c r="G13" s="1574">
        <f>IFERROR((1+G10)/(1+'Model Assumptions'!I$11)-1,"")</f>
        <v/>
      </c>
      <c r="H13" s="1574">
        <f>IFERROR((1+H10)/(1+'Model Assumptions'!J$11)-1,"")</f>
        <v/>
      </c>
      <c r="I13" s="1574">
        <f>IFERROR((1+I10)/(1+'Model Assumptions'!K$11)-1,"")</f>
        <v/>
      </c>
      <c r="J13" s="1575" t="inlineStr">
        <is>
          <t>SP05</t>
        </is>
      </c>
    </row>
    <row r="14">
      <c r="A14" s="1217" t="n"/>
      <c r="B14" s="1217" t="n"/>
      <c r="C14" s="489" t="n"/>
      <c r="D14" s="489" t="n"/>
      <c r="E14" s="489" t="n"/>
      <c r="F14" s="489" t="n"/>
      <c r="G14" s="489" t="n"/>
      <c r="H14" s="489" t="n"/>
      <c r="I14" s="489" t="n"/>
      <c r="J14" s="489" t="n"/>
    </row>
    <row r="15">
      <c r="A15" s="1217" t="n"/>
      <c r="B15" s="1217" t="n"/>
      <c r="C15" s="489" t="n"/>
      <c r="D15" s="489" t="n"/>
      <c r="E15" s="489" t="n"/>
      <c r="F15" s="489" t="n"/>
      <c r="G15" s="489" t="n"/>
      <c r="H15" s="489" t="n"/>
      <c r="I15" s="489" t="n"/>
      <c r="J15" s="489" t="n"/>
    </row>
    <row r="16" ht="16.2" customHeight="1" thickBot="1">
      <c r="A16" s="1137" t="inlineStr">
        <is>
          <t>Steel Price Forecast by Product.</t>
        </is>
      </c>
      <c r="J16" s="489" t="n"/>
    </row>
    <row r="17" ht="15" customHeight="1" thickBot="1">
      <c r="A17" s="284" t="inlineStr">
        <is>
          <t>Year</t>
        </is>
      </c>
      <c r="B17" s="469" t="inlineStr">
        <is>
          <t>FY26A</t>
        </is>
      </c>
      <c r="C17" s="469" t="inlineStr">
        <is>
          <t>FY27E</t>
        </is>
      </c>
      <c r="D17" s="469" t="inlineStr">
        <is>
          <t>FY28E</t>
        </is>
      </c>
      <c r="E17" s="469" t="inlineStr">
        <is>
          <t>FY29E</t>
        </is>
      </c>
      <c r="F17" s="469" t="inlineStr">
        <is>
          <t>FY30E</t>
        </is>
      </c>
      <c r="G17" s="469" t="inlineStr">
        <is>
          <t>FY31E</t>
        </is>
      </c>
      <c r="H17" s="469" t="inlineStr">
        <is>
          <t>FY32E</t>
        </is>
      </c>
      <c r="I17" s="469" t="inlineStr">
        <is>
          <t>FY33E</t>
        </is>
      </c>
      <c r="J17" s="286" t="inlineStr">
        <is>
          <t>Audit Code</t>
        </is>
      </c>
    </row>
    <row r="18" ht="15" customHeight="1" thickTop="1">
      <c r="A18" s="206" t="inlineStr">
        <is>
          <t>HRC</t>
        </is>
      </c>
      <c r="B18" s="793">
        <f>$B$9</f>
        <v/>
      </c>
      <c r="C18" s="505">
        <f>$B$18*D72/$C$72</f>
        <v/>
      </c>
      <c r="D18" s="505">
        <f>$B$18*E72/$C$72</f>
        <v/>
      </c>
      <c r="E18" s="505">
        <f>$B$18*F72/$C$72</f>
        <v/>
      </c>
      <c r="F18" s="505">
        <f>$B$18*G72/$C$72</f>
        <v/>
      </c>
      <c r="G18" s="502">
        <f>$B$18*H72/$C$72</f>
        <v/>
      </c>
      <c r="H18" s="502">
        <f>$B$18*I72/$C$72</f>
        <v/>
      </c>
      <c r="I18" s="502">
        <f>$B$18*J72/$C$72</f>
        <v/>
      </c>
      <c r="J18" s="806" t="inlineStr">
        <is>
          <t>SP06</t>
        </is>
      </c>
    </row>
    <row r="19">
      <c r="A19" s="207" t="inlineStr">
        <is>
          <t>CRC</t>
        </is>
      </c>
      <c r="B19" s="1576">
        <f>'[1]Steel Prices'!$H$7</f>
        <v/>
      </c>
      <c r="C19" s="1577">
        <f>$B$19*C11/$B$11</f>
        <v/>
      </c>
      <c r="D19" s="1577">
        <f>$B$19*D11/$B$11</f>
        <v/>
      </c>
      <c r="E19" s="1577">
        <f>$B$19*E11/$B$11</f>
        <v/>
      </c>
      <c r="F19" s="1577">
        <f>$B$19*F11/$B$11</f>
        <v/>
      </c>
      <c r="G19" s="1577">
        <f>$B$19*G11/$B$11</f>
        <v/>
      </c>
      <c r="H19" s="1577">
        <f>$B$19*H11/$B$11</f>
        <v/>
      </c>
      <c r="I19" s="1577">
        <f>$B$19*I11/$B$11</f>
        <v/>
      </c>
      <c r="J19" s="807" t="inlineStr">
        <is>
          <t>SP07</t>
        </is>
      </c>
    </row>
    <row r="20">
      <c r="A20" s="207" t="inlineStr">
        <is>
          <t>Rebar</t>
        </is>
      </c>
      <c r="B20" s="797">
        <f>'[1]Steel Prices'!$H$8</f>
        <v/>
      </c>
      <c r="C20" s="508">
        <f>$B$20*D72/$C$72</f>
        <v/>
      </c>
      <c r="D20" s="508">
        <f>$B$20*E72/$C$72</f>
        <v/>
      </c>
      <c r="E20" s="508">
        <f>$B$20*F72/$C$72</f>
        <v/>
      </c>
      <c r="F20" s="508">
        <f>$B$20*G72/$C$72</f>
        <v/>
      </c>
      <c r="G20" s="510">
        <f>$B$20*H72/$C$72</f>
        <v/>
      </c>
      <c r="H20" s="510">
        <f>$B$20*I72/$C$72</f>
        <v/>
      </c>
      <c r="I20" s="510">
        <f>$B$20*J72/$C$72</f>
        <v/>
      </c>
      <c r="J20" s="806" t="inlineStr">
        <is>
          <t>SP08</t>
        </is>
      </c>
    </row>
    <row r="21">
      <c r="A21" s="207" t="inlineStr">
        <is>
          <t>Wire Rod</t>
        </is>
      </c>
      <c r="B21" s="1576">
        <f>'[1]Steel Prices'!$H$9</f>
        <v/>
      </c>
      <c r="C21" s="1577">
        <f>$B$21*C11/$B$11</f>
        <v/>
      </c>
      <c r="D21" s="1577">
        <f>$B$21*D11/$B$11</f>
        <v/>
      </c>
      <c r="E21" s="1577">
        <f>$B$21*E11/$B$11</f>
        <v/>
      </c>
      <c r="F21" s="1577">
        <f>$B$21*F11/$B$11</f>
        <v/>
      </c>
      <c r="G21" s="1577">
        <f>$B$21*G11/$B$11</f>
        <v/>
      </c>
      <c r="H21" s="1577">
        <f>$B$21*H11/$B$11</f>
        <v/>
      </c>
      <c r="I21" s="1577">
        <f>$B$21*I11/$B$11</f>
        <v/>
      </c>
      <c r="J21" s="807" t="inlineStr">
        <is>
          <t>SP09</t>
        </is>
      </c>
    </row>
    <row r="22">
      <c r="A22" s="207" t="inlineStr">
        <is>
          <t>Plates</t>
        </is>
      </c>
      <c r="B22" s="1576">
        <f>'[1]Steel Prices'!$H$10</f>
        <v/>
      </c>
      <c r="C22" s="1577">
        <f>$B$22*C11/$B$11</f>
        <v/>
      </c>
      <c r="D22" s="1577">
        <f>$B$22*D11/$B$11</f>
        <v/>
      </c>
      <c r="E22" s="1577">
        <f>$B$22*E11/$B$11</f>
        <v/>
      </c>
      <c r="F22" s="1577">
        <f>$B$22*F11/$B$11</f>
        <v/>
      </c>
      <c r="G22" s="1577">
        <f>$B$22*G11/$B$11</f>
        <v/>
      </c>
      <c r="H22" s="1577">
        <f>$B$22*H11/$B$11</f>
        <v/>
      </c>
      <c r="I22" s="1577">
        <f>$B$22*I11/$B$11</f>
        <v/>
      </c>
      <c r="J22" s="806" t="inlineStr">
        <is>
          <t>SP10</t>
        </is>
      </c>
    </row>
    <row r="23">
      <c r="A23" s="207" t="inlineStr">
        <is>
          <t>Billets</t>
        </is>
      </c>
      <c r="B23" s="797">
        <f>'[1]Steel Prices'!$H$11</f>
        <v/>
      </c>
      <c r="C23" s="508">
        <f>$B$23*D72/$C$72</f>
        <v/>
      </c>
      <c r="D23" s="508">
        <f>$B$23*E72/$C$72</f>
        <v/>
      </c>
      <c r="E23" s="508">
        <f>$B$23*F72/$C$72</f>
        <v/>
      </c>
      <c r="F23" s="508">
        <f>$B$23*G72/$C$72</f>
        <v/>
      </c>
      <c r="G23" s="510">
        <f>$B$23*H72/$C$72</f>
        <v/>
      </c>
      <c r="H23" s="510">
        <f>$B$23*I72/$C$72</f>
        <v/>
      </c>
      <c r="I23" s="510">
        <f>$B$23*J72/$C$72</f>
        <v/>
      </c>
      <c r="J23" s="807" t="inlineStr">
        <is>
          <t>SP11</t>
        </is>
      </c>
    </row>
    <row r="24" ht="15" customHeight="1" thickBot="1">
      <c r="A24" s="208" t="inlineStr">
        <is>
          <t>Avg Industry ASP</t>
        </is>
      </c>
      <c r="B24" s="795">
        <f>$C$72</f>
        <v/>
      </c>
      <c r="C24" s="795">
        <f>$D$72</f>
        <v/>
      </c>
      <c r="D24" s="795">
        <f>$E$72</f>
        <v/>
      </c>
      <c r="E24" s="795">
        <f>$F$72</f>
        <v/>
      </c>
      <c r="F24" s="795">
        <f>$G$72</f>
        <v/>
      </c>
      <c r="G24" s="795">
        <f>$H$72</f>
        <v/>
      </c>
      <c r="H24" s="795">
        <f>$I$72</f>
        <v/>
      </c>
      <c r="I24" s="795">
        <f>$J$72</f>
        <v/>
      </c>
      <c r="J24" s="806" t="inlineStr">
        <is>
          <t>SP12</t>
        </is>
      </c>
    </row>
    <row r="25">
      <c r="A25" s="1217" t="n"/>
      <c r="B25" s="794" t="n"/>
      <c r="C25" s="489" t="n"/>
      <c r="D25" s="489" t="n"/>
      <c r="E25" s="489" t="n"/>
      <c r="F25" s="489" t="n"/>
      <c r="G25" s="489" t="n"/>
      <c r="H25" s="489" t="n"/>
      <c r="I25" s="489" t="n"/>
      <c r="J25" s="489" t="n"/>
    </row>
    <row r="26">
      <c r="A26" s="1217" t="n"/>
      <c r="B26" s="1217" t="n"/>
      <c r="C26" s="489" t="n"/>
      <c r="D26" s="489" t="n"/>
      <c r="E26" s="489" t="n"/>
      <c r="F26" s="489" t="n"/>
      <c r="G26" s="489" t="n"/>
      <c r="H26" s="489" t="n"/>
      <c r="I26" s="489" t="n"/>
      <c r="J26" s="489" t="n"/>
    </row>
    <row r="27" ht="15.6" customHeight="1">
      <c r="A27" s="1137" t="inlineStr">
        <is>
          <t>Selling Cost &amp; Realisation Bridge (₹/t)</t>
        </is>
      </c>
      <c r="C27" s="787" t="n"/>
      <c r="D27" s="787" t="n"/>
      <c r="E27" s="787" t="n"/>
      <c r="F27" s="787" t="n"/>
      <c r="G27" s="787" t="n"/>
      <c r="H27" s="787" t="n"/>
      <c r="I27" s="787" t="n"/>
      <c r="J27" s="489" t="n"/>
    </row>
    <row r="28" ht="15" customHeight="1" thickBot="1">
      <c r="A28" s="516" t="inlineStr">
        <is>
          <t>Item</t>
        </is>
      </c>
      <c r="B28" s="517" t="inlineStr">
        <is>
          <t>FY26A</t>
        </is>
      </c>
      <c r="C28" s="517" t="inlineStr">
        <is>
          <t>FY27E</t>
        </is>
      </c>
      <c r="D28" s="517" t="inlineStr">
        <is>
          <t>FY28E</t>
        </is>
      </c>
      <c r="E28" s="517" t="inlineStr">
        <is>
          <t>FY29E</t>
        </is>
      </c>
      <c r="F28" s="517" t="inlineStr">
        <is>
          <t>FY30E</t>
        </is>
      </c>
      <c r="G28" s="517" t="inlineStr">
        <is>
          <t>FY31E</t>
        </is>
      </c>
      <c r="H28" s="517" t="inlineStr">
        <is>
          <t>FY32E</t>
        </is>
      </c>
      <c r="I28" s="517" t="inlineStr">
        <is>
          <t>FY33E</t>
        </is>
      </c>
      <c r="J28" s="879" t="inlineStr">
        <is>
          <t>Audit Code</t>
        </is>
      </c>
    </row>
    <row r="29" ht="15" customHeight="1" thickTop="1">
      <c r="A29" s="1206" t="inlineStr">
        <is>
          <t>Iron Ore</t>
        </is>
      </c>
      <c r="B29" s="1578">
        <f>'Raw Material Forecast'!C65</f>
        <v/>
      </c>
      <c r="C29" s="1578">
        <f>'Raw Material Forecast'!D65</f>
        <v/>
      </c>
      <c r="D29" s="1578">
        <f>'Raw Material Forecast'!E65</f>
        <v/>
      </c>
      <c r="E29" s="1578">
        <f>'Raw Material Forecast'!F65</f>
        <v/>
      </c>
      <c r="F29" s="1578">
        <f>'Raw Material Forecast'!G65</f>
        <v/>
      </c>
      <c r="G29" s="1578">
        <f>'Raw Material Forecast'!H65</f>
        <v/>
      </c>
      <c r="H29" s="1578">
        <f>'Raw Material Forecast'!I65</f>
        <v/>
      </c>
      <c r="I29" s="1578">
        <f>'Raw Material Forecast'!J65</f>
        <v/>
      </c>
      <c r="J29" s="880" t="inlineStr">
        <is>
          <t>SP13</t>
        </is>
      </c>
    </row>
    <row r="30">
      <c r="A30" s="1199" t="inlineStr">
        <is>
          <t>Coking Coal</t>
        </is>
      </c>
      <c r="B30" s="1579">
        <f>'Raw Material Forecast'!C66</f>
        <v/>
      </c>
      <c r="C30" s="1579">
        <f>'Raw Material Forecast'!D66</f>
        <v/>
      </c>
      <c r="D30" s="1579">
        <f>'Raw Material Forecast'!E66</f>
        <v/>
      </c>
      <c r="E30" s="1579">
        <f>'Raw Material Forecast'!F66</f>
        <v/>
      </c>
      <c r="F30" s="1579">
        <f>'Raw Material Forecast'!G66</f>
        <v/>
      </c>
      <c r="G30" s="1579">
        <f>'Raw Material Forecast'!H66</f>
        <v/>
      </c>
      <c r="H30" s="1579">
        <f>'Raw Material Forecast'!I66</f>
        <v/>
      </c>
      <c r="I30" s="1579">
        <f>'Raw Material Forecast'!J66</f>
        <v/>
      </c>
      <c r="J30" s="876" t="inlineStr">
        <is>
          <t>SP14</t>
        </is>
      </c>
    </row>
    <row r="31">
      <c r="A31" s="1199" t="inlineStr">
        <is>
          <t>Fluxes</t>
        </is>
      </c>
      <c r="B31" s="1580" t="n"/>
      <c r="C31" s="1581" t="n"/>
      <c r="D31" s="1582" t="n"/>
      <c r="E31" s="1582" t="n"/>
      <c r="F31" s="1582" t="n"/>
      <c r="G31" s="1582" t="n"/>
      <c r="H31" s="1582" t="n"/>
      <c r="I31" s="1582" t="n"/>
      <c r="J31" s="880" t="inlineStr">
        <is>
          <t>SP15</t>
        </is>
      </c>
    </row>
    <row r="32">
      <c r="A32" s="1199" t="inlineStr">
        <is>
          <t>Power</t>
        </is>
      </c>
      <c r="B32" s="1583" t="n"/>
      <c r="C32" s="1581" t="n"/>
      <c r="D32" s="1582" t="n"/>
      <c r="E32" s="1582" t="n"/>
      <c r="F32" s="1582" t="n"/>
      <c r="G32" s="1582" t="n"/>
      <c r="H32" s="1582" t="n"/>
      <c r="I32" s="1582" t="n"/>
      <c r="J32" s="876" t="inlineStr">
        <is>
          <t>SP16</t>
        </is>
      </c>
    </row>
    <row r="33">
      <c r="A33" s="1199" t="inlineStr">
        <is>
          <t>Logistics</t>
        </is>
      </c>
      <c r="B33" s="1583" t="n"/>
      <c r="C33" s="1581" t="n"/>
      <c r="D33" s="1582" t="n"/>
      <c r="E33" s="1582" t="n"/>
      <c r="F33" s="1582" t="n"/>
      <c r="G33" s="1582" t="n"/>
      <c r="H33" s="1582" t="n"/>
      <c r="I33" s="1582" t="n"/>
      <c r="J33" s="880" t="inlineStr">
        <is>
          <t>SP17</t>
        </is>
      </c>
    </row>
    <row r="34">
      <c r="A34" s="1199" t="inlineStr">
        <is>
          <t>Conversion Cost</t>
        </is>
      </c>
      <c r="B34" s="1580">
        <f>B31+B32+B33</f>
        <v/>
      </c>
      <c r="C34" s="1580">
        <f>C31+C32+C33</f>
        <v/>
      </c>
      <c r="D34" s="1580">
        <f>D31+D32+D33</f>
        <v/>
      </c>
      <c r="E34" s="1580">
        <f>E31+E32+E33</f>
        <v/>
      </c>
      <c r="F34" s="1580">
        <f>F31+F32+F33</f>
        <v/>
      </c>
      <c r="G34" s="1580">
        <f>G31+G32+G33</f>
        <v/>
      </c>
      <c r="H34" s="1580">
        <f>H31+H32+H33</f>
        <v/>
      </c>
      <c r="I34" s="1580">
        <f>I31+I32+I33</f>
        <v/>
      </c>
      <c r="J34" s="876" t="inlineStr">
        <is>
          <t>SP18</t>
        </is>
      </c>
    </row>
    <row r="35">
      <c r="A35" s="1199" t="inlineStr">
        <is>
          <t>Cash Cost</t>
        </is>
      </c>
      <c r="B35" s="1584">
        <f>B29+B30+B34</f>
        <v/>
      </c>
      <c r="C35" s="1584">
        <f>C29+C30+C34</f>
        <v/>
      </c>
      <c r="D35" s="1584">
        <f>D29+D30+D34</f>
        <v/>
      </c>
      <c r="E35" s="1584">
        <f>E29+E30+E34</f>
        <v/>
      </c>
      <c r="F35" s="1584">
        <f>F29+F30+F34</f>
        <v/>
      </c>
      <c r="G35" s="1584">
        <f>G29+G30+G34</f>
        <v/>
      </c>
      <c r="H35" s="1584">
        <f>H29+H30+H34</f>
        <v/>
      </c>
      <c r="I35" s="1584">
        <f>I29+I30+I34</f>
        <v/>
      </c>
      <c r="J35" s="880" t="inlineStr">
        <is>
          <t>SP19</t>
        </is>
      </c>
    </row>
    <row r="36">
      <c r="A36" s="1199" t="inlineStr">
        <is>
          <t>Base Realisation</t>
        </is>
      </c>
      <c r="B36" s="1579">
        <f>C66</f>
        <v/>
      </c>
      <c r="C36" s="1579">
        <f>D66</f>
        <v/>
      </c>
      <c r="D36" s="1579">
        <f>E66</f>
        <v/>
      </c>
      <c r="E36" s="1579">
        <f>F66</f>
        <v/>
      </c>
      <c r="F36" s="1579">
        <f>G66</f>
        <v/>
      </c>
      <c r="G36" s="1579">
        <f>H66</f>
        <v/>
      </c>
      <c r="H36" s="1579">
        <f>I66</f>
        <v/>
      </c>
      <c r="I36" s="1579">
        <f>J66</f>
        <v/>
      </c>
      <c r="J36" s="876" t="inlineStr">
        <is>
          <t>SP20</t>
        </is>
      </c>
    </row>
    <row r="37">
      <c r="A37" s="1199" t="inlineStr">
        <is>
          <t>Utilisation Adjustment</t>
        </is>
      </c>
      <c r="B37" s="1584">
        <f>B38-B36</f>
        <v/>
      </c>
      <c r="C37" s="1584">
        <f>C38-C36</f>
        <v/>
      </c>
      <c r="D37" s="1584">
        <f>D38-D36</f>
        <v/>
      </c>
      <c r="E37" s="1584">
        <f>E38-E36</f>
        <v/>
      </c>
      <c r="F37" s="1584">
        <f>F38-F36</f>
        <v/>
      </c>
      <c r="G37" s="1584">
        <f>G38-G36</f>
        <v/>
      </c>
      <c r="H37" s="1584">
        <f>H38-H36</f>
        <v/>
      </c>
      <c r="I37" s="1584">
        <f>I38-I36</f>
        <v/>
      </c>
      <c r="J37" s="880" t="inlineStr">
        <is>
          <t>SP21</t>
        </is>
      </c>
    </row>
    <row r="38">
      <c r="A38" s="1199" t="inlineStr">
        <is>
          <t>Effective Realisation</t>
        </is>
      </c>
      <c r="B38" s="1579">
        <f>C72</f>
        <v/>
      </c>
      <c r="C38" s="1579">
        <f>D72</f>
        <v/>
      </c>
      <c r="D38" s="1579">
        <f>E72</f>
        <v/>
      </c>
      <c r="E38" s="1579">
        <f>F72</f>
        <v/>
      </c>
      <c r="F38" s="1579">
        <f>G72</f>
        <v/>
      </c>
      <c r="G38" s="1579">
        <f>H72</f>
        <v/>
      </c>
      <c r="H38" s="1579">
        <f>I72</f>
        <v/>
      </c>
      <c r="I38" s="1579">
        <f>J72</f>
        <v/>
      </c>
      <c r="J38" s="876" t="inlineStr">
        <is>
          <t>SP22</t>
        </is>
      </c>
    </row>
    <row r="39">
      <c r="A39" s="1199" t="inlineStr">
        <is>
          <t>EBITDA</t>
        </is>
      </c>
      <c r="B39" s="1584">
        <f>B38-B35</f>
        <v/>
      </c>
      <c r="C39" s="1584">
        <f>C38-C35</f>
        <v/>
      </c>
      <c r="D39" s="1584">
        <f>D38-D35</f>
        <v/>
      </c>
      <c r="E39" s="1584">
        <f>E38-E35</f>
        <v/>
      </c>
      <c r="F39" s="1584">
        <f>F38-F35</f>
        <v/>
      </c>
      <c r="G39" s="1584">
        <f>G38-G35</f>
        <v/>
      </c>
      <c r="H39" s="1584">
        <f>H38-H35</f>
        <v/>
      </c>
      <c r="I39" s="1584">
        <f>I38-I35</f>
        <v/>
      </c>
      <c r="J39" s="880" t="inlineStr">
        <is>
          <t>SP23</t>
        </is>
      </c>
    </row>
    <row r="40">
      <c r="A40" s="1199" t="inlineStr">
        <is>
          <t>EBITDA Margin</t>
        </is>
      </c>
      <c r="B40" s="523">
        <f>B39/B38</f>
        <v/>
      </c>
      <c r="C40" s="523">
        <f>C39/C38</f>
        <v/>
      </c>
      <c r="D40" s="523">
        <f>D39/D38</f>
        <v/>
      </c>
      <c r="E40" s="523">
        <f>E39/E38</f>
        <v/>
      </c>
      <c r="F40" s="523">
        <f>F39/F38</f>
        <v/>
      </c>
      <c r="G40" s="523">
        <f>G39/G38</f>
        <v/>
      </c>
      <c r="H40" s="523">
        <f>H39/H38</f>
        <v/>
      </c>
      <c r="I40" s="523">
        <f>I39/I38</f>
        <v/>
      </c>
      <c r="J40" s="876" t="inlineStr">
        <is>
          <t>SP24</t>
        </is>
      </c>
    </row>
    <row r="41">
      <c r="A41" s="1217" t="n"/>
      <c r="B41" s="1217" t="n"/>
      <c r="C41" s="489" t="n"/>
      <c r="D41" s="489" t="n"/>
      <c r="E41" s="489" t="n"/>
      <c r="F41" s="489" t="n"/>
      <c r="G41" s="489" t="n"/>
      <c r="H41" s="489" t="n"/>
      <c r="I41" s="489" t="n"/>
      <c r="J41" s="489" t="n"/>
    </row>
    <row r="42">
      <c r="A42" s="1217" t="n"/>
      <c r="B42" s="1217" t="n"/>
      <c r="C42" s="489" t="n"/>
      <c r="D42" s="489" t="n"/>
      <c r="E42" s="489" t="n"/>
      <c r="F42" s="489" t="n"/>
      <c r="G42" s="489" t="n"/>
      <c r="H42" s="489" t="n"/>
      <c r="I42" s="489" t="n"/>
      <c r="J42" s="489" t="n"/>
    </row>
    <row r="43" ht="16.2" customHeight="1" thickBot="1">
      <c r="A43" s="1203" t="inlineStr">
        <is>
          <t>International Price Comparison</t>
        </is>
      </c>
      <c r="B43" s="444" t="n"/>
      <c r="C43" s="444" t="n"/>
      <c r="D43" s="444" t="n"/>
      <c r="E43" s="444" t="n"/>
      <c r="F43" s="790" t="n"/>
      <c r="G43" s="489" t="n"/>
      <c r="H43" s="489" t="n"/>
      <c r="I43" s="489" t="n"/>
      <c r="J43" s="489" t="n"/>
    </row>
    <row r="44" ht="15.6" customHeight="1" thickBot="1" thickTop="1">
      <c r="A44" s="326" t="inlineStr">
        <is>
          <t>Region</t>
        </is>
      </c>
      <c r="B44" s="524" t="inlineStr">
        <is>
          <t>FY26A</t>
        </is>
      </c>
      <c r="C44" s="524" t="inlineStr">
        <is>
          <t>FY27E</t>
        </is>
      </c>
      <c r="D44" s="524" t="inlineStr">
        <is>
          <t>FY28E</t>
        </is>
      </c>
      <c r="E44" s="524" t="inlineStr">
        <is>
          <t>FY29E</t>
        </is>
      </c>
      <c r="F44" s="1274" t="inlineStr">
        <is>
          <t>Audit Code</t>
        </is>
      </c>
      <c r="G44" s="489" t="n"/>
      <c r="H44" s="489" t="n"/>
      <c r="I44" s="489" t="n"/>
      <c r="J44" s="489" t="n"/>
    </row>
    <row r="45" ht="15" customHeight="1" thickTop="1">
      <c r="A45" s="206" t="inlineStr">
        <is>
          <t>India</t>
        </is>
      </c>
      <c r="B45" s="507">
        <f>$B$9</f>
        <v/>
      </c>
      <c r="C45" s="505">
        <f>$B$9*D72/$C$72</f>
        <v/>
      </c>
      <c r="D45" s="505">
        <f>$B$9*E72/$C$72</f>
        <v/>
      </c>
      <c r="E45" s="505">
        <f>$B$9*F72/$C$72</f>
        <v/>
      </c>
      <c r="F45" s="876" t="inlineStr">
        <is>
          <t>SP25</t>
        </is>
      </c>
      <c r="G45" s="489" t="n"/>
      <c r="H45" s="489" t="n"/>
      <c r="I45" s="489" t="n"/>
      <c r="J45" s="489" t="n"/>
    </row>
    <row r="46">
      <c r="A46" s="207" t="inlineStr">
        <is>
          <t>China</t>
        </is>
      </c>
      <c r="B46" s="511" t="n">
        <v>48580</v>
      </c>
      <c r="C46" s="1287" t="n"/>
      <c r="D46" s="1287" t="n"/>
      <c r="E46" s="1287" t="n"/>
      <c r="F46" s="807" t="inlineStr">
        <is>
          <t>SP26</t>
        </is>
      </c>
      <c r="G46" s="489" t="n"/>
      <c r="H46" s="489" t="n"/>
      <c r="I46" s="489" t="n"/>
      <c r="J46" s="489" t="n"/>
    </row>
    <row r="47">
      <c r="A47" s="207" t="inlineStr">
        <is>
          <t>Japan</t>
        </is>
      </c>
      <c r="B47" s="1287" t="n"/>
      <c r="C47" s="1287" t="n"/>
      <c r="D47" s="1287" t="n"/>
      <c r="E47" s="1287" t="n"/>
      <c r="F47" s="876" t="inlineStr">
        <is>
          <t>SP27</t>
        </is>
      </c>
      <c r="G47" s="489" t="n"/>
      <c r="H47" s="489" t="n"/>
      <c r="I47" s="489" t="n"/>
      <c r="J47" s="489" t="n"/>
    </row>
    <row r="48">
      <c r="A48" s="207" t="inlineStr">
        <is>
          <t>Europe</t>
        </is>
      </c>
      <c r="B48" s="1287" t="n"/>
      <c r="C48" s="1287" t="n"/>
      <c r="D48" s="1287" t="n"/>
      <c r="E48" s="1287" t="n"/>
      <c r="F48" s="807" t="inlineStr">
        <is>
          <t>SP28</t>
        </is>
      </c>
      <c r="G48" s="489" t="n"/>
      <c r="H48" s="489" t="n"/>
      <c r="I48" s="489" t="n"/>
      <c r="J48" s="489" t="n"/>
    </row>
    <row r="49" ht="15" customHeight="1" thickBot="1">
      <c r="A49" s="208" t="inlineStr">
        <is>
          <t>USA</t>
        </is>
      </c>
      <c r="B49" s="270" t="n"/>
      <c r="C49" s="270" t="n"/>
      <c r="D49" s="270" t="n"/>
      <c r="E49" s="270" t="n"/>
      <c r="F49" s="876" t="inlineStr">
        <is>
          <t>SP29</t>
        </is>
      </c>
      <c r="G49" s="489" t="n"/>
      <c r="H49" s="489" t="n"/>
      <c r="I49" s="489" t="n"/>
      <c r="J49" s="489" t="n"/>
    </row>
    <row r="50">
      <c r="A50" s="177" t="n"/>
      <c r="B50" s="262" t="n"/>
      <c r="C50" s="262" t="n"/>
      <c r="D50" s="262" t="n"/>
      <c r="E50" s="262" t="n"/>
      <c r="F50" s="526" t="n"/>
      <c r="G50" s="489" t="n"/>
      <c r="H50" s="489" t="n"/>
      <c r="I50" s="489" t="n"/>
      <c r="J50" s="489" t="n"/>
    </row>
    <row r="51">
      <c r="A51" s="1217" t="n"/>
      <c r="B51" s="1217" t="n"/>
      <c r="C51" s="489" t="n"/>
      <c r="D51" s="489" t="n"/>
      <c r="E51" s="489" t="n"/>
      <c r="F51" s="489" t="n"/>
      <c r="G51" s="489" t="n"/>
      <c r="H51" s="489" t="n"/>
      <c r="I51" s="489" t="n"/>
      <c r="J51" s="489" t="n"/>
    </row>
    <row r="52" ht="16.2" customHeight="1" thickBot="1">
      <c r="A52" s="1203" t="inlineStr">
        <is>
          <t>Scenario Analysis</t>
        </is>
      </c>
      <c r="B52" s="444" t="n"/>
      <c r="C52" s="444" t="n"/>
      <c r="D52" s="444" t="n"/>
      <c r="E52" s="444" t="n"/>
      <c r="F52" s="489" t="n"/>
      <c r="G52" s="489" t="n"/>
      <c r="H52" s="489" t="n"/>
      <c r="I52" s="489" t="n"/>
      <c r="J52" s="489" t="n"/>
    </row>
    <row r="53" ht="15.6" customHeight="1" thickBot="1" thickTop="1">
      <c r="A53" s="328" t="inlineStr">
        <is>
          <t>Year</t>
        </is>
      </c>
      <c r="B53" s="503" t="inlineStr">
        <is>
          <t>Base</t>
        </is>
      </c>
      <c r="C53" s="536" t="inlineStr">
        <is>
          <t>Bull</t>
        </is>
      </c>
      <c r="D53" s="536" t="inlineStr">
        <is>
          <t>Bear</t>
        </is>
      </c>
      <c r="E53" s="537" t="inlineStr">
        <is>
          <t>Stress</t>
        </is>
      </c>
      <c r="F53" s="489" t="n"/>
      <c r="G53" s="489" t="n"/>
      <c r="H53" s="489" t="n"/>
      <c r="I53" s="489" t="n"/>
      <c r="J53" s="489" t="n"/>
    </row>
    <row r="54" ht="15" customHeight="1" thickTop="1">
      <c r="A54" s="206" t="inlineStr">
        <is>
          <t>FY27</t>
        </is>
      </c>
      <c r="B54" s="507" t="n"/>
      <c r="C54" s="507" t="n"/>
      <c r="D54" s="507" t="n"/>
      <c r="E54" s="509" t="n"/>
      <c r="F54" s="489" t="n"/>
      <c r="G54" s="489" t="n"/>
      <c r="H54" s="489" t="n"/>
      <c r="I54" s="489" t="n"/>
      <c r="J54" s="489" t="n"/>
    </row>
    <row r="55">
      <c r="A55" s="207" t="inlineStr">
        <is>
          <t>FY28</t>
        </is>
      </c>
      <c r="B55" s="506" t="n"/>
      <c r="C55" s="507" t="n"/>
      <c r="D55" s="507" t="n"/>
      <c r="E55" s="509" t="n"/>
      <c r="F55" s="489" t="n"/>
      <c r="G55" s="489" t="n"/>
      <c r="H55" s="489" t="n"/>
      <c r="I55" s="489" t="n"/>
      <c r="J55" s="489" t="n"/>
    </row>
    <row r="56">
      <c r="A56" s="207" t="inlineStr">
        <is>
          <t>FY29</t>
        </is>
      </c>
      <c r="B56" s="507" t="n"/>
      <c r="C56" s="507" t="n"/>
      <c r="D56" s="507" t="n"/>
      <c r="E56" s="509" t="n"/>
      <c r="F56" s="489" t="n"/>
      <c r="G56" s="489" t="n"/>
      <c r="H56" s="489" t="n"/>
      <c r="I56" s="489" t="n"/>
      <c r="J56" s="489" t="n"/>
    </row>
    <row r="57">
      <c r="A57" s="207" t="inlineStr">
        <is>
          <t>FY30</t>
        </is>
      </c>
      <c r="B57" s="506" t="n"/>
      <c r="C57" s="507" t="n"/>
      <c r="D57" s="507" t="n"/>
      <c r="E57" s="509" t="n"/>
      <c r="F57" s="489" t="n"/>
      <c r="G57" s="489" t="n"/>
      <c r="H57" s="489" t="n"/>
      <c r="I57" s="489" t="n"/>
      <c r="J57" s="489" t="n"/>
    </row>
    <row r="58">
      <c r="A58" s="207" t="inlineStr">
        <is>
          <t>FY31</t>
        </is>
      </c>
      <c r="B58" s="507" t="n"/>
      <c r="C58" s="507" t="n"/>
      <c r="D58" s="507" t="n"/>
      <c r="E58" s="509" t="n"/>
      <c r="F58" s="489" t="n"/>
      <c r="G58" s="489" t="n"/>
      <c r="H58" s="489" t="n"/>
      <c r="I58" s="489" t="n"/>
      <c r="J58" s="489" t="n"/>
    </row>
    <row r="59">
      <c r="A59" s="207" t="inlineStr">
        <is>
          <t>FY32</t>
        </is>
      </c>
      <c r="B59" s="506" t="n"/>
      <c r="C59" s="507" t="n"/>
      <c r="D59" s="507" t="n"/>
      <c r="E59" s="509" t="n"/>
      <c r="F59" s="489" t="n"/>
      <c r="G59" s="489" t="n"/>
      <c r="H59" s="489" t="n"/>
      <c r="I59" s="489" t="n"/>
      <c r="J59" s="489" t="n"/>
    </row>
    <row r="60" ht="15" customHeight="1" thickBot="1">
      <c r="A60" s="208" t="inlineStr">
        <is>
          <t>FY33</t>
        </is>
      </c>
      <c r="B60" s="512" t="n"/>
      <c r="C60" s="512" t="n"/>
      <c r="D60" s="512" t="n"/>
      <c r="E60" s="513" t="n"/>
      <c r="F60" s="489" t="n"/>
      <c r="G60" s="489" t="n"/>
      <c r="H60" s="489" t="n"/>
      <c r="I60" s="489" t="n"/>
      <c r="J60" s="489" t="n"/>
    </row>
    <row r="61">
      <c r="A61" s="1217" t="n"/>
      <c r="B61" s="1217" t="n"/>
      <c r="C61" s="489" t="n"/>
      <c r="D61" s="489" t="n"/>
      <c r="E61" s="489" t="n"/>
      <c r="F61" s="489" t="n"/>
      <c r="G61" s="489" t="n"/>
      <c r="H61" s="489" t="n"/>
      <c r="I61" s="489" t="n"/>
      <c r="J61" s="489" t="n"/>
    </row>
    <row r="62">
      <c r="A62" s="1217" t="n"/>
      <c r="B62" s="1217" t="n"/>
      <c r="C62" s="489" t="n"/>
      <c r="D62" s="489" t="n"/>
      <c r="E62" s="489" t="n"/>
      <c r="F62" s="489" t="n"/>
      <c r="G62" s="489" t="n"/>
      <c r="H62" s="489" t="n"/>
      <c r="I62" s="489" t="n"/>
      <c r="J62" s="489" t="n"/>
    </row>
    <row r="63" ht="15.6" customHeight="1">
      <c r="A63" s="1137" t="inlineStr">
        <is>
          <t>Workbook</t>
        </is>
      </c>
    </row>
    <row r="64">
      <c r="A64" s="1188" t="inlineStr">
        <is>
          <t>Line item</t>
        </is>
      </c>
      <c r="B64" s="269" t="inlineStr">
        <is>
          <t>Unit</t>
        </is>
      </c>
      <c r="C64" s="485" t="inlineStr">
        <is>
          <t>FY2026A</t>
        </is>
      </c>
      <c r="D64" s="485" t="inlineStr">
        <is>
          <t>FY2027E</t>
        </is>
      </c>
      <c r="E64" s="485" t="inlineStr">
        <is>
          <t>FY2028E</t>
        </is>
      </c>
      <c r="F64" s="485" t="inlineStr">
        <is>
          <t>FY2029E</t>
        </is>
      </c>
      <c r="G64" s="485" t="inlineStr">
        <is>
          <t>FY2030E</t>
        </is>
      </c>
      <c r="H64" s="485" t="inlineStr">
        <is>
          <t>FY2031E</t>
        </is>
      </c>
      <c r="I64" s="485" t="inlineStr">
        <is>
          <t>FY2032E</t>
        </is>
      </c>
      <c r="J64" s="485" t="inlineStr">
        <is>
          <t>FY2033E</t>
        </is>
      </c>
      <c r="K64" s="1237" t="inlineStr">
        <is>
          <t>Audit Code</t>
        </is>
      </c>
    </row>
    <row r="65">
      <c r="A65" s="1135" t="inlineStr">
        <is>
          <t>DRIVER REALISATION (before the utilisation feedback)</t>
        </is>
      </c>
      <c r="B65" s="1342" t="n"/>
      <c r="C65" s="1342" t="n"/>
      <c r="D65" s="1342" t="n"/>
      <c r="E65" s="1342" t="n"/>
      <c r="F65" s="1342" t="n"/>
      <c r="G65" s="1342" t="n"/>
      <c r="H65" s="1342" t="n"/>
      <c r="I65" s="1342" t="n"/>
      <c r="J65" s="1360" t="n"/>
      <c r="K65" s="876" t="n"/>
    </row>
    <row r="66">
      <c r="A66" s="1190" t="inlineStr">
        <is>
          <t>Blended realisation - scenario driver</t>
        </is>
      </c>
      <c r="B66" s="456" t="inlineStr">
        <is>
          <t>Rs/t</t>
        </is>
      </c>
      <c r="C66" s="1585">
        <f>'Model Assumptions'!D$16</f>
        <v/>
      </c>
      <c r="D66" s="1585">
        <f>'Model Assumptions'!E$16</f>
        <v/>
      </c>
      <c r="E66" s="1585">
        <f>'Model Assumptions'!F$16</f>
        <v/>
      </c>
      <c r="F66" s="1585">
        <f>'Model Assumptions'!G$16</f>
        <v/>
      </c>
      <c r="G66" s="1585">
        <f>'Model Assumptions'!H$16</f>
        <v/>
      </c>
      <c r="H66" s="1585">
        <f>'Model Assumptions'!I$16</f>
        <v/>
      </c>
      <c r="I66" s="1585">
        <f>'Model Assumptions'!J$16</f>
        <v/>
      </c>
      <c r="J66" s="1585">
        <f>'Model Assumptions'!K$16</f>
        <v/>
      </c>
      <c r="K66" s="876" t="inlineStr">
        <is>
          <t>SP31</t>
        </is>
      </c>
    </row>
    <row r="67">
      <c r="A67" s="1135" t="inlineStr">
        <is>
          <t>UTILISATION FEEDBACK (lagged one year - no circular reference)</t>
        </is>
      </c>
      <c r="B67" s="1342" t="n"/>
      <c r="C67" s="1342" t="n"/>
      <c r="D67" s="1342" t="n"/>
      <c r="E67" s="1342" t="n"/>
      <c r="F67" s="1342" t="n"/>
      <c r="G67" s="1342" t="n"/>
      <c r="H67" s="1342" t="n"/>
      <c r="I67" s="1342" t="n"/>
      <c r="J67" s="1360" t="n"/>
      <c r="K67" s="876" t="n"/>
    </row>
    <row r="68">
      <c r="A68" s="1190" t="inlineStr">
        <is>
          <t>Prior-year capacity utilisation</t>
        </is>
      </c>
      <c r="B68" s="456" t="inlineStr">
        <is>
          <t>%</t>
        </is>
      </c>
      <c r="C68" s="1512">
        <f>'Capacity Utilisation'!C$65</f>
        <v/>
      </c>
      <c r="D68" s="1512">
        <f>'Capacity Utilisation'!D$65</f>
        <v/>
      </c>
      <c r="E68" s="1512">
        <f>'Capacity Utilisation'!E$65</f>
        <v/>
      </c>
      <c r="F68" s="1512">
        <f>'Capacity Utilisation'!F$65</f>
        <v/>
      </c>
      <c r="G68" s="1512">
        <f>'Capacity Utilisation'!G$65</f>
        <v/>
      </c>
      <c r="H68" s="1512">
        <f>'Capacity Utilisation'!H$65</f>
        <v/>
      </c>
      <c r="I68" s="1512">
        <f>'Capacity Utilisation'!I$65</f>
        <v/>
      </c>
      <c r="J68" s="1512">
        <f>'Capacity Utilisation'!J$65</f>
        <v/>
      </c>
      <c r="K68" s="876" t="inlineStr">
        <is>
          <t>SP32</t>
        </is>
      </c>
    </row>
    <row r="69">
      <c r="A69" s="1190" t="inlineStr">
        <is>
          <t>Normal utilisation</t>
        </is>
      </c>
      <c r="B69" s="456" t="inlineStr">
        <is>
          <t>%</t>
        </is>
      </c>
      <c r="C69" s="1512">
        <f>'Model Assumptions'!D$31</f>
        <v/>
      </c>
      <c r="D69" s="1512">
        <f>'Model Assumptions'!E$31</f>
        <v/>
      </c>
      <c r="E69" s="1512">
        <f>'Model Assumptions'!F$31</f>
        <v/>
      </c>
      <c r="F69" s="1512">
        <f>'Model Assumptions'!G$31</f>
        <v/>
      </c>
      <c r="G69" s="1512">
        <f>'Model Assumptions'!H$31</f>
        <v/>
      </c>
      <c r="H69" s="1512">
        <f>'Model Assumptions'!I$31</f>
        <v/>
      </c>
      <c r="I69" s="1512">
        <f>'Model Assumptions'!J$31</f>
        <v/>
      </c>
      <c r="J69" s="1512">
        <f>'Model Assumptions'!K$31</f>
        <v/>
      </c>
      <c r="K69" s="876" t="inlineStr">
        <is>
          <t>SP33</t>
        </is>
      </c>
    </row>
    <row r="70">
      <c r="A70" s="1190" t="inlineStr">
        <is>
          <t>Price sensitivity to utilisation</t>
        </is>
      </c>
      <c r="B70" s="456" t="inlineStr">
        <is>
          <t>x</t>
        </is>
      </c>
      <c r="C70" s="1466">
        <f>'Model Assumptions'!D$30</f>
        <v/>
      </c>
      <c r="D70" s="1466">
        <f>'Model Assumptions'!E$30</f>
        <v/>
      </c>
      <c r="E70" s="1466">
        <f>'Model Assumptions'!F$30</f>
        <v/>
      </c>
      <c r="F70" s="1466">
        <f>'Model Assumptions'!G$30</f>
        <v/>
      </c>
      <c r="G70" s="1466">
        <f>'Model Assumptions'!H$30</f>
        <v/>
      </c>
      <c r="H70" s="1466">
        <f>'Model Assumptions'!I$30</f>
        <v/>
      </c>
      <c r="I70" s="1466">
        <f>'Model Assumptions'!J$30</f>
        <v/>
      </c>
      <c r="J70" s="1466">
        <f>'Model Assumptions'!K$30</f>
        <v/>
      </c>
      <c r="K70" s="876" t="inlineStr">
        <is>
          <t>SP34</t>
        </is>
      </c>
    </row>
    <row r="71">
      <c r="A71" s="1190" t="inlineStr">
        <is>
          <t>Price adjustment factor</t>
        </is>
      </c>
      <c r="B71" s="456" t="inlineStr">
        <is>
          <t>x</t>
        </is>
      </c>
      <c r="C71" s="1586" t="n">
        <v>1</v>
      </c>
      <c r="D71" s="1586">
        <f>1+D70*(D68-D69)</f>
        <v/>
      </c>
      <c r="E71" s="1586">
        <f>1+E70*(E68-E69)</f>
        <v/>
      </c>
      <c r="F71" s="1586">
        <f>1+F70*(F68-F69)</f>
        <v/>
      </c>
      <c r="G71" s="1586">
        <f>1+G70*(G68-G69)</f>
        <v/>
      </c>
      <c r="H71" s="1586">
        <f>1+H70*(H68-H69)</f>
        <v/>
      </c>
      <c r="I71" s="1586">
        <f>1+I70*(I68-I69)</f>
        <v/>
      </c>
      <c r="J71" s="1586">
        <f>1+J70*(J68-J69)</f>
        <v/>
      </c>
      <c r="K71" s="876" t="inlineStr">
        <is>
          <t>SP35</t>
        </is>
      </c>
    </row>
    <row r="72">
      <c r="A72" s="422" t="inlineStr">
        <is>
          <t>Blended realisation - effective</t>
        </is>
      </c>
      <c r="B72" s="456" t="inlineStr">
        <is>
          <t>Rs/t</t>
        </is>
      </c>
      <c r="C72" s="1587">
        <f>C66*C71</f>
        <v/>
      </c>
      <c r="D72" s="1587">
        <f>D66*D71</f>
        <v/>
      </c>
      <c r="E72" s="1587">
        <f>E66*E71</f>
        <v/>
      </c>
      <c r="F72" s="1587">
        <f>F66*F71</f>
        <v/>
      </c>
      <c r="G72" s="1587">
        <f>G66*G71</f>
        <v/>
      </c>
      <c r="H72" s="1587">
        <f>H66*H71</f>
        <v/>
      </c>
      <c r="I72" s="1587">
        <f>I66*I71</f>
        <v/>
      </c>
      <c r="J72" s="1587">
        <f>J66*J71</f>
        <v/>
      </c>
      <c r="K72" s="876" t="inlineStr">
        <is>
          <t>SP36</t>
        </is>
      </c>
    </row>
    <row r="73">
      <c r="A73" s="1135" t="inlineStr">
        <is>
          <t>REFERENCE PRICES AND POLICY</t>
        </is>
      </c>
      <c r="B73" s="1342" t="n"/>
      <c r="C73" s="1342" t="n"/>
      <c r="D73" s="1342" t="n"/>
      <c r="E73" s="1342" t="n"/>
      <c r="F73" s="1342" t="n"/>
      <c r="G73" s="1342" t="n"/>
      <c r="H73" s="1342" t="n"/>
      <c r="I73" s="1342" t="n"/>
      <c r="J73" s="1360" t="n"/>
      <c r="K73" s="261" t="n"/>
    </row>
    <row r="74">
      <c r="A74" s="1190" t="inlineStr">
        <is>
          <t>Memo: domestic HRC, end-Mar-2026 (ICRA)</t>
        </is>
      </c>
      <c r="B74" s="456" t="inlineStr">
        <is>
          <t>Rs/t</t>
        </is>
      </c>
      <c r="C74" s="1585">
        <f>'Model Calibration'!D31</f>
        <v/>
      </c>
      <c r="D74" s="490" t="n"/>
      <c r="E74" s="490" t="n"/>
      <c r="F74" s="490" t="n"/>
      <c r="G74" s="490" t="n"/>
      <c r="H74" s="490" t="n"/>
      <c r="I74" s="490" t="n"/>
      <c r="J74" s="490" t="n"/>
      <c r="K74" s="876" t="inlineStr">
        <is>
          <t>SP37</t>
        </is>
      </c>
    </row>
    <row r="75">
      <c r="A75" s="1190" t="inlineStr">
        <is>
          <t>Memo: HRC 52-week range to Jun-2026</t>
        </is>
      </c>
      <c r="B75" s="456" t="inlineStr">
        <is>
          <t>Rs/t</t>
        </is>
      </c>
      <c r="C75" s="490" t="n"/>
      <c r="D75" s="1260" t="inlineStr">
        <is>
          <t>Rs 45,700 - 59,600/t</t>
        </is>
      </c>
      <c r="E75" s="1360" t="n"/>
      <c r="F75" s="490" t="n"/>
      <c r="G75" s="490" t="n"/>
      <c r="H75" s="490" t="n"/>
      <c r="I75" s="490" t="n"/>
      <c r="J75" s="490" t="n"/>
      <c r="K75" s="876" t="inlineStr">
        <is>
          <t>SP38</t>
        </is>
      </c>
    </row>
    <row r="76">
      <c r="A76" s="1190" t="inlineStr">
        <is>
          <t>Safeguard duty on flat products</t>
        </is>
      </c>
      <c r="B76" s="456" t="inlineStr">
        <is>
          <t>%</t>
        </is>
      </c>
      <c r="C76" s="1588" t="n">
        <v>0.12</v>
      </c>
      <c r="D76" s="1588" t="n">
        <v>0.115</v>
      </c>
      <c r="E76" s="1588" t="n">
        <v>0.11</v>
      </c>
      <c r="F76" s="1588" t="n">
        <v>0</v>
      </c>
      <c r="G76" s="1588" t="n">
        <v>0</v>
      </c>
      <c r="H76" s="1588" t="n">
        <v>0</v>
      </c>
      <c r="I76" s="1588" t="n">
        <v>0</v>
      </c>
      <c r="J76" s="1588" t="n">
        <v>0</v>
      </c>
      <c r="K76" s="876" t="inlineStr">
        <is>
          <t>SP39</t>
        </is>
      </c>
    </row>
    <row r="78">
      <c r="A78" s="1240" t="inlineStr">
        <is>
          <t>The duty covers FLAT products only, which is why the database records primary rebar rising 25% against HRC's 18% between the Dec-2025 quarter and Mar-2026.</t>
        </is>
      </c>
    </row>
  </sheetData>
  <mergeCells count="16">
    <mergeCell ref="A7:I7"/>
    <mergeCell ref="A5:J5"/>
    <mergeCell ref="J3:K3"/>
    <mergeCell ref="A43:E43"/>
    <mergeCell ref="A2:E2"/>
    <mergeCell ref="A52:E52"/>
    <mergeCell ref="A67:J67"/>
    <mergeCell ref="A78:J78"/>
    <mergeCell ref="A63:K63"/>
    <mergeCell ref="A65:J65"/>
    <mergeCell ref="A73:J73"/>
    <mergeCell ref="A27:B27"/>
    <mergeCell ref="A1:K1"/>
    <mergeCell ref="D75:E75"/>
    <mergeCell ref="A16:I16"/>
    <mergeCell ref="H3:I3"/>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codeName="Sheet15">
    <tabColor rgb="FF002060"/>
    <outlinePr summaryBelow="1" summaryRight="1"/>
    <pageSetUpPr/>
  </sheetPr>
  <dimension ref="A1:S73"/>
  <sheetViews>
    <sheetView showGridLines="0" topLeftCell="A52" workbookViewId="0">
      <selection activeCell="D71" sqref="D71"/>
    </sheetView>
  </sheetViews>
  <sheetFormatPr baseColWidth="8" defaultRowHeight="14.4"/>
  <cols>
    <col width="32.109375" customWidth="1" min="1" max="1"/>
    <col width="12.44140625" customWidth="1" style="250" min="2" max="9"/>
    <col width="12.44140625" customWidth="1" min="10" max="15"/>
  </cols>
  <sheetData>
    <row r="1" ht="25.8" customHeight="1">
      <c r="A1" s="1150" t="inlineStr">
        <is>
          <t>RAW MATERIAL FORECAST</t>
        </is>
      </c>
    </row>
    <row r="2" ht="15" customHeight="1" thickBot="1">
      <c r="A2" s="1159" t="inlineStr">
        <is>
          <t>Industry Financial Model  |  Indian Steel Industry  |  Horizon FY2027E-FY2033E  |  Base year FY2026A</t>
        </is>
      </c>
    </row>
    <row r="3" ht="16.2" customHeight="1" thickBot="1">
      <c r="A3" s="1149" t="n"/>
      <c r="L3" s="1407" t="inlineStr">
        <is>
          <t>Active Scenario</t>
        </is>
      </c>
      <c r="M3" s="1401" t="n"/>
      <c r="N3" s="760">
        <f>'Control Panel'!$E$17</f>
        <v/>
      </c>
      <c r="O3" s="1354" t="n"/>
    </row>
    <row r="4">
      <c r="A4" s="1254" t="inlineStr">
        <is>
          <t>OBJECTIVE</t>
        </is>
      </c>
    </row>
    <row r="5">
      <c r="A5" s="1217" t="inlineStr">
        <is>
          <t>Forecast the cost and availability of key steelmaking raw materials and translate them into future production costs.</t>
        </is>
      </c>
    </row>
    <row r="6">
      <c r="A6" s="1217" t="n"/>
      <c r="B6" s="301" t="n"/>
      <c r="C6" s="301" t="n"/>
      <c r="D6" s="301" t="n"/>
      <c r="E6" s="301" t="n"/>
      <c r="F6" s="301" t="n"/>
      <c r="G6" s="301" t="n"/>
      <c r="H6" s="301" t="n"/>
      <c r="I6" s="301" t="n"/>
      <c r="J6" s="1217" t="n"/>
      <c r="K6" s="1217" t="n"/>
      <c r="L6" s="1217" t="n"/>
      <c r="M6" s="1217" t="n"/>
      <c r="N6" s="1217" t="n"/>
    </row>
    <row r="7" ht="16.2" customHeight="1" thickBot="1">
      <c r="A7" s="1203" t="inlineStr">
        <is>
          <t>Executive Summary</t>
        </is>
      </c>
      <c r="B7" s="444" t="n"/>
      <c r="C7" s="444" t="n"/>
      <c r="D7" s="444" t="n"/>
      <c r="E7" s="444" t="n"/>
      <c r="F7" s="444" t="n"/>
      <c r="G7" s="444" t="n"/>
      <c r="H7" s="444" t="n"/>
      <c r="I7" s="444" t="n"/>
      <c r="J7" s="528" t="n"/>
      <c r="K7" s="528" t="n"/>
      <c r="L7" s="528" t="n"/>
      <c r="M7" s="528" t="n"/>
      <c r="N7" s="528" t="n"/>
      <c r="O7" s="444" t="n"/>
    </row>
    <row r="8" ht="18" customHeight="1" thickBot="1" thickTop="1">
      <c r="A8" s="326" t="inlineStr">
        <is>
          <t>KPI</t>
        </is>
      </c>
      <c r="B8" s="524" t="inlineStr">
        <is>
          <t>FY21</t>
        </is>
      </c>
      <c r="C8" s="524" t="inlineStr">
        <is>
          <t>FY22</t>
        </is>
      </c>
      <c r="D8" s="524" t="inlineStr">
        <is>
          <t>FY23</t>
        </is>
      </c>
      <c r="E8" s="524" t="inlineStr">
        <is>
          <t>FY24</t>
        </is>
      </c>
      <c r="F8" s="524" t="inlineStr">
        <is>
          <t>FY25</t>
        </is>
      </c>
      <c r="G8" s="524" t="inlineStr">
        <is>
          <t>FY26A</t>
        </is>
      </c>
      <c r="H8" s="524" t="inlineStr">
        <is>
          <t>FY27E</t>
        </is>
      </c>
      <c r="I8" s="524" t="inlineStr">
        <is>
          <t>FY28E</t>
        </is>
      </c>
      <c r="J8" s="524" t="inlineStr">
        <is>
          <t>FY29E</t>
        </is>
      </c>
      <c r="K8" s="524" t="inlineStr">
        <is>
          <t>FY30E</t>
        </is>
      </c>
      <c r="L8" s="524" t="inlineStr">
        <is>
          <t>FY31E</t>
        </is>
      </c>
      <c r="M8" s="524" t="inlineStr">
        <is>
          <t>FY32E</t>
        </is>
      </c>
      <c r="N8" s="524" t="inlineStr">
        <is>
          <t>FY33E</t>
        </is>
      </c>
      <c r="O8" s="1274" t="inlineStr">
        <is>
          <t>Audit Code</t>
        </is>
      </c>
    </row>
    <row r="9" ht="15" customHeight="1" thickTop="1">
      <c r="A9" s="206" t="inlineStr">
        <is>
          <t>Iron Ore (₹/t)</t>
        </is>
      </c>
      <c r="B9" s="1589">
        <f>'[1]Raw Materials'!C$6*[1]Macroeconomic!C$8</f>
        <v/>
      </c>
      <c r="C9" s="1589">
        <f>'[1]Raw Materials'!D$6*[1]Macroeconomic!D$8</f>
        <v/>
      </c>
      <c r="D9" s="1589">
        <f>'[1]Raw Materials'!E$6*[1]Macroeconomic!E$8</f>
        <v/>
      </c>
      <c r="E9" s="1589">
        <f>'[1]Raw Materials'!F$6*[1]Macroeconomic!F$8</f>
        <v/>
      </c>
      <c r="F9" s="1589">
        <f>'[1]Raw Materials'!G$6*[1]Macroeconomic!G$8</f>
        <v/>
      </c>
      <c r="G9" s="1589">
        <f>'[1]Raw Materials'!H$6*[1]Macroeconomic!H$8</f>
        <v/>
      </c>
      <c r="H9" s="1590">
        <f>D65</f>
        <v/>
      </c>
      <c r="I9" s="1590">
        <f>E65</f>
        <v/>
      </c>
      <c r="J9" s="1590">
        <f>F65</f>
        <v/>
      </c>
      <c r="K9" s="1590">
        <f>G65</f>
        <v/>
      </c>
      <c r="L9" s="1590">
        <f>H65</f>
        <v/>
      </c>
      <c r="M9" s="1590">
        <f>I65</f>
        <v/>
      </c>
      <c r="N9" s="1590">
        <f>J65</f>
        <v/>
      </c>
      <c r="O9" s="806" t="inlineStr">
        <is>
          <t>RM01</t>
        </is>
      </c>
    </row>
    <row r="10">
      <c r="A10" s="207" t="inlineStr">
        <is>
          <t>Premium HCC Coal (₹/t)</t>
        </is>
      </c>
      <c r="B10" s="1591">
        <f>'[1]Raw Materials'!C$11*[1]Macroeconomic!C$8</f>
        <v/>
      </c>
      <c r="C10" s="1591">
        <f>'[1]Raw Materials'!D$11*[1]Macroeconomic!D$8</f>
        <v/>
      </c>
      <c r="D10" s="1591">
        <f>'[1]Raw Materials'!E$11*[1]Macroeconomic!E$8</f>
        <v/>
      </c>
      <c r="E10" s="1591">
        <f>'[1]Raw Materials'!F$11*[1]Macroeconomic!F$8</f>
        <v/>
      </c>
      <c r="F10" s="1591">
        <f>'[1]Raw Materials'!G$11*[1]Macroeconomic!G$8</f>
        <v/>
      </c>
      <c r="G10" s="1591">
        <f>'[1]Raw Materials'!H$11*[1]Macroeconomic!H$8</f>
        <v/>
      </c>
      <c r="H10" s="1592">
        <f>D66</f>
        <v/>
      </c>
      <c r="I10" s="1592">
        <f>E66</f>
        <v/>
      </c>
      <c r="J10" s="1592">
        <f>F66</f>
        <v/>
      </c>
      <c r="K10" s="1592">
        <f>G66</f>
        <v/>
      </c>
      <c r="L10" s="1592">
        <f>H66</f>
        <v/>
      </c>
      <c r="M10" s="1592">
        <f>I66</f>
        <v/>
      </c>
      <c r="N10" s="1592">
        <f>J66</f>
        <v/>
      </c>
      <c r="O10" s="807" t="inlineStr">
        <is>
          <t>RM02</t>
        </is>
      </c>
    </row>
    <row r="11">
      <c r="A11" s="207" t="inlineStr">
        <is>
          <t>PCI Coal (₹/t)</t>
        </is>
      </c>
      <c r="B11" s="1591">
        <f>'[1]Raw Materials'!C$12*[1]Macroeconomic!C$8</f>
        <v/>
      </c>
      <c r="C11" s="1591">
        <f>'[1]Raw Materials'!D$12*[1]Macroeconomic!D$8</f>
        <v/>
      </c>
      <c r="D11" s="1591">
        <f>'[1]Raw Materials'!E$12*[1]Macroeconomic!E$8</f>
        <v/>
      </c>
      <c r="E11" s="1591">
        <f>'[1]Raw Materials'!F$12*[1]Macroeconomic!F$8</f>
        <v/>
      </c>
      <c r="F11" s="1591">
        <f>'[1]Raw Materials'!G$12*[1]Macroeconomic!G$8</f>
        <v/>
      </c>
      <c r="G11" s="1591">
        <f>'[1]Raw Materials'!H$12*[1]Macroeconomic!H$8</f>
        <v/>
      </c>
      <c r="H11" s="1583">
        <f>H10*0.62</f>
        <v/>
      </c>
      <c r="I11" s="1583">
        <f>I10*0.62</f>
        <v/>
      </c>
      <c r="J11" s="1583">
        <f>J10*0.62</f>
        <v/>
      </c>
      <c r="K11" s="1583">
        <f>K10*0.62</f>
        <v/>
      </c>
      <c r="L11" s="1583">
        <f>L10*0.62</f>
        <v/>
      </c>
      <c r="M11" s="1583">
        <f>M10*0.62</f>
        <v/>
      </c>
      <c r="N11" s="1583">
        <f>N10*0.62</f>
        <v/>
      </c>
      <c r="O11" s="807" t="inlineStr">
        <is>
          <t>RM03</t>
        </is>
      </c>
    </row>
    <row r="12">
      <c r="A12" s="207" t="inlineStr">
        <is>
          <t>Thermal Coal (₹/t)</t>
        </is>
      </c>
      <c r="B12" s="1591">
        <f>'[1]Raw Materials'!C$13*[1]Macroeconomic!C$8</f>
        <v/>
      </c>
      <c r="C12" s="1591">
        <f>'[1]Raw Materials'!D$13*[1]Macroeconomic!D$8</f>
        <v/>
      </c>
      <c r="D12" s="1591">
        <f>'[1]Raw Materials'!E$13*[1]Macroeconomic!E$8</f>
        <v/>
      </c>
      <c r="E12" s="1591">
        <f>'[1]Raw Materials'!F$13*[1]Macroeconomic!F$8</f>
        <v/>
      </c>
      <c r="F12" s="1591">
        <f>'[1]Raw Materials'!G$13*[1]Macroeconomic!G$8</f>
        <v/>
      </c>
      <c r="G12" s="1591">
        <f>'[1]Raw Materials'!H$13*[1]Macroeconomic!H$8</f>
        <v/>
      </c>
      <c r="H12" s="1583">
        <f>G12*(1+'Model Assumptions'!E11)</f>
        <v/>
      </c>
      <c r="I12" s="1583">
        <f>H12*(1+'Model Assumptions'!F11)</f>
        <v/>
      </c>
      <c r="J12" s="1583">
        <f>I12*(1+'Model Assumptions'!G11)</f>
        <v/>
      </c>
      <c r="K12" s="1583">
        <f>J12*(1+'Model Assumptions'!H11)</f>
        <v/>
      </c>
      <c r="L12" s="1583">
        <f>K12*(1+'Model Assumptions'!I11)</f>
        <v/>
      </c>
      <c r="M12" s="1583">
        <f>L12*(1+'Model Assumptions'!J11)</f>
        <v/>
      </c>
      <c r="N12" s="1583">
        <f>M12*(1+'Model Assumptions'!K11)</f>
        <v/>
      </c>
      <c r="O12" s="807" t="inlineStr">
        <is>
          <t>RM04</t>
        </is>
      </c>
    </row>
    <row r="13">
      <c r="A13" s="207" t="inlineStr">
        <is>
          <t>Scrap (₹/t)</t>
        </is>
      </c>
      <c r="B13" s="1591">
        <f>'[1]Raw Materials'!C$14*[1]Macroeconomic!C$8</f>
        <v/>
      </c>
      <c r="C13" s="1591">
        <f>'[1]Raw Materials'!D$14*[1]Macroeconomic!D$8</f>
        <v/>
      </c>
      <c r="D13" s="1591">
        <f>'[1]Raw Materials'!E$14*[1]Macroeconomic!E$8</f>
        <v/>
      </c>
      <c r="E13" s="1591">
        <f>'[1]Raw Materials'!F$14*[1]Macroeconomic!F$8</f>
        <v/>
      </c>
      <c r="F13" s="1591">
        <f>'[1]Raw Materials'!G$14*[1]Macroeconomic!G$8</f>
        <v/>
      </c>
      <c r="G13" s="1591">
        <f>'[1]Raw Materials'!H$14*[1]Macroeconomic!H$8</f>
        <v/>
      </c>
      <c r="H13" s="1583">
        <f>G13*(1+'Model Assumptions'!E11)</f>
        <v/>
      </c>
      <c r="I13" s="1583">
        <f>H13*(1+'Model Assumptions'!F11)</f>
        <v/>
      </c>
      <c r="J13" s="1583">
        <f>I13*(1+'Model Assumptions'!G11)</f>
        <v/>
      </c>
      <c r="K13" s="1583">
        <f>J13*(1+'Model Assumptions'!H11)</f>
        <v/>
      </c>
      <c r="L13" s="1583">
        <f>K13*(1+'Model Assumptions'!I11)</f>
        <v/>
      </c>
      <c r="M13" s="1583">
        <f>L13*(1+'Model Assumptions'!J11)</f>
        <v/>
      </c>
      <c r="N13" s="1583">
        <f>M13*(1+'Model Assumptions'!K11)</f>
        <v/>
      </c>
      <c r="O13" s="807" t="inlineStr">
        <is>
          <t>RM05</t>
        </is>
      </c>
    </row>
    <row r="14">
      <c r="A14" s="207" t="inlineStr">
        <is>
          <t>Limestone (₹/t)</t>
        </is>
      </c>
      <c r="B14" s="1591">
        <f>'[1]Raw Materials'!C$18</f>
        <v/>
      </c>
      <c r="C14" s="1591">
        <f>'[1]Raw Materials'!D$18</f>
        <v/>
      </c>
      <c r="D14" s="1591">
        <f>'[1]Raw Materials'!E$18</f>
        <v/>
      </c>
      <c r="E14" s="1591">
        <f>'[1]Raw Materials'!F$18</f>
        <v/>
      </c>
      <c r="F14" s="1591">
        <f>'[1]Raw Materials'!G$18</f>
        <v/>
      </c>
      <c r="G14" s="1591">
        <f>'[1]Raw Materials'!H$18</f>
        <v/>
      </c>
      <c r="H14" s="1583">
        <f>G14*(1+'Model Assumptions'!E11)</f>
        <v/>
      </c>
      <c r="I14" s="1583">
        <f>H14*(1+'Model Assumptions'!F11)</f>
        <v/>
      </c>
      <c r="J14" s="1583">
        <f>I14*(1+'Model Assumptions'!G11)</f>
        <v/>
      </c>
      <c r="K14" s="1583">
        <f>J14*(1+'Model Assumptions'!H11)</f>
        <v/>
      </c>
      <c r="L14" s="1583">
        <f>K14*(1+'Model Assumptions'!I11)</f>
        <v/>
      </c>
      <c r="M14" s="1583">
        <f>L14*(1+'Model Assumptions'!J11)</f>
        <v/>
      </c>
      <c r="N14" s="1583">
        <f>M14*(1+'Model Assumptions'!K11)</f>
        <v/>
      </c>
      <c r="O14" s="807" t="inlineStr">
        <is>
          <t>RM06</t>
        </is>
      </c>
    </row>
    <row r="15">
      <c r="A15" s="207" t="inlineStr">
        <is>
          <t>Dolomite (₹/t)</t>
        </is>
      </c>
      <c r="B15" s="1591">
        <f>'[1]Raw Materials'!C$19</f>
        <v/>
      </c>
      <c r="C15" s="1591">
        <f>'[1]Raw Materials'!D$19</f>
        <v/>
      </c>
      <c r="D15" s="1591">
        <f>'[1]Raw Materials'!E$19</f>
        <v/>
      </c>
      <c r="E15" s="1591">
        <f>'[1]Raw Materials'!F$19</f>
        <v/>
      </c>
      <c r="F15" s="1591">
        <f>'[1]Raw Materials'!G$19</f>
        <v/>
      </c>
      <c r="G15" s="1591">
        <f>'[1]Raw Materials'!H$19</f>
        <v/>
      </c>
      <c r="H15" s="1593">
        <f>G15*(1+'Model Assumptions'!E11)</f>
        <v/>
      </c>
      <c r="I15" s="1593">
        <f>H15*(1+'Model Assumptions'!F11)</f>
        <v/>
      </c>
      <c r="J15" s="1593">
        <f>I15*(1+'Model Assumptions'!G11)</f>
        <v/>
      </c>
      <c r="K15" s="1593">
        <f>J15*(1+'Model Assumptions'!H11)</f>
        <v/>
      </c>
      <c r="L15" s="1593">
        <f>K15*(1+'Model Assumptions'!I11)</f>
        <v/>
      </c>
      <c r="M15" s="1593">
        <f>L15*(1+'Model Assumptions'!J11)</f>
        <v/>
      </c>
      <c r="N15" s="1593">
        <f>M15*(1+'Model Assumptions'!K11)</f>
        <v/>
      </c>
      <c r="O15" s="808" t="inlineStr">
        <is>
          <t>RM07</t>
        </is>
      </c>
    </row>
    <row r="16">
      <c r="A16" s="207" t="inlineStr">
        <is>
          <t>Ferro Alloys (₹/t)</t>
        </is>
      </c>
      <c r="B16" s="1591">
        <f>'[1]Raw Materials'!C$22</f>
        <v/>
      </c>
      <c r="C16" s="1591">
        <f>'[1]Raw Materials'!D$22</f>
        <v/>
      </c>
      <c r="D16" s="1591">
        <f>'[1]Raw Materials'!E$22</f>
        <v/>
      </c>
      <c r="E16" s="1591">
        <f>'[1]Raw Materials'!F$22</f>
        <v/>
      </c>
      <c r="F16" s="1591">
        <f>'[1]Raw Materials'!G$22</f>
        <v/>
      </c>
      <c r="G16" s="1591">
        <f>'[1]Raw Materials'!H$22</f>
        <v/>
      </c>
      <c r="H16" s="1583">
        <f>G16*(1+'Model Assumptions'!E11)</f>
        <v/>
      </c>
      <c r="I16" s="1583">
        <f>H16*(1+'Model Assumptions'!F11)</f>
        <v/>
      </c>
      <c r="J16" s="1583">
        <f>I16*(1+'Model Assumptions'!G11)</f>
        <v/>
      </c>
      <c r="K16" s="1583">
        <f>J16*(1+'Model Assumptions'!H11)</f>
        <v/>
      </c>
      <c r="L16" s="1583">
        <f>K16*(1+'Model Assumptions'!I11)</f>
        <v/>
      </c>
      <c r="M16" s="1583">
        <f>L16*(1+'Model Assumptions'!J11)</f>
        <v/>
      </c>
      <c r="N16" s="1583">
        <f>M16*(1+'Model Assumptions'!K11)</f>
        <v/>
      </c>
      <c r="O16" s="807" t="inlineStr">
        <is>
          <t>RM08</t>
        </is>
      </c>
    </row>
    <row r="17" ht="15" customHeight="1" thickBot="1">
      <c r="A17" s="208" t="inlineStr">
        <is>
          <t>Raw Material Basket Cost (₹/t)</t>
        </is>
      </c>
      <c r="B17" s="1594" t="n">
        <v>20450</v>
      </c>
      <c r="C17" s="1594" t="n">
        <v>29410</v>
      </c>
      <c r="D17" s="1594" t="n">
        <v>32157</v>
      </c>
      <c r="E17" s="1594" t="n">
        <v>27460</v>
      </c>
      <c r="F17" s="1594" t="n">
        <v>25101</v>
      </c>
      <c r="G17" s="1595">
        <f>'Cost Curve'!C65*'Model Assumptions'!D$20</f>
        <v/>
      </c>
      <c r="H17" s="1595">
        <f>'Cost Curve'!D65*'Model Assumptions'!E$20</f>
        <v/>
      </c>
      <c r="I17" s="1595">
        <f>'Cost Curve'!E65*'Model Assumptions'!F$20</f>
        <v/>
      </c>
      <c r="J17" s="1595">
        <f>'Cost Curve'!F65*'Model Assumptions'!G$20</f>
        <v/>
      </c>
      <c r="K17" s="1595">
        <f>'Cost Curve'!G65*'Model Assumptions'!H$20</f>
        <v/>
      </c>
      <c r="L17" s="1595">
        <f>'Cost Curve'!H65*'Model Assumptions'!I$20</f>
        <v/>
      </c>
      <c r="M17" s="1595">
        <f>'Cost Curve'!I65*'Model Assumptions'!J$20</f>
        <v/>
      </c>
      <c r="N17" s="1595">
        <f>'Cost Curve'!J65*'Model Assumptions'!K$20</f>
        <v/>
      </c>
      <c r="O17" s="809" t="inlineStr">
        <is>
          <t>RM09</t>
        </is>
      </c>
    </row>
    <row r="18">
      <c r="A18" s="1217" t="n"/>
      <c r="B18" s="301" t="n"/>
      <c r="C18" s="301" t="n"/>
      <c r="D18" s="301" t="n"/>
      <c r="E18" s="301" t="n"/>
      <c r="F18" s="301" t="n"/>
      <c r="G18" s="301" t="n"/>
      <c r="H18" s="301" t="n"/>
      <c r="I18" s="301" t="n"/>
      <c r="J18" s="1217" t="n"/>
      <c r="K18" s="1217" t="n"/>
      <c r="L18" s="1217" t="n"/>
      <c r="M18" s="1217" t="n"/>
      <c r="N18" s="1217" t="n"/>
    </row>
    <row r="19">
      <c r="A19" s="1217" t="n"/>
      <c r="B19" s="301" t="n"/>
      <c r="C19" s="301" t="n"/>
      <c r="D19" s="301" t="n"/>
      <c r="E19" s="301" t="n"/>
      <c r="F19" s="301" t="n"/>
      <c r="G19" s="301" t="n"/>
      <c r="H19" s="301" t="n"/>
      <c r="I19" s="301" t="n"/>
      <c r="J19" s="1217" t="n"/>
      <c r="K19" s="1217" t="n"/>
      <c r="L19" s="1217" t="n"/>
      <c r="M19" s="1217" t="n"/>
      <c r="N19" s="1217" t="n"/>
    </row>
    <row r="20" ht="16.2" customHeight="1" thickBot="1">
      <c r="A20" s="1203" t="inlineStr">
        <is>
          <t>Cost Build Up</t>
        </is>
      </c>
      <c r="B20" s="444" t="n"/>
      <c r="C20" s="444" t="n"/>
      <c r="D20" s="444" t="n"/>
      <c r="E20" s="331" t="n"/>
      <c r="F20" s="331" t="n"/>
      <c r="G20" s="331" t="n"/>
      <c r="H20" s="331" t="n"/>
      <c r="I20" s="301" t="n"/>
      <c r="J20" s="1217" t="n"/>
      <c r="K20" s="1217" t="n"/>
      <c r="L20" s="1217" t="n"/>
      <c r="M20" s="1217" t="n"/>
      <c r="N20" s="1217" t="n"/>
    </row>
    <row r="21" ht="30" customHeight="1" thickBot="1" thickTop="1">
      <c r="A21" s="328" t="inlineStr">
        <is>
          <t>Raw Material</t>
        </is>
      </c>
      <c r="B21" s="536" t="inlineStr">
        <is>
          <t>Consumption per tonne</t>
        </is>
      </c>
      <c r="C21" s="536" t="inlineStr">
        <is>
          <t>Forecast Price</t>
        </is>
      </c>
      <c r="D21" s="537" t="inlineStr">
        <is>
          <t>Cost per tonne</t>
        </is>
      </c>
      <c r="E21" s="1274" t="inlineStr">
        <is>
          <t>Audit Code</t>
        </is>
      </c>
      <c r="F21" s="301" t="n"/>
      <c r="G21" s="301" t="n"/>
      <c r="H21" s="301" t="n"/>
      <c r="I21" s="301" t="n"/>
      <c r="J21" s="301" t="n"/>
      <c r="K21" s="301" t="n"/>
      <c r="L21" s="301" t="n"/>
      <c r="M21" s="301" t="n"/>
      <c r="N21" s="1217" t="n"/>
    </row>
    <row r="22" ht="15" customHeight="1" thickTop="1">
      <c r="A22" s="206" t="inlineStr">
        <is>
          <t>Iron Ore</t>
        </is>
      </c>
      <c r="B22" s="748" t="n">
        <v>1.55</v>
      </c>
      <c r="C22" s="1590">
        <f>D65</f>
        <v/>
      </c>
      <c r="D22" s="1596">
        <f>C22*B22</f>
        <v/>
      </c>
      <c r="E22" s="806" t="inlineStr">
        <is>
          <t>RM10</t>
        </is>
      </c>
      <c r="F22" s="301" t="n"/>
      <c r="G22" s="301" t="n"/>
      <c r="H22" s="301" t="n"/>
      <c r="I22" s="301" t="n"/>
      <c r="J22" s="1217" t="n"/>
      <c r="K22" s="1217" t="n"/>
      <c r="L22" s="1217" t="n"/>
      <c r="M22" s="1217" t="n"/>
      <c r="N22" s="1217" t="n"/>
    </row>
    <row r="23">
      <c r="A23" s="207" t="inlineStr">
        <is>
          <t>Coking Coal</t>
        </is>
      </c>
      <c r="B23" s="704" t="n">
        <v>0.55</v>
      </c>
      <c r="C23" s="1592">
        <f>D66</f>
        <v/>
      </c>
      <c r="D23" s="1596">
        <f>C23*B23</f>
        <v/>
      </c>
      <c r="E23" s="807" t="inlineStr">
        <is>
          <t>RM11</t>
        </is>
      </c>
      <c r="F23" s="301" t="n"/>
      <c r="G23" s="301" t="n"/>
      <c r="H23" s="301" t="n"/>
      <c r="I23" s="301" t="n"/>
      <c r="J23" s="1217" t="n"/>
      <c r="K23" s="1217" t="n"/>
      <c r="L23" s="1217" t="n"/>
      <c r="M23" s="1217" t="n"/>
      <c r="N23" s="1217" t="n"/>
    </row>
    <row r="24">
      <c r="A24" s="207" t="inlineStr">
        <is>
          <t>PCI Coal</t>
        </is>
      </c>
      <c r="B24" s="704" t="n">
        <v>0.06</v>
      </c>
      <c r="C24" s="1583">
        <f>G11</f>
        <v/>
      </c>
      <c r="D24" s="1596">
        <f>C24*B24</f>
        <v/>
      </c>
      <c r="E24" s="806" t="inlineStr">
        <is>
          <t>RM12</t>
        </is>
      </c>
      <c r="F24" s="301" t="n"/>
      <c r="G24" s="301" t="n"/>
      <c r="H24" s="301" t="n"/>
      <c r="I24" s="301" t="n"/>
      <c r="J24" s="1217" t="n"/>
      <c r="K24" s="1217" t="n"/>
      <c r="L24" s="1217" t="n"/>
      <c r="M24" s="1217" t="n"/>
      <c r="N24" s="1217" t="n"/>
    </row>
    <row r="25">
      <c r="A25" s="207" t="inlineStr">
        <is>
          <t>Fluxes</t>
        </is>
      </c>
      <c r="B25" s="704" t="n">
        <v>0.25</v>
      </c>
      <c r="C25" s="1583" t="n">
        <v>1880</v>
      </c>
      <c r="D25" s="1596">
        <f>C25*B25</f>
        <v/>
      </c>
      <c r="E25" s="807" t="inlineStr">
        <is>
          <t>RM13</t>
        </is>
      </c>
      <c r="F25" s="301" t="n"/>
      <c r="G25" s="301" t="n"/>
      <c r="H25" s="301" t="n"/>
      <c r="I25" s="301" t="n"/>
      <c r="J25" s="1217" t="n"/>
      <c r="K25" s="1217" t="n"/>
      <c r="L25" s="1217" t="n"/>
      <c r="M25" s="1217" t="n"/>
      <c r="N25" s="1217" t="n"/>
    </row>
    <row r="26">
      <c r="A26" s="207" t="inlineStr">
        <is>
          <t>Ferro Alloys</t>
        </is>
      </c>
      <c r="B26" s="704" t="n">
        <v>0.015</v>
      </c>
      <c r="C26" s="1583">
        <f>G16</f>
        <v/>
      </c>
      <c r="D26" s="1596">
        <f>C26*B26</f>
        <v/>
      </c>
      <c r="E26" s="806" t="inlineStr">
        <is>
          <t>RM14</t>
        </is>
      </c>
      <c r="F26" s="301" t="n"/>
      <c r="G26" s="301" t="n"/>
      <c r="H26" s="301" t="n"/>
      <c r="I26" s="301" t="n"/>
      <c r="J26" s="1217" t="n"/>
      <c r="K26" s="1217" t="n"/>
      <c r="L26" s="1217" t="n"/>
      <c r="M26" s="1217" t="n"/>
      <c r="N26" s="1217" t="n"/>
    </row>
    <row r="27">
      <c r="A27" s="207" t="inlineStr">
        <is>
          <t>Electrodes</t>
        </is>
      </c>
      <c r="B27" s="704" t="n">
        <v>0.002</v>
      </c>
      <c r="C27" s="1583" t="n">
        <v>370000</v>
      </c>
      <c r="D27" s="1596">
        <f>C27*B27</f>
        <v/>
      </c>
      <c r="E27" s="807" t="inlineStr">
        <is>
          <t>RM15</t>
        </is>
      </c>
      <c r="F27" s="301" t="n"/>
      <c r="G27" s="301" t="n"/>
      <c r="H27" s="301" t="n"/>
      <c r="I27" s="301" t="n"/>
      <c r="J27" s="1217" t="n"/>
      <c r="K27" s="1217" t="n"/>
      <c r="L27" s="1217" t="n"/>
      <c r="M27" s="1217" t="n"/>
      <c r="N27" s="1217" t="n"/>
    </row>
    <row r="28">
      <c r="A28" s="207" t="inlineStr">
        <is>
          <t>Power</t>
        </is>
      </c>
      <c r="B28" s="704" t="n">
        <v>0.55</v>
      </c>
      <c r="C28" s="1583" t="n">
        <v>6500</v>
      </c>
      <c r="D28" s="1596">
        <f>C28*B28</f>
        <v/>
      </c>
      <c r="E28" s="806" t="inlineStr">
        <is>
          <t>RM16</t>
        </is>
      </c>
      <c r="F28" s="301" t="n"/>
      <c r="G28" s="301" t="n"/>
      <c r="H28" s="301" t="n"/>
      <c r="I28" s="301" t="n"/>
      <c r="J28" s="1217" t="n"/>
      <c r="K28" s="1217" t="n"/>
      <c r="L28" s="1217" t="n"/>
      <c r="M28" s="1217" t="n"/>
      <c r="N28" s="1217" t="n"/>
    </row>
    <row r="29" ht="15" customHeight="1" thickBot="1">
      <c r="A29" s="247" t="inlineStr">
        <is>
          <t>Total Raw Material Cost</t>
        </is>
      </c>
      <c r="B29" s="270" t="n"/>
      <c r="C29" s="1597" t="n"/>
      <c r="D29" s="1598">
        <f>SUM(D22:D28)</f>
        <v/>
      </c>
      <c r="E29" s="807" t="inlineStr">
        <is>
          <t>RM17</t>
        </is>
      </c>
      <c r="F29" s="301" t="n"/>
      <c r="G29" s="301" t="n"/>
      <c r="H29" s="301" t="n"/>
      <c r="I29" s="301" t="n"/>
      <c r="J29" s="1217" t="n"/>
      <c r="K29" s="1217" t="n"/>
      <c r="L29" s="1217" t="n"/>
      <c r="M29" s="1217" t="n"/>
      <c r="N29" s="1217" t="n"/>
    </row>
    <row r="30">
      <c r="A30" s="1217" t="n"/>
      <c r="B30" s="301" t="n"/>
      <c r="C30" s="301" t="n"/>
      <c r="D30" s="301" t="n"/>
      <c r="E30" s="301" t="n"/>
      <c r="F30" s="301" t="n"/>
      <c r="G30" s="301" t="n"/>
      <c r="H30" s="301" t="n"/>
      <c r="I30" s="301" t="n"/>
      <c r="J30" s="1217" t="n"/>
      <c r="K30" s="1217" t="n"/>
      <c r="L30" s="1217" t="n"/>
      <c r="M30" s="1217" t="n"/>
      <c r="N30" s="1217" t="n"/>
    </row>
    <row r="31">
      <c r="A31" s="1217" t="n"/>
      <c r="B31" s="301" t="n"/>
      <c r="C31" s="301" t="n"/>
      <c r="D31" s="301" t="n"/>
      <c r="E31" s="301" t="n"/>
      <c r="F31" s="301" t="n"/>
      <c r="G31" s="301" t="n"/>
      <c r="H31" s="301" t="n"/>
      <c r="I31" s="301" t="n"/>
      <c r="J31" s="1217" t="n"/>
      <c r="K31" s="1217" t="n"/>
      <c r="L31" s="1217" t="n"/>
      <c r="M31" s="1217" t="n"/>
      <c r="N31" s="1217" t="n"/>
    </row>
    <row r="32" ht="16.2" customHeight="1" thickBot="1">
      <c r="A32" s="1203" t="inlineStr">
        <is>
          <t>Import Dependancy</t>
        </is>
      </c>
      <c r="B32" s="444" t="n"/>
      <c r="C32" s="444" t="n"/>
      <c r="D32" s="444" t="n"/>
      <c r="E32" s="444" t="n"/>
      <c r="F32" s="444" t="n"/>
      <c r="G32" s="444" t="n"/>
      <c r="H32" s="301" t="n"/>
      <c r="I32" s="301" t="n"/>
      <c r="J32" s="1217" t="n"/>
      <c r="K32" s="1217" t="n"/>
      <c r="L32" s="1217" t="n"/>
      <c r="M32" s="1217" t="n"/>
      <c r="N32" s="1217" t="n"/>
    </row>
    <row r="33" ht="30" customHeight="1" thickBot="1" thickTop="1">
      <c r="A33" s="326" t="inlineStr">
        <is>
          <t>Material</t>
        </is>
      </c>
      <c r="B33" s="524" t="inlineStr">
        <is>
          <t>Domestic Supply</t>
        </is>
      </c>
      <c r="C33" s="524" t="inlineStr">
        <is>
          <t>Imported</t>
        </is>
      </c>
      <c r="D33" s="1278" t="inlineStr">
        <is>
          <t>Countries</t>
        </is>
      </c>
      <c r="E33" s="1599" t="n"/>
      <c r="F33" s="1599" t="n"/>
      <c r="G33" s="1520" t="n"/>
      <c r="H33" s="1274" t="inlineStr">
        <is>
          <t>Audit Code</t>
        </is>
      </c>
      <c r="I33" s="301" t="n"/>
      <c r="J33" s="1217" t="n"/>
      <c r="K33" s="1217" t="n"/>
      <c r="L33" s="1217" t="n"/>
      <c r="M33" s="1217" t="n"/>
      <c r="N33" s="1217" t="n"/>
    </row>
    <row r="34" ht="15" customHeight="1" thickTop="1">
      <c r="A34" s="206" t="inlineStr">
        <is>
          <t>Iron Ore</t>
        </is>
      </c>
      <c r="B34" s="873" t="n">
        <v>0.98</v>
      </c>
      <c r="C34" s="541">
        <f>1-B34</f>
        <v/>
      </c>
      <c r="D34" s="1276" t="inlineStr">
        <is>
          <t>NA</t>
        </is>
      </c>
      <c r="E34" s="1339" t="n"/>
      <c r="F34" s="1339" t="n"/>
      <c r="G34" s="1423" t="n"/>
      <c r="H34" s="806" t="inlineStr">
        <is>
          <t>RM18</t>
        </is>
      </c>
      <c r="I34" s="301" t="n"/>
      <c r="J34" s="1217" t="n"/>
      <c r="K34" s="1217" t="n"/>
      <c r="L34" s="1217" t="n"/>
      <c r="M34" s="1217" t="n"/>
      <c r="N34" s="1217" t="n"/>
    </row>
    <row r="35">
      <c r="A35" s="207" t="inlineStr">
        <is>
          <t>Coking Coal</t>
        </is>
      </c>
      <c r="B35" s="874" t="n">
        <v>0.12</v>
      </c>
      <c r="C35" s="295">
        <f>1-B35</f>
        <v/>
      </c>
      <c r="D35" s="1192" t="inlineStr">
        <is>
          <t>Australia, USA, Russia, Canada, Mozambique, others</t>
        </is>
      </c>
      <c r="E35" s="1342" t="n"/>
      <c r="F35" s="1342" t="n"/>
      <c r="G35" s="1360" t="n"/>
      <c r="H35" s="807" t="inlineStr">
        <is>
          <t>RM19</t>
        </is>
      </c>
      <c r="I35" s="301" t="n"/>
      <c r="J35" s="1217" t="n"/>
      <c r="K35" s="1217" t="n"/>
      <c r="L35" s="1217" t="n"/>
      <c r="M35" s="1217" t="n"/>
      <c r="N35" s="1217" t="n"/>
    </row>
    <row r="36">
      <c r="A36" s="207" t="inlineStr">
        <is>
          <t>Scrap</t>
        </is>
      </c>
      <c r="B36" s="874" t="n">
        <v>0.75</v>
      </c>
      <c r="C36" s="295">
        <f>1-B36</f>
        <v/>
      </c>
      <c r="D36" s="1192" t="inlineStr">
        <is>
          <t>UAE, USA, UK, West Africa, EU</t>
        </is>
      </c>
      <c r="E36" s="1342" t="n"/>
      <c r="F36" s="1342" t="n"/>
      <c r="G36" s="1360" t="n"/>
      <c r="H36" s="806" t="inlineStr">
        <is>
          <t>RM20</t>
        </is>
      </c>
      <c r="I36" s="301" t="n"/>
      <c r="J36" s="1217" t="n"/>
      <c r="K36" s="1217" t="n"/>
      <c r="L36" s="1217" t="n"/>
      <c r="M36" s="1217" t="n"/>
      <c r="N36" s="1217" t="n"/>
    </row>
    <row r="37" ht="15" customHeight="1" thickBot="1">
      <c r="A37" s="208" t="inlineStr">
        <is>
          <t>Ferro Alloys</t>
        </is>
      </c>
      <c r="B37" s="875" t="n">
        <v>0.9</v>
      </c>
      <c r="C37" s="542">
        <f>1-B37</f>
        <v/>
      </c>
      <c r="D37" s="1267" t="n"/>
      <c r="E37" s="1424" t="n"/>
      <c r="F37" s="1424" t="n"/>
      <c r="G37" s="1425" t="n"/>
      <c r="H37" s="807" t="inlineStr">
        <is>
          <t>RM21</t>
        </is>
      </c>
      <c r="I37" s="301" t="n"/>
      <c r="J37" s="1217" t="n"/>
      <c r="K37" s="1217" t="n"/>
      <c r="L37" s="1217" t="n"/>
      <c r="M37" s="1217" t="n"/>
      <c r="N37" s="1217" t="n"/>
    </row>
    <row r="38">
      <c r="A38" s="1217" t="n"/>
      <c r="B38" s="301" t="n"/>
      <c r="C38" s="301" t="n"/>
      <c r="D38" s="301" t="n"/>
      <c r="E38" s="301" t="n"/>
      <c r="F38" s="301" t="n"/>
      <c r="G38" s="301" t="n"/>
      <c r="H38" s="301" t="n"/>
      <c r="I38" s="301" t="n"/>
      <c r="J38" s="1217" t="n"/>
      <c r="K38" s="1217" t="n"/>
      <c r="L38" s="1217" t="n"/>
      <c r="M38" s="1217" t="n"/>
      <c r="N38" s="1217" t="n"/>
    </row>
    <row r="39">
      <c r="A39" s="1217" t="n"/>
      <c r="B39" s="301" t="n"/>
      <c r="C39" s="301" t="n"/>
      <c r="D39" s="301" t="n"/>
      <c r="E39" s="301" t="n"/>
      <c r="F39" s="301" t="n"/>
      <c r="G39" s="301" t="n"/>
      <c r="H39" s="301" t="n"/>
      <c r="I39" s="301" t="n"/>
      <c r="J39" s="1217" t="n"/>
      <c r="K39" s="1217" t="n"/>
      <c r="L39" s="1217" t="n"/>
      <c r="M39" s="1217" t="n"/>
      <c r="N39" s="1217" t="n"/>
    </row>
    <row r="40" ht="16.2" customHeight="1" thickBot="1">
      <c r="A40" s="1203" t="inlineStr">
        <is>
          <t>Scenario Analysis</t>
        </is>
      </c>
      <c r="B40" s="444" t="n"/>
      <c r="C40" s="444" t="n"/>
      <c r="D40" s="444" t="n"/>
      <c r="E40" s="444" t="n"/>
      <c r="F40" s="301" t="n"/>
      <c r="G40" s="301" t="n"/>
      <c r="H40" s="301" t="n"/>
      <c r="I40" s="301" t="n"/>
      <c r="J40" s="1217" t="n"/>
      <c r="K40" s="1217" t="n"/>
      <c r="L40" s="1217" t="n"/>
      <c r="M40" s="1217" t="n"/>
      <c r="N40" s="1217" t="n"/>
    </row>
    <row r="41" ht="15.6" customHeight="1" thickBot="1" thickTop="1">
      <c r="A41" s="328" t="inlineStr">
        <is>
          <t>Commodity</t>
        </is>
      </c>
      <c r="B41" s="332" t="inlineStr">
        <is>
          <t>Base</t>
        </is>
      </c>
      <c r="C41" s="332" t="inlineStr">
        <is>
          <t>Bull</t>
        </is>
      </c>
      <c r="D41" s="332" t="inlineStr">
        <is>
          <t>Bear</t>
        </is>
      </c>
      <c r="E41" s="333" t="inlineStr">
        <is>
          <t>Stress</t>
        </is>
      </c>
      <c r="F41" s="301" t="n"/>
      <c r="G41" s="301" t="n"/>
      <c r="H41" s="301" t="n"/>
      <c r="I41" s="301" t="n"/>
      <c r="J41" s="1217" t="n"/>
      <c r="K41" s="1217" t="n"/>
      <c r="L41" s="1217" t="n"/>
      <c r="M41" s="1217" t="n"/>
      <c r="N41" s="1217" t="n"/>
    </row>
    <row r="42" ht="15" customHeight="1" thickTop="1">
      <c r="A42" s="206" t="inlineStr">
        <is>
          <t>Iron Ore</t>
        </is>
      </c>
      <c r="B42" s="280" t="n"/>
      <c r="C42" s="280" t="n"/>
      <c r="D42" s="280" t="n"/>
      <c r="E42" s="215" t="n"/>
      <c r="F42" s="301" t="n"/>
      <c r="G42" s="301" t="n"/>
      <c r="H42" s="301" t="n"/>
      <c r="I42" s="301" t="n"/>
      <c r="J42" s="1217" t="n"/>
      <c r="K42" s="1217" t="n"/>
      <c r="L42" s="1217" t="n"/>
      <c r="M42" s="1217" t="n"/>
      <c r="N42" s="1217" t="n"/>
    </row>
    <row r="43">
      <c r="A43" s="207" t="inlineStr">
        <is>
          <t>Premium HCC Coal</t>
        </is>
      </c>
      <c r="B43" s="199" t="n"/>
      <c r="C43" s="199" t="n"/>
      <c r="D43" s="199" t="n"/>
      <c r="E43" s="212" t="n"/>
      <c r="F43" s="301" t="n"/>
      <c r="G43" s="301" t="n"/>
      <c r="H43" s="301" t="n"/>
      <c r="I43" s="301" t="n"/>
      <c r="J43" s="1217" t="n"/>
      <c r="K43" s="1217" t="n"/>
      <c r="L43" s="1217" t="n"/>
      <c r="M43" s="1217" t="n"/>
      <c r="N43" s="1217" t="n"/>
    </row>
    <row r="44">
      <c r="A44" s="207" t="inlineStr">
        <is>
          <t>Scrap</t>
        </is>
      </c>
      <c r="B44" s="199" t="n"/>
      <c r="C44" s="199" t="n"/>
      <c r="D44" s="199" t="n"/>
      <c r="E44" s="212" t="n"/>
      <c r="F44" s="301" t="n"/>
      <c r="G44" s="301" t="n"/>
      <c r="H44" s="301" t="n"/>
      <c r="I44" s="301" t="n"/>
      <c r="J44" s="1217" t="n"/>
      <c r="K44" s="1217" t="n"/>
      <c r="L44" s="1217" t="n"/>
      <c r="M44" s="1217" t="n"/>
      <c r="N44" s="1217" t="n"/>
    </row>
    <row r="45">
      <c r="A45" s="207" t="inlineStr">
        <is>
          <t>Thermal Coal</t>
        </is>
      </c>
      <c r="B45" s="199" t="n"/>
      <c r="C45" s="199" t="n"/>
      <c r="D45" s="199" t="n"/>
      <c r="E45" s="212" t="n"/>
      <c r="F45" s="301" t="n"/>
      <c r="G45" s="301" t="n"/>
      <c r="H45" s="301" t="n"/>
      <c r="I45" s="301" t="n"/>
      <c r="J45" s="1217" t="n"/>
      <c r="K45" s="1217" t="n"/>
      <c r="L45" s="1217" t="n"/>
      <c r="M45" s="1217" t="n"/>
      <c r="N45" s="1217" t="n"/>
    </row>
    <row r="46" ht="15" customHeight="1" thickBot="1">
      <c r="A46" s="208" t="inlineStr">
        <is>
          <t>Ferro Alloys</t>
        </is>
      </c>
      <c r="B46" s="279" t="n"/>
      <c r="C46" s="279" t="n"/>
      <c r="D46" s="279" t="n"/>
      <c r="E46" s="214" t="n"/>
      <c r="F46" s="301" t="n"/>
      <c r="G46" s="301" t="n"/>
      <c r="H46" s="301" t="n"/>
      <c r="I46" s="301" t="n"/>
      <c r="J46" s="1217" t="n"/>
      <c r="K46" s="1217" t="n"/>
      <c r="L46" s="1217" t="n"/>
      <c r="M46" s="1217" t="n"/>
      <c r="N46" s="1217" t="n"/>
    </row>
    <row r="47">
      <c r="A47" s="1217" t="n"/>
      <c r="B47" s="301" t="n"/>
      <c r="C47" s="301" t="n"/>
      <c r="D47" s="301" t="n"/>
      <c r="E47" s="301" t="n"/>
      <c r="F47" s="301" t="n"/>
      <c r="G47" s="301" t="n"/>
      <c r="H47" s="301" t="n"/>
      <c r="I47" s="301" t="n"/>
      <c r="J47" s="1217" t="n"/>
      <c r="K47" s="1217" t="n"/>
      <c r="L47" s="1217" t="n"/>
      <c r="M47" s="1217" t="n"/>
      <c r="N47" s="1217" t="n"/>
    </row>
    <row r="48">
      <c r="A48" s="1217" t="n"/>
      <c r="B48" s="301" t="n"/>
      <c r="C48" s="301" t="n"/>
      <c r="D48" s="301" t="n"/>
      <c r="E48" s="301" t="n"/>
      <c r="F48" s="301" t="n"/>
      <c r="G48" s="301" t="n"/>
      <c r="H48" s="301" t="n"/>
      <c r="I48" s="301" t="n"/>
      <c r="J48" s="1217" t="n"/>
      <c r="K48" s="1217" t="n"/>
      <c r="L48" s="1217" t="n"/>
      <c r="M48" s="1217" t="n"/>
      <c r="N48" s="1217" t="n"/>
    </row>
    <row r="49" ht="16.2" customHeight="1" thickBot="1">
      <c r="A49" s="1203" t="inlineStr">
        <is>
          <t>Sensitivity Analysis</t>
        </is>
      </c>
      <c r="B49" s="444" t="n"/>
      <c r="C49" s="444" t="n"/>
      <c r="D49" s="444" t="n"/>
      <c r="E49" s="331" t="n"/>
      <c r="F49" s="301" t="n"/>
      <c r="G49" s="301" t="n"/>
      <c r="H49" s="301" t="n"/>
      <c r="I49" s="301" t="n"/>
      <c r="J49" s="1217" t="n"/>
      <c r="K49" s="1217" t="n"/>
      <c r="L49" s="1217" t="n"/>
      <c r="M49" s="1217" t="n"/>
      <c r="N49" s="1217" t="n"/>
    </row>
    <row r="50" ht="15.6" customHeight="1" thickBot="1" thickTop="1">
      <c r="A50" s="326" t="inlineStr">
        <is>
          <t>Variable</t>
        </is>
      </c>
      <c r="B50" s="1273" t="inlineStr">
        <is>
          <t>Impact on Raw Material Cost</t>
        </is>
      </c>
      <c r="C50" s="1599" t="n"/>
      <c r="D50" s="1520" t="n"/>
      <c r="E50" s="1274" t="inlineStr">
        <is>
          <t>Audit Code</t>
        </is>
      </c>
      <c r="F50" s="301" t="n"/>
      <c r="G50" s="301" t="n"/>
      <c r="H50" s="301" t="n"/>
      <c r="I50" s="301" t="n"/>
      <c r="J50" s="1217" t="n"/>
      <c r="K50" s="1217" t="n"/>
      <c r="L50" s="1217" t="n"/>
      <c r="M50" s="1217" t="n"/>
      <c r="N50" s="1217" t="n"/>
    </row>
    <row r="51" ht="15" customHeight="1" thickTop="1">
      <c r="A51" s="206" t="inlineStr">
        <is>
          <t>Iron Ore +10%</t>
        </is>
      </c>
      <c r="B51" s="1600" t="inlineStr">
        <is>
          <t>Iron ore is 45% of the RM basket, which is 60% of cash cost → +10% iron ore = +4.5% × 0.60 × Rs 49,581/t = +Rs 1,338/t on cash cost (EBITDA –Rs 1,338/t; –Rs 23,810 cr at FY2033E volume)</t>
        </is>
      </c>
      <c r="C51" s="1601" t="n"/>
      <c r="D51" s="1602" t="n"/>
      <c r="E51" s="806" t="inlineStr">
        <is>
          <t>RM22</t>
        </is>
      </c>
      <c r="F51" s="301" t="n"/>
      <c r="G51" s="301" t="n"/>
      <c r="H51" s="301" t="n"/>
      <c r="I51" s="301" t="n"/>
      <c r="J51" s="1217" t="n"/>
      <c r="K51" s="1217" t="n"/>
      <c r="L51" s="1217" t="n"/>
      <c r="M51" s="1217" t="n"/>
      <c r="N51" s="1217" t="n"/>
    </row>
    <row r="52">
      <c r="A52" s="207" t="inlineStr">
        <is>
          <t>HCC Coal +10%</t>
        </is>
      </c>
      <c r="B52" s="1275" t="inlineStr">
        <is>
          <t>Coking coal = 45% RM basket × 60% cash cost → same magnitude → +Rs 1,338/t on cash cost (–Rs 23,810 cr)</t>
        </is>
      </c>
      <c r="C52" s="1342" t="n"/>
      <c r="D52" s="1343" t="n"/>
      <c r="E52" s="807" t="inlineStr">
        <is>
          <t>RM23</t>
        </is>
      </c>
      <c r="F52" s="301" t="n"/>
      <c r="G52" s="301" t="n"/>
      <c r="H52" s="301" t="n"/>
      <c r="I52" s="301" t="n"/>
      <c r="J52" s="1217" t="n"/>
      <c r="K52" s="1217" t="n"/>
      <c r="L52" s="1217" t="n"/>
      <c r="M52" s="1217" t="n"/>
      <c r="N52" s="1217" t="n"/>
    </row>
    <row r="53">
      <c r="A53" s="207" t="inlineStr">
        <is>
          <t>Scrap +10%</t>
        </is>
      </c>
      <c r="B53" s="1192" t="inlineStr">
        <is>
          <t>Zero impact. Scrap is not in the raw material basket. The model's RM basket = iron ore 45% + coking coal 45% + fluxes 10% (driver D14). Scrap sits in the DRI-EAF route which is not separately cost-modelled. This is a stated limitation — the sensitivity cell is Rs 0 and a deliberate zero, disclosed as a structural limitation.</t>
        </is>
      </c>
      <c r="C53" s="1342" t="n"/>
      <c r="D53" s="1360" t="n"/>
      <c r="E53" s="806" t="inlineStr">
        <is>
          <t>RM24</t>
        </is>
      </c>
      <c r="F53" s="301" t="n"/>
      <c r="G53" s="301" t="n"/>
      <c r="H53" s="301" t="n"/>
      <c r="I53" s="301" t="n"/>
      <c r="J53" s="1217" t="n"/>
      <c r="K53" s="1217" t="n"/>
      <c r="L53" s="1217" t="n"/>
      <c r="M53" s="1217" t="n"/>
      <c r="N53" s="1217" t="n"/>
    </row>
    <row r="54">
      <c r="A54" s="207" t="inlineStr">
        <is>
          <t>USD/INR +5%</t>
        </is>
      </c>
      <c r="B54" s="1192" t="inlineStr">
        <is>
          <t>Iron ore AND coking coal are dollar-priced. +5% INR depreciation raises both simultaneously. Impact = 0.90 × 60% of cash cost × 5% = +Rs 1,337/t (–Rs 23,794 cr). This is 90% of the basket — all except the 10% domestic fluxes. This is why USD/INR ranks as the 2nd largest driver in the tornado on Sensitivity Analysis (–Rs 74,785 cr for 10% move, ~23.7% of EBITDA). For 5% move that is approximately half: –Rs 37,392 cr.</t>
        </is>
      </c>
      <c r="C54" s="1342" t="n"/>
      <c r="D54" s="1360" t="n"/>
      <c r="E54" s="807" t="inlineStr">
        <is>
          <t>RM25</t>
        </is>
      </c>
      <c r="F54" s="301" t="n"/>
      <c r="G54" s="301" t="inlineStr">
        <is>
          <t>*</t>
        </is>
      </c>
      <c r="H54" s="301" t="n"/>
      <c r="I54" s="301" t="n"/>
      <c r="J54" s="1217" t="n"/>
      <c r="K54" s="1217" t="n"/>
      <c r="L54" s="1217" t="n"/>
      <c r="M54" s="1217" t="n"/>
      <c r="N54" s="1217" t="n"/>
    </row>
    <row r="55" ht="15" customHeight="1" thickBot="1">
      <c r="A55" s="208" t="inlineStr">
        <is>
          <t>Freight +10%</t>
        </is>
      </c>
      <c r="B55" s="1267" t="inlineStr">
        <is>
          <t>Zero impact in isolation. Freight is inside the conversion cost block, which is indexed to CPI as a single line. A freight-specific shock is therefore not separable and would be understated. This cell is Rs 0 — a deliberate structural zero, same logic as scrap. The note in the register explains: if you want to stress freight specifically, adjust driver D12 (conversion cost inflation).</t>
        </is>
      </c>
      <c r="C55" s="1424" t="n"/>
      <c r="D55" s="1425" t="n"/>
      <c r="E55" s="806" t="inlineStr">
        <is>
          <t>RM26</t>
        </is>
      </c>
      <c r="F55" s="301" t="n"/>
      <c r="G55" s="301" t="n"/>
      <c r="H55" s="301" t="n"/>
      <c r="I55" s="301" t="n"/>
      <c r="J55" s="1217" t="n"/>
      <c r="K55" s="1217" t="n"/>
      <c r="L55" s="1217" t="n"/>
      <c r="M55" s="1217" t="n"/>
      <c r="N55" s="1217" t="n"/>
    </row>
    <row r="56">
      <c r="A56" s="1217" t="n"/>
      <c r="B56" s="301" t="n"/>
      <c r="C56" s="301" t="n"/>
      <c r="D56" s="301" t="n"/>
      <c r="E56" s="301" t="n"/>
      <c r="F56" s="301" t="n"/>
      <c r="G56" s="301" t="n"/>
      <c r="H56" s="301" t="n"/>
      <c r="I56" s="301" t="n"/>
      <c r="J56" s="1217" t="n"/>
      <c r="K56" s="1217" t="n"/>
      <c r="L56" s="1217" t="n"/>
      <c r="M56" s="1217" t="n"/>
      <c r="N56" s="1217" t="n"/>
    </row>
    <row r="57">
      <c r="A57" s="1217" t="n"/>
      <c r="B57" s="301" t="n"/>
      <c r="C57" s="301" t="n"/>
      <c r="D57" s="301" t="n"/>
      <c r="E57" s="301" t="n"/>
      <c r="F57" s="301" t="n"/>
      <c r="G57" s="301" t="n"/>
      <c r="H57" s="301" t="n"/>
      <c r="I57" s="301" t="n"/>
      <c r="J57" s="1217" t="n"/>
      <c r="K57" s="1217" t="n"/>
      <c r="L57" s="1217" t="n"/>
      <c r="M57" s="1217" t="n"/>
      <c r="N57" s="1217" t="n"/>
    </row>
    <row r="58" ht="15.6" customHeight="1">
      <c r="A58" s="1131" t="inlineStr">
        <is>
          <t>Workbook</t>
        </is>
      </c>
      <c r="B58" s="1342" t="n"/>
      <c r="C58" s="1342" t="n"/>
      <c r="D58" s="1342" t="n"/>
      <c r="E58" s="1342" t="n"/>
      <c r="F58" s="1342" t="n"/>
      <c r="G58" s="1342" t="n"/>
      <c r="H58" s="1342" t="n"/>
      <c r="I58" s="1342" t="n"/>
      <c r="J58" s="1342" t="n"/>
      <c r="K58" s="1360" t="n"/>
    </row>
    <row r="59">
      <c r="A59" s="1188" t="inlineStr">
        <is>
          <t>Line item</t>
        </is>
      </c>
      <c r="B59" s="269" t="inlineStr">
        <is>
          <t>Unit</t>
        </is>
      </c>
      <c r="C59" s="269" t="inlineStr">
        <is>
          <t>FY2026A</t>
        </is>
      </c>
      <c r="D59" s="269" t="inlineStr">
        <is>
          <t>FY2027E</t>
        </is>
      </c>
      <c r="E59" s="269" t="inlineStr">
        <is>
          <t>FY2028E</t>
        </is>
      </c>
      <c r="F59" s="269" t="inlineStr">
        <is>
          <t>FY2029E</t>
        </is>
      </c>
      <c r="G59" s="269" t="inlineStr">
        <is>
          <t>FY2030E</t>
        </is>
      </c>
      <c r="H59" s="269" t="inlineStr">
        <is>
          <t>FY2031E</t>
        </is>
      </c>
      <c r="I59" s="269" t="inlineStr">
        <is>
          <t>FY2032E</t>
        </is>
      </c>
      <c r="J59" s="269" t="inlineStr">
        <is>
          <t>FY2033E</t>
        </is>
      </c>
      <c r="K59" s="1237" t="inlineStr">
        <is>
          <t>Audit Code</t>
        </is>
      </c>
      <c r="L59" s="268" t="n"/>
      <c r="M59" s="268" t="n"/>
      <c r="N59" s="1261" t="n"/>
    </row>
    <row r="60">
      <c r="A60" s="1263" t="inlineStr">
        <is>
          <t>DOLLAR PRICES</t>
        </is>
      </c>
      <c r="B60" s="1342" t="n"/>
      <c r="C60" s="1342" t="n"/>
      <c r="D60" s="1342" t="n"/>
      <c r="E60" s="1342" t="n"/>
      <c r="F60" s="1342" t="n"/>
      <c r="G60" s="1342" t="n"/>
      <c r="H60" s="1342" t="n"/>
      <c r="I60" s="1342" t="n"/>
      <c r="J60" s="1360" t="n"/>
      <c r="K60" s="876" t="n"/>
      <c r="L60" s="799" t="n"/>
      <c r="M60" s="799" t="n"/>
      <c r="N60" s="799" t="n"/>
      <c r="O60" s="799" t="n"/>
      <c r="P60" s="799" t="n"/>
      <c r="Q60" s="799" t="n"/>
      <c r="R60" s="799" t="n"/>
      <c r="S60" s="799" t="n"/>
    </row>
    <row r="61">
      <c r="A61" s="1190" t="inlineStr">
        <is>
          <t>Iron ore 62% Fe fines, CFR China</t>
        </is>
      </c>
      <c r="B61" s="456" t="inlineStr">
        <is>
          <t>US$/dmt</t>
        </is>
      </c>
      <c r="C61" s="1603">
        <f>'Model Assumptions'!D$17</f>
        <v/>
      </c>
      <c r="D61" s="1603">
        <f>'Model Assumptions'!E$17</f>
        <v/>
      </c>
      <c r="E61" s="1603">
        <f>'Model Assumptions'!F$17</f>
        <v/>
      </c>
      <c r="F61" s="1603">
        <f>'Model Assumptions'!G$17</f>
        <v/>
      </c>
      <c r="G61" s="1603">
        <f>'Model Assumptions'!H$17</f>
        <v/>
      </c>
      <c r="H61" s="1603">
        <f>'Model Assumptions'!I$17</f>
        <v/>
      </c>
      <c r="I61" s="1603">
        <f>'Model Assumptions'!J$17</f>
        <v/>
      </c>
      <c r="J61" s="1603">
        <f>'Model Assumptions'!K$17</f>
        <v/>
      </c>
      <c r="K61" s="876" t="inlineStr">
        <is>
          <t>RM27</t>
        </is>
      </c>
      <c r="L61" s="727" t="n"/>
      <c r="M61" s="727" t="n"/>
      <c r="N61" s="1167" t="n"/>
    </row>
    <row r="62" ht="15" customHeight="1">
      <c r="A62" s="1190" t="inlineStr">
        <is>
          <t>Premium HCC coking coal, FOB Australia</t>
        </is>
      </c>
      <c r="B62" s="456" t="inlineStr">
        <is>
          <t>US$/t</t>
        </is>
      </c>
      <c r="C62" s="1603">
        <f>'Model Assumptions'!D$18</f>
        <v/>
      </c>
      <c r="D62" s="1603">
        <f>'Model Assumptions'!E$18</f>
        <v/>
      </c>
      <c r="E62" s="1603">
        <f>'Model Assumptions'!F$18</f>
        <v/>
      </c>
      <c r="F62" s="1603">
        <f>'Model Assumptions'!G$18</f>
        <v/>
      </c>
      <c r="G62" s="1603">
        <f>'Model Assumptions'!H$18</f>
        <v/>
      </c>
      <c r="H62" s="1603">
        <f>'Model Assumptions'!I$18</f>
        <v/>
      </c>
      <c r="I62" s="1603">
        <f>'Model Assumptions'!J$18</f>
        <v/>
      </c>
      <c r="J62" s="1603">
        <f>'Model Assumptions'!K$18</f>
        <v/>
      </c>
      <c r="K62" s="421" t="inlineStr">
        <is>
          <t>RM28</t>
        </is>
      </c>
      <c r="L62" s="727" t="n"/>
      <c r="M62" s="727" t="n"/>
      <c r="N62" s="1167" t="n"/>
    </row>
    <row r="63">
      <c r="A63" s="1190" t="inlineStr">
        <is>
          <t>USD/INR</t>
        </is>
      </c>
      <c r="B63" s="456" t="inlineStr">
        <is>
          <t>Rs/US$</t>
        </is>
      </c>
      <c r="C63" s="1603">
        <f>'Macroeconomic Model'!B18</f>
        <v/>
      </c>
      <c r="D63" s="1603">
        <f>'Macroeconomic Model'!C18</f>
        <v/>
      </c>
      <c r="E63" s="1603">
        <f>'Macroeconomic Model'!D18</f>
        <v/>
      </c>
      <c r="F63" s="1603">
        <f>'Macroeconomic Model'!E18</f>
        <v/>
      </c>
      <c r="G63" s="1603">
        <f>'Macroeconomic Model'!F18</f>
        <v/>
      </c>
      <c r="H63" s="1603">
        <f>'Macroeconomic Model'!G18</f>
        <v/>
      </c>
      <c r="I63" s="1603">
        <f>'Macroeconomic Model'!H18</f>
        <v/>
      </c>
      <c r="J63" s="1603">
        <f>'Macroeconomic Model'!I18</f>
        <v/>
      </c>
      <c r="K63" s="876" t="inlineStr">
        <is>
          <t>RM29</t>
        </is>
      </c>
      <c r="L63" s="727" t="n"/>
      <c r="M63" s="727" t="n"/>
      <c r="N63" s="1262" t="n"/>
    </row>
    <row r="64">
      <c r="A64" s="1263" t="inlineStr">
        <is>
          <t>RUPEE-CONVERTED PRICES</t>
        </is>
      </c>
      <c r="B64" s="1342" t="n"/>
      <c r="C64" s="1342" t="n"/>
      <c r="D64" s="1342" t="n"/>
      <c r="E64" s="1342" t="n"/>
      <c r="F64" s="1342" t="n"/>
      <c r="G64" s="1342" t="n"/>
      <c r="H64" s="1342" t="n"/>
      <c r="I64" s="1342" t="n"/>
      <c r="J64" s="1342" t="n"/>
      <c r="K64" s="1360" t="n"/>
      <c r="L64" s="799" t="n"/>
      <c r="M64" s="799" t="n"/>
      <c r="N64" s="799" t="n"/>
      <c r="O64" s="799" t="n"/>
      <c r="P64" s="799" t="n"/>
      <c r="Q64" s="799" t="n"/>
      <c r="R64" s="799" t="n"/>
      <c r="S64" s="799" t="n"/>
    </row>
    <row r="65">
      <c r="A65" s="1190" t="inlineStr">
        <is>
          <t>Iron ore in rupees</t>
        </is>
      </c>
      <c r="B65" s="456" t="inlineStr">
        <is>
          <t>Rs/dmt</t>
        </is>
      </c>
      <c r="C65" s="1604">
        <f>C63*C61</f>
        <v/>
      </c>
      <c r="D65" s="1604">
        <f>D63*D61</f>
        <v/>
      </c>
      <c r="E65" s="1604">
        <f>E63*E61</f>
        <v/>
      </c>
      <c r="F65" s="1604">
        <f>F63*F61</f>
        <v/>
      </c>
      <c r="G65" s="1604">
        <f>G63*G61</f>
        <v/>
      </c>
      <c r="H65" s="1604">
        <f>H63*H61</f>
        <v/>
      </c>
      <c r="I65" s="1604">
        <f>I63*I61</f>
        <v/>
      </c>
      <c r="J65" s="1604">
        <f>J63*J61</f>
        <v/>
      </c>
      <c r="K65" s="421" t="inlineStr">
        <is>
          <t>RM30</t>
        </is>
      </c>
      <c r="L65" s="727" t="n"/>
      <c r="M65" s="727" t="n"/>
      <c r="N65" s="1167" t="n"/>
    </row>
    <row r="66">
      <c r="A66" s="1190" t="inlineStr">
        <is>
          <t>Coking coal in rupees</t>
        </is>
      </c>
      <c r="B66" s="456" t="inlineStr">
        <is>
          <t>Rs/t</t>
        </is>
      </c>
      <c r="C66" s="1604">
        <f>C63*C62</f>
        <v/>
      </c>
      <c r="D66" s="1604">
        <f>D63*D62</f>
        <v/>
      </c>
      <c r="E66" s="1604">
        <f>E63*E62</f>
        <v/>
      </c>
      <c r="F66" s="1604">
        <f>F63*F62</f>
        <v/>
      </c>
      <c r="G66" s="1604">
        <f>G63*G62</f>
        <v/>
      </c>
      <c r="H66" s="1604">
        <f>H63*H62</f>
        <v/>
      </c>
      <c r="I66" s="1604">
        <f>I63*I62</f>
        <v/>
      </c>
      <c r="J66" s="1604">
        <f>J63*J62</f>
        <v/>
      </c>
      <c r="K66" s="876" t="inlineStr">
        <is>
          <t>RM31</t>
        </is>
      </c>
      <c r="L66" s="727" t="n"/>
      <c r="M66" s="727" t="n"/>
      <c r="N66" s="1262" t="n"/>
    </row>
    <row r="67">
      <c r="A67" s="1263" t="inlineStr">
        <is>
          <t>COST INDICES</t>
        </is>
      </c>
      <c r="B67" s="1342" t="n"/>
      <c r="C67" s="1342" t="n"/>
      <c r="D67" s="1342" t="n"/>
      <c r="E67" s="1342" t="n"/>
      <c r="F67" s="1342" t="n"/>
      <c r="G67" s="1342" t="n"/>
      <c r="H67" s="1342" t="n"/>
      <c r="I67" s="1342" t="n"/>
      <c r="J67" s="1342" t="n"/>
      <c r="K67" s="1360" t="n"/>
      <c r="L67" s="799" t="n"/>
      <c r="M67" s="799" t="n"/>
      <c r="N67" s="799" t="n"/>
      <c r="O67" s="799" t="n"/>
      <c r="P67" s="799" t="n"/>
      <c r="Q67" s="799" t="n"/>
      <c r="R67" s="799" t="n"/>
      <c r="S67" s="799" t="n"/>
    </row>
    <row r="68">
      <c r="A68" s="1190" t="inlineStr">
        <is>
          <t>Conversion cost inflation</t>
        </is>
      </c>
      <c r="B68" s="456" t="inlineStr">
        <is>
          <t>%</t>
        </is>
      </c>
      <c r="C68" s="1396" t="n"/>
      <c r="D68" s="1605">
        <f>'Model Assumptions'!E$19</f>
        <v/>
      </c>
      <c r="E68" s="1605">
        <f>'Model Assumptions'!F$19</f>
        <v/>
      </c>
      <c r="F68" s="1605">
        <f>'Model Assumptions'!G$19</f>
        <v/>
      </c>
      <c r="G68" s="1605">
        <f>'Model Assumptions'!H$19</f>
        <v/>
      </c>
      <c r="H68" s="1605">
        <f>'Model Assumptions'!I$19</f>
        <v/>
      </c>
      <c r="I68" s="1605">
        <f>'Model Assumptions'!J$19</f>
        <v/>
      </c>
      <c r="J68" s="1605">
        <f>'Model Assumptions'!K$19</f>
        <v/>
      </c>
      <c r="K68" s="421" t="inlineStr">
        <is>
          <t>RM32</t>
        </is>
      </c>
      <c r="L68" s="727" t="n"/>
      <c r="M68" s="727" t="n"/>
      <c r="N68" s="1167" t="n"/>
    </row>
    <row r="69">
      <c r="A69" s="1190" t="inlineStr">
        <is>
          <t>Conversion cost index</t>
        </is>
      </c>
      <c r="B69" s="456" t="inlineStr">
        <is>
          <t>x</t>
        </is>
      </c>
      <c r="C69" s="1606" t="n">
        <v>1</v>
      </c>
      <c r="D69" s="1606">
        <f>C69*(1+D68)</f>
        <v/>
      </c>
      <c r="E69" s="1606">
        <f>D69*(1+E68)</f>
        <v/>
      </c>
      <c r="F69" s="1606">
        <f>E69*(1+F68)</f>
        <v/>
      </c>
      <c r="G69" s="1606">
        <f>F69*(1+G68)</f>
        <v/>
      </c>
      <c r="H69" s="1606">
        <f>G69*(1+H68)</f>
        <v/>
      </c>
      <c r="I69" s="1606">
        <f>H69*(1+I68)</f>
        <v/>
      </c>
      <c r="J69" s="1606">
        <f>I69*(1+J68)</f>
        <v/>
      </c>
      <c r="K69" s="876" t="inlineStr">
        <is>
          <t>RM33</t>
        </is>
      </c>
      <c r="L69" s="727" t="n"/>
      <c r="M69" s="727" t="n"/>
      <c r="N69" s="1167" t="n"/>
    </row>
    <row r="70">
      <c r="A70" s="1190" t="inlineStr">
        <is>
          <t>Iron ore weight in basket</t>
        </is>
      </c>
      <c r="B70" s="456" t="inlineStr">
        <is>
          <t>%</t>
        </is>
      </c>
      <c r="C70" s="1605">
        <f>'Model Assumptions'!D$21</f>
        <v/>
      </c>
      <c r="D70" s="1605">
        <f>'Model Assumptions'!E$21</f>
        <v/>
      </c>
      <c r="E70" s="1605">
        <f>'Model Assumptions'!F$21</f>
        <v/>
      </c>
      <c r="F70" s="1605">
        <f>'Model Assumptions'!G$21</f>
        <v/>
      </c>
      <c r="G70" s="1605">
        <f>'Model Assumptions'!H$21</f>
        <v/>
      </c>
      <c r="H70" s="1605">
        <f>'Model Assumptions'!I$21</f>
        <v/>
      </c>
      <c r="I70" s="1605">
        <f>'Model Assumptions'!J$21</f>
        <v/>
      </c>
      <c r="J70" s="1605">
        <f>'Model Assumptions'!K$21</f>
        <v/>
      </c>
      <c r="K70" s="421" t="inlineStr">
        <is>
          <t>RM34</t>
        </is>
      </c>
      <c r="L70" s="727" t="n"/>
      <c r="M70" s="727" t="n"/>
      <c r="N70" s="1167" t="n"/>
    </row>
    <row r="71">
      <c r="A71" s="422" t="inlineStr">
        <is>
          <t>Raw material cost index</t>
        </is>
      </c>
      <c r="B71" s="456" t="inlineStr">
        <is>
          <t>x</t>
        </is>
      </c>
      <c r="C71" s="1607" t="n">
        <v>1</v>
      </c>
      <c r="D71" s="1607">
        <f>D70*(D65/$C$65)+D70*(D66/$C$66)+(1-2*D70)*D69</f>
        <v/>
      </c>
      <c r="E71" s="1607">
        <f>E70*(E65/$C$65)+E70*(E66/$C$66)+(1-2*E70)*E69</f>
        <v/>
      </c>
      <c r="F71" s="1607">
        <f>F70*(F65/$C$65)+F70*(F66/$C$66)+(1-2*F70)*F69</f>
        <v/>
      </c>
      <c r="G71" s="1607">
        <f>G70*(G65/$C$65)+G70*(G66/$C$66)+(1-2*G70)*G69</f>
        <v/>
      </c>
      <c r="H71" s="1607">
        <f>H70*(H65/$C$65)+H70*(H66/$C$66)+(1-2*H70)*H69</f>
        <v/>
      </c>
      <c r="I71" s="1607">
        <f>I70*(I65/$C$65)+I70*(I66/$C$66)+(1-2*I70)*I69</f>
        <v/>
      </c>
      <c r="J71" s="1607">
        <f>J70*(J65/$C$65)+J70*(J66/$C$66)+(1-2*J70)*J69</f>
        <v/>
      </c>
      <c r="K71" s="421" t="inlineStr">
        <is>
          <t>RM35</t>
        </is>
      </c>
      <c r="L71" s="727" t="n"/>
      <c r="M71" s="727" t="n"/>
      <c r="N71" s="1167" t="n"/>
    </row>
    <row r="73">
      <c r="A73" s="1240" t="inlineStr">
        <is>
          <t>The Australian THERMAL coal series in the database (FY2026 average US$111.50/mt) is deliberately NOT used here. It is thermal, not metallurgical, coal - see database Conflict C15.</t>
        </is>
      </c>
    </row>
  </sheetData>
  <mergeCells count="36">
    <mergeCell ref="A32:G32"/>
    <mergeCell ref="A58:K58"/>
    <mergeCell ref="A7:I7"/>
    <mergeCell ref="N68:S68"/>
    <mergeCell ref="N62:S62"/>
    <mergeCell ref="N71:S71"/>
    <mergeCell ref="A64:K64"/>
    <mergeCell ref="A20:D20"/>
    <mergeCell ref="N61:S61"/>
    <mergeCell ref="D33:G33"/>
    <mergeCell ref="B53:D53"/>
    <mergeCell ref="L3:M3"/>
    <mergeCell ref="N3:O3"/>
    <mergeCell ref="D35:G35"/>
    <mergeCell ref="N59:S59"/>
    <mergeCell ref="D34:G34"/>
    <mergeCell ref="A49:D49"/>
    <mergeCell ref="N69:S69"/>
    <mergeCell ref="B55:D55"/>
    <mergeCell ref="A60:J60"/>
    <mergeCell ref="B51:D51"/>
    <mergeCell ref="D36:G36"/>
    <mergeCell ref="N65:S65"/>
    <mergeCell ref="B50:D50"/>
    <mergeCell ref="N70:S70"/>
    <mergeCell ref="A5:N5"/>
    <mergeCell ref="B54:D54"/>
    <mergeCell ref="A73:O73"/>
    <mergeCell ref="N63:S63"/>
    <mergeCell ref="A1:O1"/>
    <mergeCell ref="N66:S66"/>
    <mergeCell ref="A2:G2"/>
    <mergeCell ref="B52:D52"/>
    <mergeCell ref="D37:G37"/>
    <mergeCell ref="A40:E40"/>
    <mergeCell ref="A67:K67"/>
  </mergeCells>
  <pageMargins left="0.7" right="0.7" top="0.75" bottom="0.75" header="0.3" footer="0.3"/>
</worksheet>
</file>

<file path=xl/worksheets/sheet16.xml><?xml version="1.0" encoding="utf-8"?>
<worksheet xmlns="http://schemas.openxmlformats.org/spreadsheetml/2006/main">
  <sheetPr codeName="Sheet16">
    <tabColor rgb="FF002060"/>
    <outlinePr summaryBelow="1" summaryRight="1"/>
    <pageSetUpPr/>
  </sheetPr>
  <dimension ref="A1:K84"/>
  <sheetViews>
    <sheetView showGridLines="0" topLeftCell="A55" zoomScaleNormal="100" workbookViewId="0">
      <selection activeCell="D65" sqref="D65"/>
    </sheetView>
  </sheetViews>
  <sheetFormatPr baseColWidth="8" defaultRowHeight="14.4"/>
  <cols>
    <col width="39" customWidth="1" min="1" max="1"/>
    <col width="16.109375" customWidth="1" style="250" min="2" max="3"/>
    <col width="16.109375" customWidth="1" min="4" max="10"/>
    <col width="13" customWidth="1" min="11" max="11"/>
  </cols>
  <sheetData>
    <row r="1" ht="25.8" customHeight="1">
      <c r="A1" s="1150" t="inlineStr">
        <is>
          <t>COST CURVE</t>
        </is>
      </c>
    </row>
    <row r="2" ht="15" customHeight="1" thickBot="1">
      <c r="A2" s="1159" t="inlineStr">
        <is>
          <t>Industry Financial Model  |  Indian Steel Industry  |  Horizon FY2027E-FY2033E  |  Base year FY2026A</t>
        </is>
      </c>
    </row>
    <row r="3" ht="16.2" customHeight="1" thickBot="1">
      <c r="A3" s="1149" t="n"/>
      <c r="H3" s="1407" t="inlineStr">
        <is>
          <t>Active Scenario</t>
        </is>
      </c>
      <c r="I3" s="1401" t="n"/>
      <c r="J3" s="760">
        <f>'Control Panel'!$E$17</f>
        <v/>
      </c>
      <c r="K3" s="1354" t="n"/>
    </row>
    <row r="4">
      <c r="A4" s="1254" t="inlineStr">
        <is>
          <t>OBJECTIVE</t>
        </is>
      </c>
    </row>
    <row r="5">
      <c r="A5" s="1217" t="inlineStr">
        <is>
          <t>Estimate the cash cost of steel production across major Indian producers, rank them by cost competitiveness, and determine the industry cost curve and marginal producer.</t>
        </is>
      </c>
    </row>
    <row r="6">
      <c r="A6" s="1217" t="n"/>
      <c r="B6" s="301" t="n"/>
      <c r="C6" s="301" t="n"/>
      <c r="D6" s="1217" t="n"/>
      <c r="E6" s="1217" t="n"/>
      <c r="F6" s="1217" t="n"/>
      <c r="G6" s="1217" t="n"/>
      <c r="H6" s="1217" t="n"/>
      <c r="I6" s="1217" t="n"/>
      <c r="J6" s="1217" t="n"/>
    </row>
    <row r="7" ht="16.2" customHeight="1" thickBot="1">
      <c r="A7" s="1137" t="inlineStr">
        <is>
          <t>Executive Summary</t>
        </is>
      </c>
      <c r="J7" s="1217" t="n"/>
    </row>
    <row r="8" ht="18" customHeight="1" thickBot="1">
      <c r="A8" s="284" t="inlineStr">
        <is>
          <t>KPI</t>
        </is>
      </c>
      <c r="B8" s="469" t="inlineStr">
        <is>
          <t>FY26A</t>
        </is>
      </c>
      <c r="C8" s="469" t="inlineStr">
        <is>
          <t>FY27E</t>
        </is>
      </c>
      <c r="D8" s="469" t="inlineStr">
        <is>
          <t>FY28E</t>
        </is>
      </c>
      <c r="E8" s="469" t="inlineStr">
        <is>
          <t>FY29E</t>
        </is>
      </c>
      <c r="F8" s="469" t="inlineStr">
        <is>
          <t>FY30E</t>
        </is>
      </c>
      <c r="G8" s="469" t="inlineStr">
        <is>
          <t>FY31E</t>
        </is>
      </c>
      <c r="H8" s="469" t="inlineStr">
        <is>
          <t>FY32E</t>
        </is>
      </c>
      <c r="I8" s="469" t="inlineStr">
        <is>
          <t>FY33E</t>
        </is>
      </c>
      <c r="J8" s="471" t="inlineStr">
        <is>
          <t>Audit Code</t>
        </is>
      </c>
    </row>
    <row r="9" ht="15" customHeight="1" thickTop="1">
      <c r="A9" s="206" t="inlineStr">
        <is>
          <t>Average Cash Cost (₹/t)</t>
        </is>
      </c>
      <c r="B9" s="1608">
        <f>C65</f>
        <v/>
      </c>
      <c r="C9" s="1608">
        <f>D65</f>
        <v/>
      </c>
      <c r="D9" s="1608">
        <f>E65</f>
        <v/>
      </c>
      <c r="E9" s="1608">
        <f>F65</f>
        <v/>
      </c>
      <c r="F9" s="1608">
        <f>G65</f>
        <v/>
      </c>
      <c r="G9" s="1608">
        <f>H65</f>
        <v/>
      </c>
      <c r="H9" s="1608">
        <f>I65</f>
        <v/>
      </c>
      <c r="I9" s="1608">
        <f>J65</f>
        <v/>
      </c>
      <c r="J9" s="816" t="inlineStr">
        <is>
          <t>CC01</t>
        </is>
      </c>
    </row>
    <row r="10">
      <c r="A10" s="207" t="inlineStr">
        <is>
          <t>Average Total Cost (₹/t)</t>
        </is>
      </c>
      <c r="B10" s="508">
        <f>C65+'Cash Flow Model'!C93/'Steel Supply Model'!C90*10</f>
        <v/>
      </c>
      <c r="C10" s="508">
        <f>D65+'Cash Flow Model'!D93/'Steel Supply Model'!D90*10</f>
        <v/>
      </c>
      <c r="D10" s="508">
        <f>E65+'Cash Flow Model'!E93/'Steel Supply Model'!E90*10</f>
        <v/>
      </c>
      <c r="E10" s="508">
        <f>F65+'Cash Flow Model'!F93/'Steel Supply Model'!F90*10</f>
        <v/>
      </c>
      <c r="F10" s="508">
        <f>G65+'Cash Flow Model'!G93/'Steel Supply Model'!G90*10</f>
        <v/>
      </c>
      <c r="G10" s="508">
        <f>H65+'Cash Flow Model'!H93/'Steel Supply Model'!H90*10</f>
        <v/>
      </c>
      <c r="H10" s="508">
        <f>I65+'Cash Flow Model'!I93/'Steel Supply Model'!I90*10</f>
        <v/>
      </c>
      <c r="I10" s="508">
        <f>J65+'Cash Flow Model'!J93/'Steel Supply Model'!J90*10</f>
        <v/>
      </c>
      <c r="J10" s="402" t="inlineStr">
        <is>
          <t>CC02</t>
        </is>
      </c>
    </row>
    <row r="11">
      <c r="A11" s="207" t="inlineStr">
        <is>
          <t>Industry ASP (₹/t)</t>
        </is>
      </c>
      <c r="B11" s="1609">
        <f>'Steel Price Forecast'!B24</f>
        <v/>
      </c>
      <c r="C11" s="1609">
        <f>'Steel Price Forecast'!C24</f>
        <v/>
      </c>
      <c r="D11" s="1609">
        <f>'Steel Price Forecast'!D24</f>
        <v/>
      </c>
      <c r="E11" s="1609">
        <f>'Steel Price Forecast'!E24</f>
        <v/>
      </c>
      <c r="F11" s="1609">
        <f>'Steel Price Forecast'!F24</f>
        <v/>
      </c>
      <c r="G11" s="1609">
        <f>'Steel Price Forecast'!G24</f>
        <v/>
      </c>
      <c r="H11" s="1609">
        <f>'Steel Price Forecast'!H24</f>
        <v/>
      </c>
      <c r="I11" s="1609">
        <f>'Steel Price Forecast'!I24</f>
        <v/>
      </c>
      <c r="J11" s="402" t="inlineStr">
        <is>
          <t>CC03</t>
        </is>
      </c>
    </row>
    <row r="12">
      <c r="A12" s="207" t="inlineStr">
        <is>
          <t>EBITDA/t (₹/t)</t>
        </is>
      </c>
      <c r="B12" s="1609">
        <f>'EBITDA Model'!C101</f>
        <v/>
      </c>
      <c r="C12" s="1609">
        <f>'EBITDA Model'!D101</f>
        <v/>
      </c>
      <c r="D12" s="1609">
        <f>'EBITDA Model'!E101</f>
        <v/>
      </c>
      <c r="E12" s="1609">
        <f>'EBITDA Model'!F101</f>
        <v/>
      </c>
      <c r="F12" s="1609">
        <f>'EBITDA Model'!G101</f>
        <v/>
      </c>
      <c r="G12" s="1609">
        <f>'EBITDA Model'!H101</f>
        <v/>
      </c>
      <c r="H12" s="1609">
        <f>'EBITDA Model'!I101</f>
        <v/>
      </c>
      <c r="I12" s="1609">
        <f>'EBITDA Model'!J101</f>
        <v/>
      </c>
      <c r="J12" s="402" t="inlineStr">
        <is>
          <t>CC04</t>
        </is>
      </c>
    </row>
    <row r="13">
      <c r="A13" s="207" t="inlineStr">
        <is>
          <t>Marginal Producer Cost (₹/t)</t>
        </is>
      </c>
      <c r="B13" s="1583">
        <f>MAX(C70:C74)</f>
        <v/>
      </c>
      <c r="C13" s="1583">
        <f>MAX(D70:D74)</f>
        <v/>
      </c>
      <c r="D13" s="1583">
        <f>MAX(E70:E74)</f>
        <v/>
      </c>
      <c r="E13" s="1583">
        <f>MAX(F70:F74)</f>
        <v/>
      </c>
      <c r="F13" s="1583">
        <f>MAX(G70:G74)</f>
        <v/>
      </c>
      <c r="G13" s="1583">
        <f>MAX(H70:H74)</f>
        <v/>
      </c>
      <c r="H13" s="1583">
        <f>MAX(I70:I74)</f>
        <v/>
      </c>
      <c r="I13" s="1583">
        <f>MAX(J70:J74)</f>
        <v/>
      </c>
      <c r="J13" s="402" t="inlineStr">
        <is>
          <t>CC05</t>
        </is>
      </c>
    </row>
    <row r="14" ht="15" customHeight="1" thickBot="1">
      <c r="A14" s="208" t="inlineStr">
        <is>
          <t>Industry Spread (₹/t)</t>
        </is>
      </c>
      <c r="B14" s="1610">
        <f>B11-B9</f>
        <v/>
      </c>
      <c r="C14" s="1610">
        <f>C11-C9</f>
        <v/>
      </c>
      <c r="D14" s="1610">
        <f>D11-D9</f>
        <v/>
      </c>
      <c r="E14" s="1610">
        <f>E11-E9</f>
        <v/>
      </c>
      <c r="F14" s="1610">
        <f>F11-F9</f>
        <v/>
      </c>
      <c r="G14" s="1610">
        <f>G11-G9</f>
        <v/>
      </c>
      <c r="H14" s="1610">
        <f>H11-H9</f>
        <v/>
      </c>
      <c r="I14" s="1610">
        <f>I11-I9</f>
        <v/>
      </c>
      <c r="J14" s="527" t="inlineStr">
        <is>
          <t>CC06</t>
        </is>
      </c>
    </row>
    <row r="15">
      <c r="A15" s="1217" t="n"/>
      <c r="B15" s="301" t="n"/>
      <c r="C15" s="301" t="n"/>
      <c r="D15" s="1217" t="n"/>
      <c r="E15" s="1217" t="n"/>
      <c r="F15" s="1217" t="n"/>
      <c r="G15" s="1217" t="n"/>
      <c r="H15" s="1217" t="n"/>
      <c r="I15" s="1217" t="n"/>
      <c r="J15" s="1217" t="n"/>
    </row>
    <row r="16">
      <c r="A16" s="1217" t="n"/>
      <c r="B16" s="301" t="n"/>
      <c r="C16" s="301" t="n"/>
      <c r="D16" s="1217" t="n"/>
      <c r="E16" s="1217" t="n"/>
      <c r="F16" s="1217" t="n"/>
      <c r="G16" s="1217" t="n"/>
      <c r="H16" s="1217" t="n"/>
      <c r="I16" s="1217" t="n"/>
      <c r="J16" s="1217" t="n"/>
    </row>
    <row r="17" ht="16.2" customHeight="1" thickBot="1">
      <c r="A17" s="1203" t="inlineStr">
        <is>
          <t>Company Cost Curve</t>
        </is>
      </c>
      <c r="B17" s="444" t="n"/>
      <c r="C17" s="444" t="n"/>
      <c r="D17" s="444" t="n"/>
      <c r="E17" s="444" t="n"/>
      <c r="F17" s="444" t="n"/>
      <c r="G17" s="444" t="n"/>
      <c r="H17" s="444" t="n"/>
      <c r="I17" s="1137" t="n"/>
      <c r="J17" s="1217" t="n"/>
    </row>
    <row r="18" ht="30" customHeight="1" thickBot="1" thickTop="1">
      <c r="A18" s="817" t="inlineStr">
        <is>
          <t>Rank</t>
        </is>
      </c>
      <c r="B18" s="503" t="inlineStr">
        <is>
          <t>Company</t>
        </is>
      </c>
      <c r="C18" s="536" t="inlineStr">
        <is>
          <t>Production (Mt)</t>
        </is>
      </c>
      <c r="D18" s="536" t="inlineStr">
        <is>
          <t>Cash Cost (₹/t)</t>
        </is>
      </c>
      <c r="E18" s="536" t="inlineStr">
        <is>
          <t>Total Cost (₹/t)</t>
        </is>
      </c>
      <c r="F18" s="536" t="inlineStr">
        <is>
          <t>EBITDA/t</t>
        </is>
      </c>
      <c r="G18" s="536" t="inlineStr">
        <is>
          <t>Cumulative Production (Mt)</t>
        </is>
      </c>
      <c r="H18" s="333" t="inlineStr">
        <is>
          <t>Audit Code</t>
        </is>
      </c>
      <c r="I18" s="1217" t="n"/>
      <c r="J18" s="1217" t="n"/>
    </row>
    <row r="19" ht="15" customHeight="1" thickTop="1">
      <c r="A19" s="818" t="n">
        <v>1</v>
      </c>
      <c r="B19" s="1276" t="inlineStr">
        <is>
          <t>Tata Steel</t>
        </is>
      </c>
      <c r="C19" s="271">
        <f>'Revenue Forecast'!C100</f>
        <v/>
      </c>
      <c r="D19" s="1611">
        <f>C70</f>
        <v/>
      </c>
      <c r="E19" s="1612">
        <f>D19+('Cash Flow Model'!$C$93/'Steel Supply Model'!$C$90)*10</f>
        <v/>
      </c>
      <c r="F19" s="1608">
        <f>'EBITDA Model'!C108</f>
        <v/>
      </c>
      <c r="G19" s="1613">
        <f>C19</f>
        <v/>
      </c>
      <c r="H19" s="298" t="inlineStr">
        <is>
          <t>CC07</t>
        </is>
      </c>
      <c r="I19" s="1217" t="n"/>
      <c r="J19" s="1217" t="n"/>
    </row>
    <row r="20">
      <c r="A20" s="321" t="n">
        <v>2</v>
      </c>
      <c r="B20" s="1192" t="inlineStr">
        <is>
          <t>SAIL</t>
        </is>
      </c>
      <c r="C20" s="1287">
        <f>'Revenue Forecast'!C102</f>
        <v/>
      </c>
      <c r="D20" s="1614">
        <f>C72</f>
        <v/>
      </c>
      <c r="E20" s="1612">
        <f>D20+('Cash Flow Model'!$C$93/'Steel Supply Model'!$C$90)*10</f>
        <v/>
      </c>
      <c r="F20" s="1609">
        <f>'EBITDA Model'!C110</f>
        <v/>
      </c>
      <c r="G20" s="1615">
        <f>G19+C20</f>
        <v/>
      </c>
      <c r="H20" s="299" t="inlineStr">
        <is>
          <t>CC08</t>
        </is>
      </c>
      <c r="I20" s="1217" t="n"/>
      <c r="J20" s="1217" t="n"/>
    </row>
    <row r="21">
      <c r="A21" s="321" t="n">
        <v>3</v>
      </c>
      <c r="B21" s="1192" t="inlineStr">
        <is>
          <t>JSW Steel</t>
        </is>
      </c>
      <c r="C21" s="1287">
        <f>'Revenue Forecast'!C101</f>
        <v/>
      </c>
      <c r="D21" s="1614">
        <f>C71</f>
        <v/>
      </c>
      <c r="E21" s="1612">
        <f>D21+('Cash Flow Model'!$C$93/'Steel Supply Model'!$C$90)*10</f>
        <v/>
      </c>
      <c r="F21" s="1609">
        <f>'EBITDA Model'!C109</f>
        <v/>
      </c>
      <c r="G21" s="1615">
        <f>G20+C21</f>
        <v/>
      </c>
      <c r="H21" s="298" t="inlineStr">
        <is>
          <t>CC09</t>
        </is>
      </c>
      <c r="I21" s="1217" t="n"/>
      <c r="J21" s="1217" t="n"/>
    </row>
    <row r="22">
      <c r="A22" s="321" t="n">
        <v>4</v>
      </c>
      <c r="B22" s="1192" t="inlineStr">
        <is>
          <t>Jindal Steel</t>
        </is>
      </c>
      <c r="C22" s="1287">
        <f>'Revenue Forecast'!C103</f>
        <v/>
      </c>
      <c r="D22" s="1614">
        <f>C73</f>
        <v/>
      </c>
      <c r="E22" s="1612">
        <f>D22+('Cash Flow Model'!$C$93/'Steel Supply Model'!$C$90)*10</f>
        <v/>
      </c>
      <c r="F22" s="1609">
        <f>'EBITDA Model'!C111</f>
        <v/>
      </c>
      <c r="G22" s="1615">
        <f>G21+C22</f>
        <v/>
      </c>
      <c r="H22" s="299" t="inlineStr">
        <is>
          <t>CC10</t>
        </is>
      </c>
      <c r="I22" s="1217" t="n"/>
      <c r="J22" s="1217" t="n"/>
    </row>
    <row r="23">
      <c r="A23" s="321" t="n">
        <v>5</v>
      </c>
      <c r="B23" s="1192" t="inlineStr">
        <is>
          <t>Jindal Stainless</t>
        </is>
      </c>
      <c r="C23" s="1287">
        <f>'Revenue Forecast'!C104</f>
        <v/>
      </c>
      <c r="D23" s="1614">
        <f>C74</f>
        <v/>
      </c>
      <c r="E23" s="1612">
        <f>D23+('Cash Flow Model'!$C$93/'Steel Supply Model'!$C$90)*10</f>
        <v/>
      </c>
      <c r="F23" s="1609">
        <f>'EBITDA Model'!C112</f>
        <v/>
      </c>
      <c r="G23" s="1615">
        <f>G22+C23</f>
        <v/>
      </c>
      <c r="H23" s="298" t="inlineStr">
        <is>
          <t>CC11</t>
        </is>
      </c>
      <c r="I23" s="1217" t="n"/>
      <c r="J23" s="1217" t="n"/>
    </row>
    <row r="24">
      <c r="A24" s="1217" t="n"/>
      <c r="B24" s="301" t="n"/>
      <c r="C24" s="301" t="n"/>
      <c r="D24" s="1217" t="n"/>
      <c r="E24" s="1217" t="n"/>
      <c r="F24" s="1217" t="n"/>
      <c r="G24" s="1217" t="n"/>
      <c r="H24" s="1217" t="n"/>
      <c r="I24" s="1217" t="n"/>
      <c r="J24" s="1217" t="n"/>
    </row>
    <row r="25">
      <c r="A25" s="1217" t="n"/>
      <c r="B25" s="301" t="n"/>
      <c r="C25" s="301" t="n"/>
      <c r="D25" s="1217" t="n"/>
      <c r="E25" s="1217" t="n"/>
      <c r="F25" s="1217" t="n"/>
      <c r="G25" s="1217" t="n"/>
      <c r="H25" s="1217" t="n"/>
      <c r="I25" s="1217" t="n"/>
      <c r="J25" s="1217" t="n"/>
    </row>
    <row r="26" ht="16.2" customHeight="1" thickBot="1">
      <c r="A26" s="1137" t="inlineStr">
        <is>
          <t>Cost Build Up</t>
        </is>
      </c>
      <c r="D26" s="1137" t="n"/>
      <c r="E26" s="1137" t="n"/>
      <c r="F26" s="1137" t="n"/>
      <c r="G26" s="1137" t="n"/>
      <c r="H26" s="1217" t="n"/>
      <c r="I26" s="1217" t="n"/>
      <c r="J26" s="1217" t="n"/>
    </row>
    <row r="27" ht="17.4" customHeight="1" thickBot="1">
      <c r="A27" s="284" t="inlineStr">
        <is>
          <t>Cost Component</t>
        </is>
      </c>
      <c r="B27" s="469" t="inlineStr">
        <is>
          <t>₹/t</t>
        </is>
      </c>
      <c r="C27" s="469" t="inlineStr">
        <is>
          <t>% of Total Cost</t>
        </is>
      </c>
      <c r="D27" s="286" t="inlineStr">
        <is>
          <t>Audit Code</t>
        </is>
      </c>
      <c r="F27" s="1217" t="n"/>
      <c r="G27" s="1217" t="n"/>
      <c r="H27" s="1217" t="n"/>
      <c r="I27" s="1217" t="n"/>
      <c r="J27" s="1217" t="n"/>
    </row>
    <row r="28" ht="15" customHeight="1" thickTop="1">
      <c r="A28" s="206" t="inlineStr">
        <is>
          <t>Iron Ore</t>
        </is>
      </c>
      <c r="B28" s="918">
        <f>$B$38/$C$38*C28</f>
        <v/>
      </c>
      <c r="C28" s="1616" t="n">
        <v>0.252</v>
      </c>
      <c r="D28" s="298" t="inlineStr">
        <is>
          <t>CC13</t>
        </is>
      </c>
      <c r="F28" s="1617" t="n"/>
      <c r="G28" s="1618" t="n"/>
      <c r="H28" s="1217" t="n"/>
      <c r="I28" s="1217" t="n"/>
      <c r="J28" s="1217" t="n"/>
    </row>
    <row r="29">
      <c r="A29" s="207" t="inlineStr">
        <is>
          <t>Coking Coal</t>
        </is>
      </c>
      <c r="B29" s="914">
        <f>$B$38/$C$38*C29</f>
        <v/>
      </c>
      <c r="C29" s="1619" t="n">
        <v>0.2065</v>
      </c>
      <c r="D29" s="299" t="inlineStr">
        <is>
          <t>CC14</t>
        </is>
      </c>
      <c r="F29" s="1617" t="n"/>
      <c r="G29" s="1217" t="n"/>
      <c r="H29" s="1217" t="n"/>
      <c r="I29" s="1217" t="n"/>
      <c r="J29" s="1217" t="n"/>
    </row>
    <row r="30">
      <c r="A30" s="207" t="inlineStr">
        <is>
          <t>PCI Coal</t>
        </is>
      </c>
      <c r="B30" s="914">
        <f>$B$38/$C$38*C30</f>
        <v/>
      </c>
      <c r="C30" s="1619" t="n">
        <v>0.038</v>
      </c>
      <c r="D30" s="298" t="inlineStr">
        <is>
          <t>CC15</t>
        </is>
      </c>
      <c r="F30" s="1617" t="n"/>
      <c r="G30" s="1217" t="n"/>
      <c r="H30" s="1217" t="n"/>
      <c r="I30" s="1217" t="n"/>
      <c r="J30" s="1217" t="n"/>
    </row>
    <row r="31">
      <c r="A31" s="207" t="inlineStr">
        <is>
          <t>Scrap</t>
        </is>
      </c>
      <c r="B31" s="914">
        <f>$B$38/$C$38*C31</f>
        <v/>
      </c>
      <c r="C31" s="1619" t="n">
        <v>0.028</v>
      </c>
      <c r="D31" s="299" t="inlineStr">
        <is>
          <t>CC16</t>
        </is>
      </c>
      <c r="F31" s="1617" t="n"/>
      <c r="G31" s="1217" t="n"/>
      <c r="H31" s="1217" t="n"/>
      <c r="I31" s="1217" t="n"/>
      <c r="J31" s="1217" t="n"/>
    </row>
    <row r="32">
      <c r="A32" s="207" t="inlineStr">
        <is>
          <t>Fluxes</t>
        </is>
      </c>
      <c r="B32" s="914">
        <f>$B$38/$C$38*C32</f>
        <v/>
      </c>
      <c r="C32" s="1619" t="n">
        <v>0.038</v>
      </c>
      <c r="D32" s="298" t="inlineStr">
        <is>
          <t>CC17</t>
        </is>
      </c>
      <c r="F32" s="1617" t="n"/>
      <c r="G32" s="1217" t="n"/>
      <c r="H32" s="1217" t="n"/>
      <c r="I32" s="1217" t="n"/>
      <c r="J32" s="1217" t="n"/>
    </row>
    <row r="33">
      <c r="A33" s="207" t="inlineStr">
        <is>
          <t>Power &amp; Fuel</t>
        </is>
      </c>
      <c r="B33" s="914">
        <f>$B$38/$C$38*C33</f>
        <v/>
      </c>
      <c r="C33" s="1619" t="n">
        <v>0.075</v>
      </c>
      <c r="D33" s="299" t="inlineStr">
        <is>
          <t>CC18</t>
        </is>
      </c>
      <c r="F33" s="1620">
        <f>(B33*'Steel Supply Model'!$C$88/10)/'Revenue Forecast'!$B$11</f>
        <v/>
      </c>
      <c r="G33" s="1217" t="n"/>
      <c r="H33" s="1217" t="n"/>
      <c r="I33" s="1217" t="n"/>
      <c r="J33" s="1217" t="n"/>
    </row>
    <row r="34">
      <c r="A34" s="207" t="inlineStr">
        <is>
          <t>Labour</t>
        </is>
      </c>
      <c r="B34" s="914">
        <f>$B$38/$C$38*C34</f>
        <v/>
      </c>
      <c r="C34" s="1619" t="n">
        <v>0.056</v>
      </c>
      <c r="D34" s="298" t="inlineStr">
        <is>
          <t>CC19</t>
        </is>
      </c>
      <c r="F34" s="1620">
        <f>(B34*'Steel Supply Model'!$C$88/10)/'Revenue Forecast'!$B$11</f>
        <v/>
      </c>
      <c r="G34" s="1217" t="n"/>
      <c r="H34" s="1217" t="n"/>
      <c r="I34" s="1217" t="n"/>
      <c r="J34" s="1217" t="n"/>
    </row>
    <row r="35">
      <c r="A35" s="207" t="inlineStr">
        <is>
          <t>Maintenance</t>
        </is>
      </c>
      <c r="B35" s="914">
        <f>$B$38/$C$38*C35</f>
        <v/>
      </c>
      <c r="C35" s="1619" t="n">
        <v>0.056</v>
      </c>
      <c r="D35" s="299" t="inlineStr">
        <is>
          <t>CC20</t>
        </is>
      </c>
      <c r="F35" s="1620">
        <f>(B35*'Steel Supply Model'!$C$88/10)/'Revenue Forecast'!$B$11</f>
        <v/>
      </c>
      <c r="G35" s="1217" t="n"/>
      <c r="H35" s="1217" t="n"/>
      <c r="I35" s="1217" t="n"/>
      <c r="J35" s="1217" t="n"/>
    </row>
    <row r="36">
      <c r="A36" s="207" t="inlineStr">
        <is>
          <t>Logistics</t>
        </is>
      </c>
      <c r="B36" s="914">
        <f>$B$38/$C$38*C36</f>
        <v/>
      </c>
      <c r="C36" s="1619" t="n">
        <v>0.075</v>
      </c>
      <c r="D36" s="298" t="inlineStr">
        <is>
          <t>CC21</t>
        </is>
      </c>
      <c r="F36" s="1620">
        <f>(B36*'Steel Supply Model'!$C$88/10)/'Revenue Forecast'!$B$11</f>
        <v/>
      </c>
      <c r="G36" s="1217" t="n"/>
      <c r="H36" s="1217" t="n"/>
      <c r="I36" s="1217" t="n"/>
      <c r="J36" s="1217" t="n"/>
    </row>
    <row r="37">
      <c r="A37" s="207" t="inlineStr">
        <is>
          <t>Other Manufacturing</t>
        </is>
      </c>
      <c r="B37" s="914">
        <f>$B$38/$C$38*C37</f>
        <v/>
      </c>
      <c r="C37" s="1619" t="n">
        <v>0.115</v>
      </c>
      <c r="D37" s="299" t="inlineStr">
        <is>
          <t>CC22</t>
        </is>
      </c>
      <c r="F37" s="1620">
        <f>(B37*'Steel Supply Model'!$C$88/10)/'Revenue Forecast'!$B$11</f>
        <v/>
      </c>
      <c r="G37" s="1217" t="n"/>
      <c r="H37" s="1217" t="n"/>
      <c r="I37" s="1217" t="n"/>
      <c r="J37" s="1217" t="n"/>
    </row>
    <row r="38">
      <c r="A38" s="246" t="inlineStr">
        <is>
          <t>Cash Cost</t>
        </is>
      </c>
      <c r="B38" s="915">
        <f>C65</f>
        <v/>
      </c>
      <c r="C38" s="1621">
        <f>SUM(C28:C37)</f>
        <v/>
      </c>
      <c r="D38" s="298" t="inlineStr">
        <is>
          <t>CC23</t>
        </is>
      </c>
      <c r="F38" s="1620">
        <f>(B38*'Steel Supply Model'!$C$88/10)/'Revenue Forecast'!$B$11</f>
        <v/>
      </c>
      <c r="G38" s="1217" t="n"/>
      <c r="H38" s="1217" t="n"/>
      <c r="I38" s="1217" t="n"/>
      <c r="J38" s="1217" t="n"/>
    </row>
    <row r="39">
      <c r="A39" s="207" t="inlineStr">
        <is>
          <t>Depreciation</t>
        </is>
      </c>
      <c r="B39" s="914">
        <f>'Cash Flow Model'!C93/'Steel Supply Model'!C90*10</f>
        <v/>
      </c>
      <c r="C39" s="1619" t="n">
        <v>0.06</v>
      </c>
      <c r="D39" s="299" t="inlineStr">
        <is>
          <t>CC24</t>
        </is>
      </c>
      <c r="F39" s="1620">
        <f>(B39*'Steel Supply Model'!$C$88/10)/'Revenue Forecast'!$B$11</f>
        <v/>
      </c>
      <c r="G39" s="1217" t="n"/>
      <c r="H39" s="1217" t="n"/>
      <c r="I39" s="1217" t="n"/>
      <c r="J39" s="1217" t="n"/>
    </row>
    <row r="40">
      <c r="A40" s="207" t="inlineStr">
        <is>
          <t>SG&amp;A</t>
        </is>
      </c>
      <c r="B40" s="914">
        <f>B41*C40</f>
        <v/>
      </c>
      <c r="C40" s="1619" t="n">
        <v>0.06</v>
      </c>
      <c r="D40" s="298" t="inlineStr">
        <is>
          <t>CC25</t>
        </is>
      </c>
      <c r="F40" s="1620">
        <f>(B40*'Steel Supply Model'!$C$88/10)/'Revenue Forecast'!$B$11</f>
        <v/>
      </c>
      <c r="G40" s="1217" t="n"/>
      <c r="H40" s="1217" t="n"/>
      <c r="I40" s="1217" t="n"/>
      <c r="J40" s="1217" t="n"/>
    </row>
    <row r="41" ht="15" customHeight="1" thickBot="1">
      <c r="A41" s="247" t="inlineStr">
        <is>
          <t>Total Cost</t>
        </is>
      </c>
      <c r="B41" s="919">
        <f>B39+B38</f>
        <v/>
      </c>
      <c r="C41" s="1622">
        <f>SUM(C28:C37,C39)</f>
        <v/>
      </c>
      <c r="D41" s="548" t="n"/>
      <c r="F41" s="1217" t="n"/>
      <c r="G41" s="1217" t="n"/>
      <c r="H41" s="1217" t="n"/>
      <c r="I41" s="1217" t="n"/>
      <c r="J41" s="1217" t="n"/>
    </row>
    <row r="42">
      <c r="A42" s="1217" t="n"/>
      <c r="B42" s="301" t="n"/>
      <c r="C42" s="301" t="n"/>
      <c r="D42" s="1217" t="n"/>
      <c r="E42" s="1217" t="n"/>
      <c r="F42" s="1217" t="n"/>
      <c r="G42" s="1217" t="n"/>
      <c r="H42" s="1217" t="n"/>
      <c r="I42" s="1217" t="n"/>
      <c r="J42" s="1217" t="n"/>
    </row>
    <row r="43">
      <c r="A43" s="1217" t="n"/>
      <c r="B43" s="301" t="n"/>
      <c r="C43" s="301" t="n"/>
      <c r="D43" s="1217" t="n"/>
      <c r="E43" s="1217" t="n"/>
      <c r="F43" s="1217" t="n"/>
      <c r="G43" s="1217" t="n"/>
      <c r="H43" s="1217" t="n"/>
      <c r="I43" s="1217" t="n"/>
      <c r="J43" s="1217" t="n"/>
    </row>
    <row r="44" ht="16.2" customHeight="1" thickBot="1">
      <c r="A44" s="1203" t="inlineStr">
        <is>
          <t>Margin at Forecast Price</t>
        </is>
      </c>
      <c r="B44" s="444" t="n"/>
      <c r="C44" s="444" t="n"/>
      <c r="D44" s="444" t="n"/>
      <c r="E44" s="444" t="n"/>
      <c r="F44" s="528" t="n"/>
      <c r="G44" s="1217" t="n"/>
      <c r="H44" s="1217" t="n"/>
      <c r="I44" s="1217" t="n"/>
      <c r="J44" s="1217" t="n"/>
    </row>
    <row r="45" ht="15.6" customHeight="1" thickBot="1" thickTop="1">
      <c r="A45" s="328" t="inlineStr">
        <is>
          <t>Company</t>
        </is>
      </c>
      <c r="B45" s="536" t="inlineStr">
        <is>
          <t>Forecast ASP</t>
        </is>
      </c>
      <c r="C45" s="536" t="inlineStr">
        <is>
          <t>Cash Cost</t>
        </is>
      </c>
      <c r="D45" s="536" t="inlineStr">
        <is>
          <t>EBITDA/t</t>
        </is>
      </c>
      <c r="E45" s="536" t="inlineStr">
        <is>
          <t>EBITDA Margin</t>
        </is>
      </c>
      <c r="F45" s="333" t="inlineStr">
        <is>
          <t>Audit Code</t>
        </is>
      </c>
      <c r="G45" s="1217" t="n"/>
      <c r="H45" s="1217" t="n"/>
      <c r="I45" s="1217" t="n"/>
      <c r="J45" s="1217" t="n"/>
    </row>
    <row r="46" ht="15" customHeight="1" thickTop="1">
      <c r="A46" s="206" t="inlineStr">
        <is>
          <t>Tata Steel</t>
        </is>
      </c>
      <c r="B46" s="1612">
        <f>'Steel Price Forecast'!C11*('EBITDA Model'!C108+'Cost Curve'!C70)/'Steel Price Forecast'!B11</f>
        <v/>
      </c>
      <c r="C46" s="1608">
        <f>D70</f>
        <v/>
      </c>
      <c r="D46" s="1608">
        <f>'EBITDA Model'!D108</f>
        <v/>
      </c>
      <c r="E46" s="1623">
        <f>D46/B46</f>
        <v/>
      </c>
      <c r="F46" s="298" t="inlineStr">
        <is>
          <t>CC26</t>
        </is>
      </c>
      <c r="G46" s="1217" t="n"/>
      <c r="H46" s="1217" t="n"/>
      <c r="I46" s="1217" t="n"/>
      <c r="J46" s="1217" t="n"/>
    </row>
    <row r="47">
      <c r="A47" s="207" t="inlineStr">
        <is>
          <t>JSW Steel</t>
        </is>
      </c>
      <c r="B47" s="1583">
        <f>'Steel Price Forecast'!$C$11*('EBITDA Model'!C109+'Cost Curve'!C71)/'Steel Price Forecast'!B11</f>
        <v/>
      </c>
      <c r="C47" s="1609">
        <f>D71</f>
        <v/>
      </c>
      <c r="D47" s="1609">
        <f>'EBITDA Model'!D109</f>
        <v/>
      </c>
      <c r="E47" s="1624">
        <f>D47/B47</f>
        <v/>
      </c>
      <c r="F47" s="299" t="inlineStr">
        <is>
          <t>CC27</t>
        </is>
      </c>
      <c r="G47" s="1217" t="n"/>
      <c r="H47" s="1217" t="n"/>
      <c r="I47" s="1217" t="n"/>
      <c r="J47" s="1217" t="n"/>
    </row>
    <row r="48">
      <c r="A48" s="207" t="inlineStr">
        <is>
          <t>SAIL</t>
        </is>
      </c>
      <c r="B48" s="1583">
        <f>'Steel Price Forecast'!$C$11*('EBITDA Model'!C110+'Cost Curve'!C72)/'Steel Price Forecast'!B11</f>
        <v/>
      </c>
      <c r="C48" s="1609">
        <f>D72</f>
        <v/>
      </c>
      <c r="D48" s="1609">
        <f>'EBITDA Model'!C110</f>
        <v/>
      </c>
      <c r="E48" s="1624">
        <f>D48/B48</f>
        <v/>
      </c>
      <c r="F48" s="299" t="inlineStr">
        <is>
          <t>CC28</t>
        </is>
      </c>
      <c r="G48" s="1217" t="n"/>
      <c r="H48" s="1217" t="n"/>
      <c r="I48" s="1217" t="n"/>
      <c r="J48" s="1217" t="n"/>
    </row>
    <row r="49" ht="15" customHeight="1" thickBot="1">
      <c r="A49" s="208" t="inlineStr">
        <is>
          <t>Jindal Steel</t>
        </is>
      </c>
      <c r="B49" s="1597">
        <f>'Steel Price Forecast'!$C$11*('EBITDA Model'!C111+'Cost Curve'!C73)/'Steel Price Forecast'!B11</f>
        <v/>
      </c>
      <c r="C49" s="1625">
        <f>D73</f>
        <v/>
      </c>
      <c r="D49" s="1625">
        <f>'EBITDA Model'!C111</f>
        <v/>
      </c>
      <c r="E49" s="1626">
        <f>D49/B49</f>
        <v/>
      </c>
      <c r="F49" s="819" t="inlineStr">
        <is>
          <t>CC29</t>
        </is>
      </c>
      <c r="G49" s="1217" t="n"/>
      <c r="H49" s="1217" t="n"/>
      <c r="I49" s="1217" t="n"/>
      <c r="J49" s="1217" t="n"/>
    </row>
    <row r="50">
      <c r="A50" s="1217" t="n"/>
      <c r="B50" s="301" t="n"/>
      <c r="C50" s="301" t="n"/>
      <c r="D50" s="1217" t="n"/>
      <c r="E50" s="1217" t="n"/>
      <c r="F50" s="1217" t="n"/>
      <c r="G50" s="1217" t="n"/>
      <c r="H50" s="1217" t="n"/>
      <c r="I50" s="1217" t="n"/>
      <c r="J50" s="1217" t="n"/>
    </row>
    <row r="51">
      <c r="A51" s="1217" t="n"/>
      <c r="B51" s="301" t="n"/>
      <c r="C51" s="301" t="n"/>
      <c r="D51" s="1217" t="n"/>
      <c r="E51" s="1217" t="n"/>
      <c r="F51" s="1217" t="n"/>
      <c r="G51" s="1217" t="n"/>
      <c r="H51" s="1217" t="n"/>
      <c r="I51" s="1217" t="n"/>
      <c r="J51" s="1217" t="n"/>
    </row>
    <row r="52" ht="15.6" customHeight="1">
      <c r="A52" s="1243" t="inlineStr">
        <is>
          <t>Scenario Analysis</t>
        </is>
      </c>
      <c r="B52" s="1339" t="n"/>
      <c r="C52" s="1339" t="n"/>
      <c r="D52" s="1339" t="n"/>
      <c r="E52" s="1137" t="n"/>
      <c r="F52" s="1217" t="n"/>
      <c r="G52" s="1217" t="n"/>
      <c r="H52" s="1217" t="n"/>
      <c r="I52" s="1217" t="n"/>
      <c r="J52" s="1217" t="n"/>
    </row>
    <row r="53">
      <c r="A53" s="1193" t="inlineStr">
        <is>
          <t>Scenario</t>
        </is>
      </c>
      <c r="B53" s="1193" t="inlineStr">
        <is>
          <t>Average Cost</t>
        </is>
      </c>
      <c r="C53" s="1193" t="inlineStr">
        <is>
          <t>EBITDA/t</t>
        </is>
      </c>
      <c r="D53" s="1193" t="inlineStr">
        <is>
          <t>Spread</t>
        </is>
      </c>
      <c r="E53" s="1217" t="n"/>
      <c r="F53" s="1217" t="n"/>
      <c r="G53" s="1217" t="n"/>
      <c r="H53" s="1217" t="n"/>
      <c r="I53" s="1217" t="n"/>
      <c r="J53" s="1217" t="n"/>
    </row>
    <row r="54">
      <c r="A54" s="1199" t="inlineStr">
        <is>
          <t>Base</t>
        </is>
      </c>
      <c r="B54" s="1287" t="n"/>
      <c r="C54" s="1287" t="n"/>
      <c r="D54" s="1287" t="n"/>
      <c r="E54" s="1217" t="n"/>
      <c r="F54" s="1217" t="n"/>
      <c r="G54" s="1217" t="n"/>
      <c r="H54" s="1217" t="n"/>
      <c r="I54" s="1217" t="n"/>
      <c r="J54" s="1217" t="n"/>
    </row>
    <row r="55">
      <c r="A55" s="1199" t="inlineStr">
        <is>
          <t>Bull</t>
        </is>
      </c>
      <c r="B55" s="1287" t="n"/>
      <c r="C55" s="1287" t="n"/>
      <c r="D55" s="1287" t="n"/>
      <c r="E55" s="1217" t="n"/>
      <c r="F55" s="1217" t="n"/>
      <c r="G55" s="1217" t="n"/>
      <c r="H55" s="1217" t="n"/>
      <c r="I55" s="1217" t="n"/>
      <c r="J55" s="1217" t="n"/>
    </row>
    <row r="56">
      <c r="A56" s="1199" t="inlineStr">
        <is>
          <t>Bear</t>
        </is>
      </c>
      <c r="B56" s="1287" t="n"/>
      <c r="C56" s="1287" t="n"/>
      <c r="D56" s="1287" t="n"/>
      <c r="E56" s="1217" t="n"/>
      <c r="F56" s="1217" t="n"/>
      <c r="G56" s="1217" t="n"/>
      <c r="H56" s="1217" t="n"/>
      <c r="I56" s="1217" t="n"/>
      <c r="J56" s="1217" t="n"/>
    </row>
    <row r="57">
      <c r="A57" s="1199" t="inlineStr">
        <is>
          <t>Stress</t>
        </is>
      </c>
      <c r="B57" s="1287" t="n"/>
      <c r="C57" s="1287" t="n"/>
      <c r="D57" s="1287" t="n"/>
      <c r="E57" s="1217" t="n"/>
      <c r="F57" s="1217" t="n"/>
      <c r="G57" s="1217" t="n"/>
      <c r="H57" s="1217" t="n"/>
      <c r="I57" s="1217" t="n"/>
      <c r="J57" s="1217" t="n"/>
    </row>
    <row r="58">
      <c r="A58" s="1217" t="n"/>
      <c r="B58" s="301" t="n"/>
      <c r="C58" s="301" t="n"/>
      <c r="D58" s="1217" t="n"/>
      <c r="E58" s="1217" t="n"/>
      <c r="F58" s="1217" t="n"/>
      <c r="G58" s="1217" t="n"/>
      <c r="H58" s="1217" t="n"/>
      <c r="I58" s="1217" t="n"/>
      <c r="J58" s="1217" t="n"/>
    </row>
    <row r="59">
      <c r="A59" s="1217" t="n"/>
      <c r="B59" s="301" t="n"/>
      <c r="C59" s="301" t="n"/>
      <c r="D59" s="1217" t="n"/>
      <c r="E59" s="1217" t="n"/>
      <c r="F59" s="1217" t="n"/>
      <c r="G59" s="1217" t="n"/>
      <c r="H59" s="1217" t="n"/>
      <c r="I59" s="1217" t="n"/>
      <c r="J59" s="1217" t="n"/>
    </row>
    <row r="60" ht="16.2" customHeight="1" thickBot="1">
      <c r="A60" s="1280" t="inlineStr">
        <is>
          <t>Workbook</t>
        </is>
      </c>
      <c r="B60" s="1627" t="n"/>
      <c r="C60" s="1627" t="n"/>
      <c r="D60" s="1627" t="n"/>
      <c r="E60" s="1627" t="n"/>
      <c r="F60" s="1627" t="n"/>
      <c r="G60" s="1627" t="n"/>
      <c r="H60" s="1627" t="n"/>
      <c r="I60" s="1627" t="n"/>
      <c r="J60" s="1627" t="n"/>
    </row>
    <row r="61" ht="15" customHeight="1" thickBot="1">
      <c r="A61" s="56" t="inlineStr">
        <is>
          <t>Line item</t>
        </is>
      </c>
      <c r="B61" s="58" t="inlineStr">
        <is>
          <t>Unit</t>
        </is>
      </c>
      <c r="C61" s="58" t="inlineStr">
        <is>
          <t>FY2026A</t>
        </is>
      </c>
      <c r="D61" s="58" t="inlineStr">
        <is>
          <t>FY2027E</t>
        </is>
      </c>
      <c r="E61" s="58" t="inlineStr">
        <is>
          <t>FY2028E</t>
        </is>
      </c>
      <c r="F61" s="58" t="inlineStr">
        <is>
          <t>FY2029E</t>
        </is>
      </c>
      <c r="G61" s="58" t="inlineStr">
        <is>
          <t>FY2030E</t>
        </is>
      </c>
      <c r="H61" s="58" t="inlineStr">
        <is>
          <t>FY2031E</t>
        </is>
      </c>
      <c r="I61" s="58" t="inlineStr">
        <is>
          <t>FY2032E</t>
        </is>
      </c>
      <c r="J61" s="58" t="inlineStr">
        <is>
          <t>FY2033E</t>
        </is>
      </c>
      <c r="K61" s="333" t="inlineStr">
        <is>
          <t>Audit Code</t>
        </is>
      </c>
    </row>
    <row r="62" ht="15" customHeight="1" thickTop="1">
      <c r="A62" s="61" t="inlineStr">
        <is>
          <t>Raw material share of cash cost</t>
        </is>
      </c>
      <c r="B62" s="69" t="inlineStr">
        <is>
          <t>%</t>
        </is>
      </c>
      <c r="C62" s="1628">
        <f>'Model Assumptions'!D$20</f>
        <v/>
      </c>
      <c r="D62" s="1628">
        <f>'Model Assumptions'!E$20</f>
        <v/>
      </c>
      <c r="E62" s="1628">
        <f>'Model Assumptions'!F$20</f>
        <v/>
      </c>
      <c r="F62" s="1628">
        <f>'Model Assumptions'!G$20</f>
        <v/>
      </c>
      <c r="G62" s="1628">
        <f>'Model Assumptions'!H$20</f>
        <v/>
      </c>
      <c r="H62" s="1628">
        <f>'Model Assumptions'!I$20</f>
        <v/>
      </c>
      <c r="I62" s="1628">
        <f>'Model Assumptions'!J$20</f>
        <v/>
      </c>
      <c r="J62" s="1628">
        <f>'Model Assumptions'!K$20</f>
        <v/>
      </c>
      <c r="K62" s="298" t="inlineStr">
        <is>
          <t>CC30</t>
        </is>
      </c>
    </row>
    <row r="63">
      <c r="A63" s="61" t="inlineStr">
        <is>
          <t>Raw material cost index</t>
        </is>
      </c>
      <c r="B63" s="69" t="inlineStr">
        <is>
          <t>x</t>
        </is>
      </c>
      <c r="C63" s="1629">
        <f>'Raw Material Forecast'!C$71</f>
        <v/>
      </c>
      <c r="D63" s="1629">
        <f>'Raw Material Forecast'!D$71</f>
        <v/>
      </c>
      <c r="E63" s="1629">
        <f>'Raw Material Forecast'!E$71</f>
        <v/>
      </c>
      <c r="F63" s="1629">
        <f>'Raw Material Forecast'!F$71</f>
        <v/>
      </c>
      <c r="G63" s="1629">
        <f>'Raw Material Forecast'!G$71</f>
        <v/>
      </c>
      <c r="H63" s="1629">
        <f>'Raw Material Forecast'!H$71</f>
        <v/>
      </c>
      <c r="I63" s="1629">
        <f>'Raw Material Forecast'!I$71</f>
        <v/>
      </c>
      <c r="J63" s="1629">
        <f>'Raw Material Forecast'!J$71</f>
        <v/>
      </c>
      <c r="K63" s="299" t="inlineStr">
        <is>
          <t>CC31</t>
        </is>
      </c>
    </row>
    <row r="64">
      <c r="A64" s="61" t="inlineStr">
        <is>
          <t>Conversion cost index</t>
        </is>
      </c>
      <c r="B64" s="69" t="inlineStr">
        <is>
          <t>x</t>
        </is>
      </c>
      <c r="C64" s="1629">
        <f>'Raw Material Forecast'!C$69</f>
        <v/>
      </c>
      <c r="D64" s="1629">
        <f>'Raw Material Forecast'!D$69</f>
        <v/>
      </c>
      <c r="E64" s="1629">
        <f>'Raw Material Forecast'!E$69</f>
        <v/>
      </c>
      <c r="F64" s="1629">
        <f>'Raw Material Forecast'!F$69</f>
        <v/>
      </c>
      <c r="G64" s="1629">
        <f>'Raw Material Forecast'!G$69</f>
        <v/>
      </c>
      <c r="H64" s="1629">
        <f>'Raw Material Forecast'!H$69</f>
        <v/>
      </c>
      <c r="I64" s="1629">
        <f>'Raw Material Forecast'!I$69</f>
        <v/>
      </c>
      <c r="J64" s="1629">
        <f>'Raw Material Forecast'!J$69</f>
        <v/>
      </c>
      <c r="K64" s="299" t="inlineStr">
        <is>
          <t>CC32</t>
        </is>
      </c>
    </row>
    <row r="65" ht="15" customHeight="1" thickBot="1">
      <c r="A65" s="86" t="inlineStr">
        <is>
          <t>Industry cash cost per tonne</t>
        </is>
      </c>
      <c r="B65" s="70" t="inlineStr">
        <is>
          <t>Rs/t</t>
        </is>
      </c>
      <c r="C65" s="1630">
        <f>'[1]Cash Cost'!$H$13</f>
        <v/>
      </c>
      <c r="D65" s="1631">
        <f>$C$65*(D62*D63+(1-D62)*D64)</f>
        <v/>
      </c>
      <c r="E65" s="1631">
        <f>$C$65*(E62*E63+(1-E62)*E64)</f>
        <v/>
      </c>
      <c r="F65" s="1631">
        <f>$C$65*(F62*F63+(1-F62)*F64)</f>
        <v/>
      </c>
      <c r="G65" s="1631">
        <f>$C$65*(G62*G63+(1-G62)*G64)</f>
        <v/>
      </c>
      <c r="H65" s="1631">
        <f>$C$65*(H62*H63+(1-H62)*H64)</f>
        <v/>
      </c>
      <c r="I65" s="1631">
        <f>$C$65*(I62*I63+(1-I62)*I64)</f>
        <v/>
      </c>
      <c r="J65" s="1631">
        <f>$C$65*(J62*J63+(1-J62)*J64)</f>
        <v/>
      </c>
      <c r="K65" s="819" t="inlineStr">
        <is>
          <t>CC33</t>
        </is>
      </c>
    </row>
    <row r="67">
      <c r="A67" s="1281" t="inlineStr">
        <is>
          <t>PRODUCER COST CURVE - FY2026A ACTUAL AND FORECAST</t>
        </is>
      </c>
    </row>
    <row r="68" ht="15" customHeight="1" thickBot="1">
      <c r="A68" s="1282" t="inlineStr">
        <is>
          <t>Each producer's FY2026 implied cash cost is realisation less reported EBITDA/t. The forecast holds each producer's SPREAD to the industry constant, which assumes relative competitive position is stable - a strong assumption, stated explicitly.</t>
        </is>
      </c>
      <c r="B68" s="444" t="n"/>
      <c r="C68" s="444" t="n"/>
      <c r="D68" s="444" t="n"/>
      <c r="E68" s="444" t="n"/>
      <c r="F68" s="444" t="n"/>
      <c r="G68" s="444" t="n"/>
      <c r="H68" s="444" t="n"/>
      <c r="I68" s="444" t="n"/>
      <c r="J68" s="444" t="n"/>
      <c r="K68" s="444" t="n"/>
    </row>
    <row r="69" ht="15.6" customHeight="1" thickBot="1" thickTop="1">
      <c r="A69" s="494" t="inlineStr">
        <is>
          <t>Line item</t>
        </is>
      </c>
      <c r="B69" s="495" t="inlineStr">
        <is>
          <t>Unit</t>
        </is>
      </c>
      <c r="C69" s="569" t="inlineStr">
        <is>
          <t>FY2026A</t>
        </is>
      </c>
      <c r="D69" s="569" t="inlineStr">
        <is>
          <t>FY2027E</t>
        </is>
      </c>
      <c r="E69" s="569" t="inlineStr">
        <is>
          <t>FY2028E</t>
        </is>
      </c>
      <c r="F69" s="569" t="inlineStr">
        <is>
          <t>FY2029E</t>
        </is>
      </c>
      <c r="G69" s="569" t="inlineStr">
        <is>
          <t>FY2030E</t>
        </is>
      </c>
      <c r="H69" s="569" t="inlineStr">
        <is>
          <t>FY2031E</t>
        </is>
      </c>
      <c r="I69" s="569" t="inlineStr">
        <is>
          <t>FY2032E</t>
        </is>
      </c>
      <c r="J69" s="569" t="inlineStr">
        <is>
          <t>FY2033E</t>
        </is>
      </c>
      <c r="K69" s="1274" t="inlineStr">
        <is>
          <t>Audit Code</t>
        </is>
      </c>
    </row>
    <row r="70" ht="15" customHeight="1" thickTop="1">
      <c r="A70" s="429" t="inlineStr">
        <is>
          <t>Tata Steel - cash cost</t>
        </is>
      </c>
      <c r="B70" s="683" t="inlineStr">
        <is>
          <t>Rs/t</t>
        </is>
      </c>
      <c r="C70" s="1632">
        <f>'[1]Cash Cost'!$H$17</f>
        <v/>
      </c>
      <c r="D70" s="1633">
        <f>$C$70*((0.6*D63)+(0.4*D64))</f>
        <v/>
      </c>
      <c r="E70" s="1633">
        <f>$C$70*((0.6*E63)+(0.4*E64))</f>
        <v/>
      </c>
      <c r="F70" s="1633">
        <f>$C$70*((0.6*F63)+(0.4*F64))</f>
        <v/>
      </c>
      <c r="G70" s="1633">
        <f>$C$70*((0.6*G63)+(0.4*G64))</f>
        <v/>
      </c>
      <c r="H70" s="1633">
        <f>$C$70*((0.6*H63)+(0.4*H64))</f>
        <v/>
      </c>
      <c r="I70" s="1633">
        <f>$C$70*((0.6*I63)+(0.4*I64))</f>
        <v/>
      </c>
      <c r="J70" s="1633">
        <f>$C$70*((0.6*J63)+(0.4*J64))</f>
        <v/>
      </c>
      <c r="K70" s="298" t="inlineStr">
        <is>
          <t>CC34</t>
        </is>
      </c>
    </row>
    <row r="71">
      <c r="A71" s="423" t="inlineStr">
        <is>
          <t>JSW Steel - cash cost</t>
        </is>
      </c>
      <c r="B71" s="456" t="inlineStr">
        <is>
          <t>Rs/t</t>
        </is>
      </c>
      <c r="C71" s="1634">
        <f>'[1]Cash Cost'!$H$18</f>
        <v/>
      </c>
      <c r="D71" s="1633">
        <f>$C$71*((0.6*D63)+(0.4*D64))</f>
        <v/>
      </c>
      <c r="E71" s="1633">
        <f>$C$71*((0.6*E63)+(0.4*E64))</f>
        <v/>
      </c>
      <c r="F71" s="1633">
        <f>$C$71*((0.6*F63)+(0.4*F64))</f>
        <v/>
      </c>
      <c r="G71" s="1633">
        <f>$C$71*((0.6*G63)+(0.4*G64))</f>
        <v/>
      </c>
      <c r="H71" s="1633">
        <f>$C$71*((0.6*H63)+(0.4*H64))</f>
        <v/>
      </c>
      <c r="I71" s="1633">
        <f>$C$71*((0.6*I63)+(0.4*I64))</f>
        <v/>
      </c>
      <c r="J71" s="1633">
        <f>$C$71*((0.6*J63)+(0.4*J64))</f>
        <v/>
      </c>
      <c r="K71" s="299" t="inlineStr">
        <is>
          <t>CC35</t>
        </is>
      </c>
    </row>
    <row r="72">
      <c r="A72" s="423" t="inlineStr">
        <is>
          <t>SAIL - cash cost</t>
        </is>
      </c>
      <c r="B72" s="456" t="inlineStr">
        <is>
          <t>Rs/t</t>
        </is>
      </c>
      <c r="C72" s="1634">
        <f>'[1]Cash Cost'!$H$19</f>
        <v/>
      </c>
      <c r="D72" s="1633">
        <f>$C$72*((0.6*D63)+(0.4*D64))</f>
        <v/>
      </c>
      <c r="E72" s="1633">
        <f>$C$72*((0.6*E63)+(0.4*E64))</f>
        <v/>
      </c>
      <c r="F72" s="1633">
        <f>$C$72*((0.6*F63)+(0.4*F64))</f>
        <v/>
      </c>
      <c r="G72" s="1633">
        <f>$C$72*((0.6*G63)+(0.4*G64))</f>
        <v/>
      </c>
      <c r="H72" s="1633">
        <f>$C$72*((0.6*H63)+(0.4*H64))</f>
        <v/>
      </c>
      <c r="I72" s="1633">
        <f>$C$72*((0.6*I63)+(0.4*I64))</f>
        <v/>
      </c>
      <c r="J72" s="1633">
        <f>$C$72*((0.6*J63)+(0.4*J64))</f>
        <v/>
      </c>
      <c r="K72" s="299" t="inlineStr">
        <is>
          <t>CC36</t>
        </is>
      </c>
    </row>
    <row r="73">
      <c r="A73" s="423" t="inlineStr">
        <is>
          <t>Jindal Steel - cash cost</t>
        </is>
      </c>
      <c r="B73" s="456" t="inlineStr">
        <is>
          <t>Rs/t</t>
        </is>
      </c>
      <c r="C73" s="1634">
        <f>'[1]Cash Cost'!$H$20</f>
        <v/>
      </c>
      <c r="D73" s="1633">
        <f>$C$73*((0.6*D63)+(0.4*D64))</f>
        <v/>
      </c>
      <c r="E73" s="1633">
        <f>$C$73*((0.6*E63)+(0.4*E64))</f>
        <v/>
      </c>
      <c r="F73" s="1633">
        <f>$C$73*((0.6*F63)+(0.4*F64))</f>
        <v/>
      </c>
      <c r="G73" s="1633">
        <f>$C$73*((0.6*G63)+(0.4*G64))</f>
        <v/>
      </c>
      <c r="H73" s="1633">
        <f>$C$73*((0.6*H63)+(0.4*H64))</f>
        <v/>
      </c>
      <c r="I73" s="1633">
        <f>$C$73*((0.6*I63)+(0.4*I64))</f>
        <v/>
      </c>
      <c r="J73" s="1633">
        <f>$C$73*((0.6*J63)+(0.4*J64))</f>
        <v/>
      </c>
      <c r="K73" s="299" t="inlineStr">
        <is>
          <t>CC37</t>
        </is>
      </c>
    </row>
    <row r="74">
      <c r="A74" s="423" t="inlineStr">
        <is>
          <t>Jindal Stainless - cash cost (not comparable)</t>
        </is>
      </c>
      <c r="B74" s="456" t="inlineStr">
        <is>
          <t>Rs/t</t>
        </is>
      </c>
      <c r="C74" s="1634">
        <f>'[1]Cash Cost'!$H21</f>
        <v/>
      </c>
      <c r="D74" s="1633" t="n"/>
      <c r="E74" s="1635" t="n"/>
      <c r="F74" s="1635" t="n"/>
      <c r="G74" s="1635" t="n"/>
      <c r="H74" s="1635" t="n"/>
      <c r="I74" s="1635" t="n"/>
      <c r="J74" s="1635" t="n"/>
      <c r="K74" s="299" t="inlineStr">
        <is>
          <t>CC38</t>
        </is>
      </c>
    </row>
    <row r="75">
      <c r="A75" s="423" t="inlineStr">
        <is>
          <t>Others (India, residual) - cash cost</t>
        </is>
      </c>
      <c r="B75" s="456" t="inlineStr">
        <is>
          <t>Rs/t</t>
        </is>
      </c>
      <c r="C75" s="1634">
        <f>'[1]Cash Cost'!$H22</f>
        <v/>
      </c>
      <c r="D75" s="1633">
        <f>$C$75*((0.6*D63)+(0.4*D64))</f>
        <v/>
      </c>
      <c r="E75" s="1633">
        <f>$C$75*((0.6*E63)+(0.4*E64))</f>
        <v/>
      </c>
      <c r="F75" s="1633">
        <f>$C$75*((0.6*F63)+(0.4*F64))</f>
        <v/>
      </c>
      <c r="G75" s="1633">
        <f>$C$75*((0.6*G63)+(0.4*G64))</f>
        <v/>
      </c>
      <c r="H75" s="1633">
        <f>$C$75*((0.6*H63)+(0.4*H64))</f>
        <v/>
      </c>
      <c r="I75" s="1633">
        <f>$C$75*((0.6*I63)+(0.4*I64))</f>
        <v/>
      </c>
      <c r="J75" s="1633">
        <f>$C$75*((0.6*J63)+(0.4*J64))</f>
        <v/>
      </c>
      <c r="K75" s="299" t="inlineStr">
        <is>
          <t>CC39</t>
        </is>
      </c>
    </row>
    <row r="76" ht="15" customHeight="1" thickBot="1">
      <c r="A76" s="481" t="inlineStr">
        <is>
          <t>TOTAL (Industry) - cash cost</t>
        </is>
      </c>
      <c r="B76" s="482" t="inlineStr">
        <is>
          <t>Rs/t</t>
        </is>
      </c>
      <c r="C76" s="1636">
        <f>'[1]Cash Cost'!$H23</f>
        <v/>
      </c>
      <c r="D76" s="1637">
        <f>$C$76*((0.6*D63)+(0.4*D64))</f>
        <v/>
      </c>
      <c r="E76" s="1637">
        <f>$C$76*((0.6*E63)+(0.4*E64))</f>
        <v/>
      </c>
      <c r="F76" s="1637">
        <f>$C$76*((0.6*F63)+(0.4*F64))</f>
        <v/>
      </c>
      <c r="G76" s="1637">
        <f>$C$76*((0.6*G63)+(0.4*G64))</f>
        <v/>
      </c>
      <c r="H76" s="1637">
        <f>$C$76*((0.6*H63)+(0.4*H64))</f>
        <v/>
      </c>
      <c r="I76" s="1637">
        <f>$C$76*((0.6*I63)+(0.4*I64))</f>
        <v/>
      </c>
      <c r="J76" s="1637">
        <f>$C$76*((0.6*J63)+(0.4*J64))</f>
        <v/>
      </c>
      <c r="K76" s="819" t="inlineStr">
        <is>
          <t>CC40</t>
        </is>
      </c>
    </row>
    <row r="77">
      <c r="A77" s="813" t="n"/>
    </row>
    <row r="78" ht="22.2" customHeight="1">
      <c r="A78" s="1132" t="inlineStr">
        <is>
          <t>Cost-curve position is the primary determinant of who survives a downturn. On FY2026 actuals Tata Steel India sits roughly Rs 2,180/t BELOW the industry weighted cash cost and Jindal Steel roughly Rs 1,600/t above it - a Rs 3,780/t spread between best and worst of the four, equal to about 35% of industry EBITDA per tonne.</t>
        </is>
      </c>
    </row>
    <row r="84">
      <c r="D84" s="1638" t="n"/>
    </row>
  </sheetData>
  <mergeCells count="14">
    <mergeCell ref="A2:F2"/>
    <mergeCell ref="A5:J5"/>
    <mergeCell ref="J3:K3"/>
    <mergeCell ref="A7:I7"/>
    <mergeCell ref="A67:J67"/>
    <mergeCell ref="A78:J78"/>
    <mergeCell ref="A1:K1"/>
    <mergeCell ref="A52:D52"/>
    <mergeCell ref="A17:H17"/>
    <mergeCell ref="A68:K68"/>
    <mergeCell ref="A44:E44"/>
    <mergeCell ref="A26:C26"/>
    <mergeCell ref="A60:J60"/>
    <mergeCell ref="H3:I3"/>
  </mergeCells>
  <pageMargins left="0.7" right="0.7" top="0.75" bottom="0.75" header="0.3" footer="0.3"/>
</worksheet>
</file>

<file path=xl/worksheets/sheet17.xml><?xml version="1.0" encoding="utf-8"?>
<worksheet xmlns="http://schemas.openxmlformats.org/spreadsheetml/2006/main">
  <sheetPr codeName="Sheet17">
    <tabColor rgb="FF002060"/>
    <outlinePr summaryBelow="1" summaryRight="1"/>
    <pageSetUpPr/>
  </sheetPr>
  <dimension ref="A1:Q117"/>
  <sheetViews>
    <sheetView showGridLines="0" topLeftCell="A77" workbookViewId="0">
      <selection activeCell="D94" sqref="D94"/>
    </sheetView>
  </sheetViews>
  <sheetFormatPr baseColWidth="8" defaultRowHeight="14.4"/>
  <cols>
    <col width="27.77734375" customWidth="1" style="1262" min="1" max="1"/>
    <col width="11.88671875" customWidth="1" style="107" min="2" max="3"/>
    <col width="12.88671875" customWidth="1" style="107" min="4" max="4"/>
    <col width="11.88671875" customWidth="1" style="107" min="5" max="9"/>
    <col width="12.109375" customWidth="1" style="107" min="10" max="10"/>
    <col width="11.5546875" customWidth="1" style="107" min="11" max="11"/>
    <col width="11.5546875" customWidth="1" style="1262" min="12" max="12"/>
    <col width="10.21875" customWidth="1" style="1262" min="13" max="13"/>
    <col width="10.77734375" customWidth="1" style="1262" min="14" max="14"/>
    <col width="8.88671875" customWidth="1" style="1262" min="15" max="15"/>
    <col width="8.5546875" customWidth="1" style="1262" min="16" max="16"/>
    <col width="7.88671875" customWidth="1" style="1262" min="17" max="17"/>
    <col width="8.88671875" customWidth="1" style="1262" min="18" max="16384"/>
  </cols>
  <sheetData>
    <row r="1" ht="25.8" customHeight="1">
      <c r="A1" s="1133" t="inlineStr">
        <is>
          <t>REVENUE FORECAST</t>
        </is>
      </c>
    </row>
    <row r="2" ht="15" customHeight="1" thickBot="1">
      <c r="A2" s="1136" t="inlineStr">
        <is>
          <t>Industry Financial Model  |  Indian Steel Industry  |  Horizon FY2027E-FY2033E  |  Base year FY2026A</t>
        </is>
      </c>
      <c r="L2" s="107" t="n"/>
      <c r="M2" s="107" t="n"/>
      <c r="N2" s="107" t="n"/>
    </row>
    <row r="3" ht="16.2" customHeight="1" thickBot="1">
      <c r="A3" s="1167" t="n"/>
      <c r="N3" s="1407" t="inlineStr">
        <is>
          <t>Active Scenario</t>
        </is>
      </c>
      <c r="O3" s="1401" t="n"/>
      <c r="P3" s="760">
        <f>'Control Panel'!$E$17</f>
        <v/>
      </c>
      <c r="Q3" s="1354" t="n"/>
    </row>
    <row r="4">
      <c r="A4" s="1145" t="inlineStr">
        <is>
          <t>OBJECTIVE</t>
        </is>
      </c>
    </row>
    <row r="5">
      <c r="A5" s="1134" t="inlineStr">
        <is>
          <t>Forecast the Indian steel industry's revenue by combining production volumes, product mix, and realized selling prices.</t>
        </is>
      </c>
    </row>
    <row r="6">
      <c r="A6" s="1134" t="n"/>
      <c r="B6" s="1134" t="n"/>
      <c r="C6" s="1134" t="n"/>
      <c r="D6" s="1134" t="n"/>
      <c r="E6" s="1134" t="n"/>
      <c r="F6" s="1134" t="n"/>
      <c r="G6" s="1134" t="n"/>
      <c r="H6" s="1134" t="n"/>
      <c r="I6" s="1134" t="n"/>
      <c r="J6" s="1134" t="n"/>
      <c r="K6" s="1134" t="n"/>
      <c r="L6" s="1134" t="n"/>
      <c r="M6" s="1134" t="n"/>
      <c r="N6" s="1134" t="n"/>
    </row>
    <row r="7" ht="16.2" customHeight="1" thickBot="1">
      <c r="A7" s="1203" t="inlineStr">
        <is>
          <t>Executive Summary</t>
        </is>
      </c>
      <c r="B7" s="444" t="n"/>
      <c r="C7" s="444" t="n"/>
      <c r="D7" s="444" t="n"/>
      <c r="E7" s="444" t="n"/>
      <c r="F7" s="444" t="n"/>
      <c r="G7" s="444" t="n"/>
      <c r="H7" s="444" t="n"/>
      <c r="I7" s="444" t="n"/>
      <c r="J7" s="444" t="n"/>
      <c r="K7" s="1134" t="n"/>
      <c r="L7" s="1134" t="n"/>
      <c r="M7" s="1134" t="n"/>
      <c r="N7" s="1134" t="n"/>
    </row>
    <row r="8" ht="15" customHeight="1" thickTop="1">
      <c r="A8" s="681" t="inlineStr">
        <is>
          <t>KPI</t>
        </is>
      </c>
      <c r="B8" s="682" t="inlineStr">
        <is>
          <t>FY26A</t>
        </is>
      </c>
      <c r="C8" s="682" t="inlineStr">
        <is>
          <t>FY27E</t>
        </is>
      </c>
      <c r="D8" s="682" t="inlineStr">
        <is>
          <t>FY28E</t>
        </is>
      </c>
      <c r="E8" s="682" t="inlineStr">
        <is>
          <t>FY29E</t>
        </is>
      </c>
      <c r="F8" s="682" t="inlineStr">
        <is>
          <t>FY30E</t>
        </is>
      </c>
      <c r="G8" s="682" t="inlineStr">
        <is>
          <t>FY31E</t>
        </is>
      </c>
      <c r="H8" s="682" t="inlineStr">
        <is>
          <t>FY32E</t>
        </is>
      </c>
      <c r="I8" s="682" t="inlineStr">
        <is>
          <t>FY33E</t>
        </is>
      </c>
      <c r="J8" s="861" t="inlineStr">
        <is>
          <t>Audit Code</t>
        </is>
      </c>
      <c r="K8" s="1134" t="n"/>
      <c r="L8" s="1134" t="n"/>
      <c r="M8" s="1134" t="n"/>
      <c r="N8" s="1134" t="n"/>
    </row>
    <row r="9">
      <c r="A9" s="207" t="inlineStr">
        <is>
          <t>Sales Volume (Mt)</t>
        </is>
      </c>
      <c r="B9" s="1482">
        <f>$C$93</f>
        <v/>
      </c>
      <c r="C9" s="1482">
        <f>$D$93</f>
        <v/>
      </c>
      <c r="D9" s="1482">
        <f>$E$93</f>
        <v/>
      </c>
      <c r="E9" s="1482">
        <f>$F$93</f>
        <v/>
      </c>
      <c r="F9" s="1482">
        <f>$G$93</f>
        <v/>
      </c>
      <c r="G9" s="1482">
        <f>$H$93</f>
        <v/>
      </c>
      <c r="H9" s="1482">
        <f>$I$93</f>
        <v/>
      </c>
      <c r="I9" s="1482">
        <f>$J$93</f>
        <v/>
      </c>
      <c r="J9" s="782" t="inlineStr">
        <is>
          <t>RF01</t>
        </is>
      </c>
      <c r="K9" s="1134" t="n"/>
      <c r="L9" s="1134" t="n"/>
      <c r="M9" s="1134" t="n"/>
      <c r="N9" s="1134" t="n"/>
    </row>
    <row r="10">
      <c r="A10" s="207" t="inlineStr">
        <is>
          <t>Average Selling Price (₹/t)</t>
        </is>
      </c>
      <c r="B10" s="560">
        <f>$C$94</f>
        <v/>
      </c>
      <c r="C10" s="560">
        <f>$D$94</f>
        <v/>
      </c>
      <c r="D10" s="560">
        <f>$E$94</f>
        <v/>
      </c>
      <c r="E10" s="560">
        <f>$F$94</f>
        <v/>
      </c>
      <c r="F10" s="560">
        <f>$G$94</f>
        <v/>
      </c>
      <c r="G10" s="560">
        <f>$H$94</f>
        <v/>
      </c>
      <c r="H10" s="560">
        <f>$I$94</f>
        <v/>
      </c>
      <c r="I10" s="560">
        <f>$J$94</f>
        <v/>
      </c>
      <c r="J10" s="782" t="inlineStr">
        <is>
          <t>RF02</t>
        </is>
      </c>
      <c r="K10" s="1134" t="n"/>
      <c r="L10" s="1134" t="n"/>
      <c r="M10" s="1134" t="n"/>
      <c r="N10" s="1134" t="n"/>
    </row>
    <row r="11">
      <c r="A11" s="207" t="inlineStr">
        <is>
          <t>Revenue (₹ Cr)</t>
        </is>
      </c>
      <c r="B11" s="1639">
        <f>$C$95</f>
        <v/>
      </c>
      <c r="C11" s="1639">
        <f>$D$95</f>
        <v/>
      </c>
      <c r="D11" s="1639">
        <f>$E$95</f>
        <v/>
      </c>
      <c r="E11" s="1639">
        <f>$F$95</f>
        <v/>
      </c>
      <c r="F11" s="1639">
        <f>$G$95</f>
        <v/>
      </c>
      <c r="G11" s="1639">
        <f>$H$95</f>
        <v/>
      </c>
      <c r="H11" s="1639">
        <f>$I$95</f>
        <v/>
      </c>
      <c r="I11" s="1639">
        <f>$J$95</f>
        <v/>
      </c>
      <c r="J11" s="782" t="inlineStr">
        <is>
          <t>RF03</t>
        </is>
      </c>
      <c r="K11" s="1134" t="n"/>
      <c r="L11" s="1134" t="n"/>
      <c r="M11" s="1134" t="n"/>
      <c r="N11" s="1134" t="n"/>
    </row>
    <row r="12">
      <c r="A12" s="207" t="inlineStr">
        <is>
          <t>Revenue Growth (%)</t>
        </is>
      </c>
      <c r="B12" s="414" t="n"/>
      <c r="C12" s="1515">
        <f>(C11-B11)/B11</f>
        <v/>
      </c>
      <c r="D12" s="1515">
        <f>(D11-C11)/C11</f>
        <v/>
      </c>
      <c r="E12" s="1515">
        <f>(E11-D11)/D11</f>
        <v/>
      </c>
      <c r="F12" s="1515">
        <f>(F11-E11)/E11</f>
        <v/>
      </c>
      <c r="G12" s="1515">
        <f>(G11-F11)/F11</f>
        <v/>
      </c>
      <c r="H12" s="1515">
        <f>(H11-G11)/G11</f>
        <v/>
      </c>
      <c r="I12" s="1515">
        <f>(I11-H11)/H11</f>
        <v/>
      </c>
      <c r="J12" s="782" t="inlineStr">
        <is>
          <t>RF04</t>
        </is>
      </c>
      <c r="K12" s="1134" t="n"/>
      <c r="L12" s="1134" t="n"/>
      <c r="M12" s="1134" t="n"/>
      <c r="N12" s="1134" t="n"/>
    </row>
    <row r="13" ht="15" customHeight="1" thickBot="1">
      <c r="A13" s="208" t="inlineStr">
        <is>
          <t>Revenue CAGR</t>
        </is>
      </c>
      <c r="B13" s="1640">
        <f>$K$95</f>
        <v/>
      </c>
      <c r="C13" s="1574">
        <f>IFERROR((D95/$C$95)^(1/1)-1,"")</f>
        <v/>
      </c>
      <c r="D13" s="1574">
        <f>IFERROR((E95/$C$95)^(1/2)-1,"")</f>
        <v/>
      </c>
      <c r="E13" s="1574">
        <f>IFERROR((F95/$C$95)^(1/3)-1,"")</f>
        <v/>
      </c>
      <c r="F13" s="1574">
        <f>IFERROR((G95/$C$95)^(1/4)-1,"")</f>
        <v/>
      </c>
      <c r="G13" s="1574">
        <f>IFERROR((H95/$C$95)^(1/5)-1,"")</f>
        <v/>
      </c>
      <c r="H13" s="1574">
        <f>IFERROR((I95/$C$95)^(1/6)-1,"")</f>
        <v/>
      </c>
      <c r="I13" s="1574">
        <f>IFERROR((J95/$C$95)^(1/7)-1,"")</f>
        <v/>
      </c>
      <c r="J13" s="783" t="inlineStr">
        <is>
          <t>RF05</t>
        </is>
      </c>
      <c r="K13" s="1134" t="n"/>
      <c r="L13" s="1134" t="n"/>
      <c r="M13" s="1134" t="n"/>
      <c r="N13" s="1134" t="n"/>
    </row>
    <row r="14">
      <c r="A14" s="1134" t="n"/>
      <c r="B14" s="1134" t="n"/>
      <c r="C14" s="1134" t="n"/>
      <c r="D14" s="1134" t="n"/>
      <c r="E14" s="1134" t="n"/>
      <c r="F14" s="1134" t="n"/>
      <c r="G14" s="1134" t="n"/>
      <c r="H14" s="1134" t="n"/>
      <c r="I14" s="1134" t="n"/>
      <c r="J14" s="1134" t="n"/>
      <c r="K14" s="1134" t="n"/>
      <c r="L14" s="1134" t="n"/>
      <c r="M14" s="1134" t="n"/>
      <c r="N14" s="1134" t="n"/>
    </row>
    <row r="15">
      <c r="A15" s="1134" t="n"/>
      <c r="B15" s="1134" t="n"/>
      <c r="C15" s="1134" t="n"/>
      <c r="D15" s="1134" t="n"/>
      <c r="E15" s="1134" t="n"/>
      <c r="F15" s="1134" t="n"/>
      <c r="G15" s="1134" t="n"/>
      <c r="H15" s="1134" t="n"/>
      <c r="I15" s="1134" t="n"/>
      <c r="J15" s="1134" t="n"/>
      <c r="K15" s="1134" t="n"/>
      <c r="L15" s="1134" t="n"/>
      <c r="M15" s="1134" t="n"/>
      <c r="N15" s="1134" t="n"/>
    </row>
    <row r="16" ht="16.2" customHeight="1" thickBot="1">
      <c r="A16" s="1203" t="inlineStr">
        <is>
          <t>Revenue Build Up</t>
        </is>
      </c>
      <c r="B16" s="444" t="n"/>
      <c r="C16" s="444" t="n"/>
      <c r="D16" s="444" t="n"/>
      <c r="E16" s="444" t="n"/>
      <c r="F16" s="444" t="n"/>
      <c r="G16" s="444" t="n"/>
      <c r="H16" s="444" t="n"/>
      <c r="I16" s="444" t="n"/>
      <c r="J16" s="444" t="n"/>
      <c r="K16" s="1134" t="n"/>
      <c r="L16" s="1134" t="n"/>
      <c r="M16" s="1134" t="n"/>
      <c r="N16" s="1134" t="n"/>
    </row>
    <row r="17" ht="15.6" customHeight="1" thickBot="1" thickTop="1">
      <c r="A17" s="562" t="inlineStr">
        <is>
          <t>KPI  /  Year</t>
        </is>
      </c>
      <c r="B17" s="563" t="inlineStr">
        <is>
          <t>FY26A</t>
        </is>
      </c>
      <c r="C17" s="563" t="inlineStr">
        <is>
          <t>FY27E</t>
        </is>
      </c>
      <c r="D17" s="563" t="inlineStr">
        <is>
          <t>FY28E</t>
        </is>
      </c>
      <c r="E17" s="563" t="inlineStr">
        <is>
          <t>FY29E</t>
        </is>
      </c>
      <c r="F17" s="563" t="inlineStr">
        <is>
          <t>FY30E</t>
        </is>
      </c>
      <c r="G17" s="563" t="inlineStr">
        <is>
          <t>FY31E</t>
        </is>
      </c>
      <c r="H17" s="563" t="inlineStr">
        <is>
          <t>FY32E</t>
        </is>
      </c>
      <c r="I17" s="500" t="inlineStr">
        <is>
          <t>FY33E</t>
        </is>
      </c>
      <c r="J17" s="333" t="inlineStr">
        <is>
          <t>Audit Code</t>
        </is>
      </c>
      <c r="K17" s="1134" t="n"/>
      <c r="L17" s="1134" t="n"/>
      <c r="M17" s="1134" t="n"/>
      <c r="N17" s="1134" t="n"/>
    </row>
    <row r="18" ht="15" customHeight="1" thickTop="1">
      <c r="A18" s="206" t="inlineStr">
        <is>
          <t>Sales Volume (Mt)</t>
        </is>
      </c>
      <c r="B18" s="1436">
        <f>C$93</f>
        <v/>
      </c>
      <c r="C18" s="1436">
        <f>D$93</f>
        <v/>
      </c>
      <c r="D18" s="1436">
        <f>E$93</f>
        <v/>
      </c>
      <c r="E18" s="1436">
        <f>F$93</f>
        <v/>
      </c>
      <c r="F18" s="1436">
        <f>G$93</f>
        <v/>
      </c>
      <c r="G18" s="1436">
        <f>H$93</f>
        <v/>
      </c>
      <c r="H18" s="1436">
        <f>I$93</f>
        <v/>
      </c>
      <c r="I18" s="1436">
        <f>J$93</f>
        <v/>
      </c>
      <c r="J18" s="863" t="inlineStr">
        <is>
          <t>RF06</t>
        </is>
      </c>
      <c r="K18" s="1134" t="n"/>
      <c r="L18" s="1134" t="n"/>
      <c r="M18" s="1134" t="n"/>
      <c r="N18" s="1134" t="n"/>
    </row>
    <row r="19">
      <c r="A19" s="207" t="inlineStr">
        <is>
          <t>ASP (₹/t)</t>
        </is>
      </c>
      <c r="B19" s="506">
        <f>C$94</f>
        <v/>
      </c>
      <c r="C19" s="506">
        <f>D$94</f>
        <v/>
      </c>
      <c r="D19" s="506">
        <f>E$94</f>
        <v/>
      </c>
      <c r="E19" s="506">
        <f>F$94</f>
        <v/>
      </c>
      <c r="F19" s="506">
        <f>G$94</f>
        <v/>
      </c>
      <c r="G19" s="506">
        <f>H$94</f>
        <v/>
      </c>
      <c r="H19" s="506">
        <f>I$94</f>
        <v/>
      </c>
      <c r="I19" s="506">
        <f>J$94</f>
        <v/>
      </c>
      <c r="J19" s="862" t="inlineStr">
        <is>
          <t>RF07</t>
        </is>
      </c>
      <c r="K19" s="1134" t="n"/>
      <c r="L19" s="1134" t="n"/>
      <c r="M19" s="1134" t="n"/>
      <c r="N19" s="1134" t="n"/>
    </row>
    <row r="20">
      <c r="A20" s="207" t="inlineStr">
        <is>
          <t>Gross Revenue (₹ Cr)</t>
        </is>
      </c>
      <c r="B20" s="560">
        <f>B19*B18/10</f>
        <v/>
      </c>
      <c r="C20" s="560">
        <f>C19*C18/10</f>
        <v/>
      </c>
      <c r="D20" s="560">
        <f>D19*D18/10</f>
        <v/>
      </c>
      <c r="E20" s="560">
        <f>E19*E18/10</f>
        <v/>
      </c>
      <c r="F20" s="560">
        <f>F19*F18/10</f>
        <v/>
      </c>
      <c r="G20" s="560">
        <f>G19*G18/10</f>
        <v/>
      </c>
      <c r="H20" s="560">
        <f>H19*H18/10</f>
        <v/>
      </c>
      <c r="I20" s="560">
        <f>I19*I18/10</f>
        <v/>
      </c>
      <c r="J20" s="862" t="inlineStr">
        <is>
          <t>RF08</t>
        </is>
      </c>
      <c r="K20" s="1134" t="n"/>
      <c r="L20" s="1134" t="n"/>
      <c r="M20" s="1134" t="n"/>
      <c r="N20" s="1134" t="n"/>
    </row>
    <row r="21">
      <c r="A21" s="207" t="inlineStr">
        <is>
          <t>Discounts</t>
        </is>
      </c>
      <c r="B21" s="511" t="n">
        <v>0</v>
      </c>
      <c r="C21" s="511" t="n">
        <v>0</v>
      </c>
      <c r="D21" s="511" t="n">
        <v>0</v>
      </c>
      <c r="E21" s="511" t="n">
        <v>0</v>
      </c>
      <c r="F21" s="511" t="n">
        <v>0</v>
      </c>
      <c r="G21" s="559" t="n">
        <v>0</v>
      </c>
      <c r="H21" s="559" t="n">
        <v>0</v>
      </c>
      <c r="I21" s="559" t="n">
        <v>0</v>
      </c>
      <c r="J21" s="862" t="inlineStr">
        <is>
          <t>RF09</t>
        </is>
      </c>
      <c r="K21" s="1134" t="n"/>
      <c r="L21" s="1134" t="n"/>
      <c r="M21" s="1134" t="n"/>
      <c r="N21" s="1134" t="n"/>
    </row>
    <row r="22" ht="15" customHeight="1" thickBot="1">
      <c r="A22" s="247" t="inlineStr">
        <is>
          <t>Net Revenue (₹ Cr)</t>
        </is>
      </c>
      <c r="B22" s="843">
        <f>B20-B21</f>
        <v/>
      </c>
      <c r="C22" s="843">
        <f>C20-C21</f>
        <v/>
      </c>
      <c r="D22" s="843">
        <f>D20-D21</f>
        <v/>
      </c>
      <c r="E22" s="843">
        <f>E20-E21</f>
        <v/>
      </c>
      <c r="F22" s="843">
        <f>F20-F21</f>
        <v/>
      </c>
      <c r="G22" s="844">
        <f>G20-G21</f>
        <v/>
      </c>
      <c r="H22" s="844">
        <f>H20-H21</f>
        <v/>
      </c>
      <c r="I22" s="864">
        <f>I20-I21</f>
        <v/>
      </c>
      <c r="J22" s="783" t="inlineStr">
        <is>
          <t>RF10</t>
        </is>
      </c>
      <c r="K22" s="1134" t="n"/>
      <c r="L22" s="1134" t="n"/>
      <c r="M22" s="1134" t="n"/>
      <c r="N22" s="1134" t="n"/>
    </row>
    <row r="23">
      <c r="A23" s="177" t="n"/>
      <c r="B23" s="262" t="n"/>
      <c r="C23" s="262" t="n"/>
      <c r="D23" s="262" t="n"/>
      <c r="E23" s="262" t="n"/>
      <c r="F23" s="262" t="n"/>
      <c r="G23" s="1134" t="n"/>
      <c r="H23" s="1134" t="n"/>
      <c r="I23" s="1134" t="n"/>
      <c r="J23" s="1134" t="n"/>
      <c r="K23" s="1134" t="n"/>
      <c r="L23" s="1134" t="n"/>
      <c r="M23" s="1134" t="n"/>
      <c r="N23" s="1134" t="n"/>
    </row>
    <row r="24">
      <c r="A24" s="177" t="n"/>
      <c r="B24" s="262" t="n"/>
      <c r="C24" s="262" t="n"/>
      <c r="D24" s="262" t="n"/>
      <c r="E24" s="262" t="n"/>
      <c r="F24" s="262" t="n"/>
      <c r="G24" s="1134" t="n"/>
      <c r="H24" s="1134" t="n"/>
      <c r="I24" s="1134" t="n"/>
      <c r="J24" s="1134" t="n"/>
      <c r="K24" s="1134" t="n"/>
      <c r="L24" s="1134" t="n"/>
      <c r="M24" s="1134" t="n"/>
      <c r="N24" s="1134" t="n"/>
    </row>
    <row r="25" ht="16.2" customHeight="1" thickBot="1">
      <c r="A25" s="1283" t="inlineStr">
        <is>
          <t>Revenue Bridge</t>
        </is>
      </c>
      <c r="B25" s="1508" t="n"/>
      <c r="C25" s="1508" t="n"/>
      <c r="D25" s="1508" t="n"/>
      <c r="E25" s="1508" t="n"/>
      <c r="F25" s="1508" t="n"/>
      <c r="G25" s="1508" t="n"/>
      <c r="H25" s="1508" t="n"/>
      <c r="I25" s="1137" t="n"/>
      <c r="J25" s="1134" t="n"/>
      <c r="K25" s="1134" t="n"/>
      <c r="L25" s="1134" t="n"/>
      <c r="M25" s="1134" t="n"/>
      <c r="N25" s="1134" t="n"/>
    </row>
    <row r="26" ht="15" customHeight="1" thickBot="1">
      <c r="A26" s="561" t="inlineStr">
        <is>
          <t>Driver</t>
        </is>
      </c>
      <c r="B26" s="566" t="inlineStr">
        <is>
          <t>FY27E</t>
        </is>
      </c>
      <c r="C26" s="566" t="inlineStr">
        <is>
          <t>FY28E</t>
        </is>
      </c>
      <c r="D26" s="566" t="inlineStr">
        <is>
          <t>FY29E</t>
        </is>
      </c>
      <c r="E26" s="566" t="inlineStr">
        <is>
          <t>FY30E</t>
        </is>
      </c>
      <c r="F26" s="566" t="inlineStr">
        <is>
          <t>FY31E</t>
        </is>
      </c>
      <c r="G26" s="566" t="inlineStr">
        <is>
          <t>FY32E</t>
        </is>
      </c>
      <c r="H26" s="865" t="inlineStr">
        <is>
          <t>FY33E</t>
        </is>
      </c>
      <c r="I26" s="333" t="inlineStr">
        <is>
          <t>Audit Code</t>
        </is>
      </c>
      <c r="J26" s="1134" t="n"/>
      <c r="K26" s="1134" t="n"/>
      <c r="L26" s="1134" t="n"/>
      <c r="M26" s="1134" t="n"/>
      <c r="N26" s="1134" t="n"/>
    </row>
    <row r="27" ht="15" customHeight="1" thickTop="1">
      <c r="A27" s="206" t="inlineStr">
        <is>
          <t>Previous Revenue</t>
        </is>
      </c>
      <c r="B27" s="1641">
        <f>B20</f>
        <v/>
      </c>
      <c r="C27" s="1641">
        <f>C20</f>
        <v/>
      </c>
      <c r="D27" s="1641">
        <f>D20</f>
        <v/>
      </c>
      <c r="E27" s="1641">
        <f>E20</f>
        <v/>
      </c>
      <c r="F27" s="1641">
        <f>F20</f>
        <v/>
      </c>
      <c r="G27" s="1641">
        <f>G20</f>
        <v/>
      </c>
      <c r="H27" s="1642">
        <f>H20</f>
        <v/>
      </c>
      <c r="I27" s="863" t="inlineStr">
        <is>
          <t>RF11</t>
        </is>
      </c>
      <c r="J27" s="1134" t="n"/>
      <c r="K27" s="1134" t="n"/>
      <c r="L27" s="1134" t="n"/>
      <c r="M27" s="1134" t="n"/>
      <c r="N27" s="1134" t="n"/>
    </row>
    <row r="28">
      <c r="A28" s="207" t="inlineStr">
        <is>
          <t>Volume Effect</t>
        </is>
      </c>
      <c r="B28" s="1642">
        <f>(D93-C93)*C94/10</f>
        <v/>
      </c>
      <c r="C28" s="1642">
        <f>(E93-D93)*D94/10</f>
        <v/>
      </c>
      <c r="D28" s="1642">
        <f>(F93-E93)*E94/10</f>
        <v/>
      </c>
      <c r="E28" s="1642">
        <f>(G93-F93)*F94/10</f>
        <v/>
      </c>
      <c r="F28" s="1642">
        <f>(H93-G93)*G94/10</f>
        <v/>
      </c>
      <c r="G28" s="1642">
        <f>(I93-H93)*H94/10</f>
        <v/>
      </c>
      <c r="H28" s="1642">
        <f>(J93-I93)*I94/10</f>
        <v/>
      </c>
      <c r="I28" s="862" t="inlineStr">
        <is>
          <t>RF12</t>
        </is>
      </c>
      <c r="J28" s="1134" t="n"/>
      <c r="K28" s="1134" t="n"/>
      <c r="L28" s="1134" t="n"/>
      <c r="M28" s="1134" t="n"/>
      <c r="N28" s="1134" t="n"/>
    </row>
    <row r="29">
      <c r="A29" s="207" t="inlineStr">
        <is>
          <t>Price Effect</t>
        </is>
      </c>
      <c r="B29" s="1642">
        <f>D93*(D94-C94)/10</f>
        <v/>
      </c>
      <c r="C29" s="1642">
        <f>E93*(E94-D94)/10</f>
        <v/>
      </c>
      <c r="D29" s="1642">
        <f>F93*(F94-E94)/10</f>
        <v/>
      </c>
      <c r="E29" s="1642">
        <f>G93*(G94-F94)/10</f>
        <v/>
      </c>
      <c r="F29" s="1642">
        <f>H93*(H94-G94)/10</f>
        <v/>
      </c>
      <c r="G29" s="1642">
        <f>I93*(I94-H94)/10</f>
        <v/>
      </c>
      <c r="H29" s="1642">
        <f>J93*(J94-I94)/10</f>
        <v/>
      </c>
      <c r="I29" s="863" t="inlineStr">
        <is>
          <t>RF13</t>
        </is>
      </c>
      <c r="J29" s="1134" t="n"/>
      <c r="K29" s="1134" t="n"/>
      <c r="L29" s="1134" t="n"/>
      <c r="M29" s="1134" t="n"/>
      <c r="N29" s="1134" t="n"/>
    </row>
    <row r="30">
      <c r="A30" s="207" t="inlineStr">
        <is>
          <t>Product Mix Effect</t>
        </is>
      </c>
      <c r="B30" s="1643" t="n">
        <v>0</v>
      </c>
      <c r="C30" s="1643" t="n">
        <v>0</v>
      </c>
      <c r="D30" s="1643" t="n">
        <v>0</v>
      </c>
      <c r="E30" s="1643" t="n">
        <v>0</v>
      </c>
      <c r="F30" s="1643" t="n">
        <v>0</v>
      </c>
      <c r="G30" s="1643" t="n">
        <v>0</v>
      </c>
      <c r="H30" s="1643" t="n">
        <v>0</v>
      </c>
      <c r="I30" s="862" t="inlineStr">
        <is>
          <t>RF14</t>
        </is>
      </c>
      <c r="J30" s="1134" t="n"/>
      <c r="K30" s="1134" t="n"/>
      <c r="L30" s="1134" t="n"/>
      <c r="M30" s="1134" t="n"/>
      <c r="N30" s="1134" t="n"/>
    </row>
    <row r="31">
      <c r="A31" s="207" t="inlineStr">
        <is>
          <t>Export Mix Effect</t>
        </is>
      </c>
      <c r="B31" s="1643" t="n">
        <v>0</v>
      </c>
      <c r="C31" s="1643" t="n">
        <v>0</v>
      </c>
      <c r="D31" s="1643" t="n">
        <v>0</v>
      </c>
      <c r="E31" s="1643" t="n">
        <v>0</v>
      </c>
      <c r="F31" s="1643" t="n">
        <v>0</v>
      </c>
      <c r="G31" s="1643" t="n">
        <v>0</v>
      </c>
      <c r="H31" s="1643" t="n">
        <v>0</v>
      </c>
      <c r="I31" s="863" t="inlineStr">
        <is>
          <t>RF15</t>
        </is>
      </c>
      <c r="J31" s="1134" t="n"/>
      <c r="K31" s="1134" t="n"/>
      <c r="L31" s="1134" t="n"/>
      <c r="M31" s="1134" t="n"/>
      <c r="N31" s="1134" t="n"/>
    </row>
    <row r="32">
      <c r="A32" s="207" t="inlineStr">
        <is>
          <t>Currency Effect</t>
        </is>
      </c>
      <c r="B32" s="1643" t="n">
        <v>0</v>
      </c>
      <c r="C32" s="1643" t="n">
        <v>0</v>
      </c>
      <c r="D32" s="1643" t="n">
        <v>0</v>
      </c>
      <c r="E32" s="1643" t="n">
        <v>0</v>
      </c>
      <c r="F32" s="1643" t="n">
        <v>0</v>
      </c>
      <c r="G32" s="1643" t="n">
        <v>0</v>
      </c>
      <c r="H32" s="1643" t="n">
        <v>0</v>
      </c>
      <c r="I32" s="862" t="inlineStr">
        <is>
          <t>RF16</t>
        </is>
      </c>
      <c r="J32" s="1134" t="n"/>
      <c r="K32" s="1134" t="n"/>
      <c r="L32" s="1134" t="n"/>
      <c r="M32" s="1134" t="n"/>
      <c r="N32" s="1134" t="n"/>
    </row>
    <row r="33" ht="15" customHeight="1" thickBot="1">
      <c r="A33" s="247" t="inlineStr">
        <is>
          <t>Net Revenue</t>
        </is>
      </c>
      <c r="B33" s="1644">
        <f>SUM(B27:B32)</f>
        <v/>
      </c>
      <c r="C33" s="1644">
        <f>SUM(C27:C32)</f>
        <v/>
      </c>
      <c r="D33" s="1644">
        <f>SUM(D27:D32)</f>
        <v/>
      </c>
      <c r="E33" s="1644">
        <f>SUM(E27:E32)</f>
        <v/>
      </c>
      <c r="F33" s="1644">
        <f>SUM(F27:F32)</f>
        <v/>
      </c>
      <c r="G33" s="1644">
        <f>SUM(G27:G32)</f>
        <v/>
      </c>
      <c r="H33" s="1645">
        <f>SUM(H27:H32)</f>
        <v/>
      </c>
      <c r="I33" s="863" t="inlineStr">
        <is>
          <t>RF17</t>
        </is>
      </c>
      <c r="J33" s="1134" t="n"/>
      <c r="K33" s="1134" t="n"/>
      <c r="L33" s="1134" t="n"/>
      <c r="M33" s="1134" t="n"/>
      <c r="N33" s="1134" t="n"/>
    </row>
    <row r="34">
      <c r="A34" s="177" t="n"/>
      <c r="B34" s="262" t="n"/>
      <c r="C34" s="262" t="n"/>
      <c r="D34" s="262" t="n"/>
      <c r="E34" s="262" t="n"/>
      <c r="F34" s="262" t="n"/>
      <c r="G34" s="1134" t="n"/>
      <c r="H34" s="1134" t="n"/>
      <c r="I34" s="1134" t="n"/>
      <c r="J34" s="1134" t="n"/>
      <c r="K34" s="1134" t="n"/>
      <c r="L34" s="1134" t="n"/>
      <c r="M34" s="1134" t="n"/>
      <c r="N34" s="1134" t="n"/>
    </row>
    <row r="35">
      <c r="A35" s="177" t="n"/>
      <c r="B35" s="262" t="n"/>
      <c r="C35" s="262" t="n"/>
      <c r="D35" s="262" t="n"/>
      <c r="E35" s="262" t="n"/>
      <c r="F35" s="262" t="n"/>
      <c r="G35" s="1134" t="n"/>
      <c r="H35" s="1134" t="n"/>
      <c r="I35" s="1134" t="n"/>
      <c r="J35" s="1134" t="n"/>
      <c r="K35" s="1134" t="n"/>
      <c r="L35" s="1134" t="n"/>
      <c r="M35" s="1134" t="n"/>
      <c r="N35" s="1134" t="n"/>
    </row>
    <row r="36" ht="15.6" customHeight="1">
      <c r="A36" s="1243" t="inlineStr">
        <is>
          <t>Product Wise Revenue</t>
        </is>
      </c>
      <c r="B36" s="1339" t="n"/>
      <c r="C36" s="1339" t="n"/>
      <c r="D36" s="1339" t="n"/>
      <c r="E36" s="1339" t="n"/>
      <c r="F36" s="1137" t="n"/>
      <c r="G36" s="1137" t="n"/>
      <c r="H36" s="1137" t="n"/>
      <c r="I36" s="1137" t="n"/>
      <c r="J36" s="1134" t="n"/>
      <c r="K36" s="1134" t="n"/>
      <c r="L36" s="1134" t="n"/>
      <c r="M36" s="1134" t="n"/>
      <c r="N36" s="1134" t="n"/>
    </row>
    <row r="37">
      <c r="A37" s="335" t="inlineStr">
        <is>
          <t>Product</t>
        </is>
      </c>
      <c r="B37" s="485" t="inlineStr">
        <is>
          <t>Volume (Mt)</t>
        </is>
      </c>
      <c r="C37" s="485" t="inlineStr">
        <is>
          <t>ASP (₹/t)</t>
        </is>
      </c>
      <c r="D37" s="485" t="inlineStr">
        <is>
          <t>Revenue (₹ Cr)</t>
        </is>
      </c>
      <c r="E37" s="485" t="inlineStr">
        <is>
          <t>% Share</t>
        </is>
      </c>
      <c r="F37" s="262" t="n"/>
      <c r="G37" s="1134" t="n"/>
      <c r="H37" s="1134" t="n"/>
      <c r="I37" s="1134" t="n"/>
      <c r="J37" s="1134" t="n"/>
      <c r="K37" s="1134" t="n"/>
      <c r="L37" s="1134" t="n"/>
      <c r="M37" s="1134" t="n"/>
      <c r="N37" s="1134" t="n"/>
    </row>
    <row r="38">
      <c r="A38" s="1199" t="inlineStr">
        <is>
          <t>HRC</t>
        </is>
      </c>
      <c r="B38" s="1287" t="n"/>
      <c r="C38" s="1287" t="n"/>
      <c r="D38" s="1287" t="n"/>
      <c r="E38" s="1287" t="n"/>
      <c r="F38" s="262" t="n"/>
      <c r="G38" s="1134" t="n"/>
      <c r="H38" s="1134" t="n"/>
      <c r="I38" s="1134" t="n"/>
      <c r="J38" s="1134" t="n"/>
      <c r="K38" s="1134" t="n"/>
      <c r="L38" s="1134" t="n"/>
      <c r="M38" s="1134" t="n"/>
      <c r="N38" s="1134" t="n"/>
    </row>
    <row r="39">
      <c r="A39" s="1199" t="inlineStr">
        <is>
          <t>CRC</t>
        </is>
      </c>
      <c r="B39" s="1287" t="n"/>
      <c r="C39" s="1287" t="n"/>
      <c r="D39" s="1287" t="n"/>
      <c r="E39" s="1287" t="n"/>
      <c r="F39" s="262" t="n"/>
      <c r="G39" s="1134" t="n"/>
      <c r="H39" s="1134" t="n"/>
      <c r="I39" s="1134" t="n"/>
      <c r="J39" s="1134" t="n"/>
      <c r="K39" s="1134" t="n"/>
      <c r="L39" s="1134" t="n"/>
      <c r="M39" s="1134" t="n"/>
      <c r="N39" s="1134" t="n"/>
    </row>
    <row r="40">
      <c r="A40" s="1199" t="inlineStr">
        <is>
          <t>Rebar</t>
        </is>
      </c>
      <c r="B40" s="1287" t="n"/>
      <c r="C40" s="1287" t="n"/>
      <c r="D40" s="1287" t="n"/>
      <c r="E40" s="1287" t="n"/>
      <c r="F40" s="262" t="n"/>
      <c r="G40" s="1134" t="n"/>
      <c r="H40" s="1134" t="n"/>
      <c r="I40" s="1134" t="n"/>
      <c r="J40" s="1134" t="n"/>
      <c r="K40" s="1134" t="n"/>
      <c r="L40" s="1134" t="n"/>
      <c r="M40" s="1134" t="n"/>
      <c r="N40" s="1134" t="n"/>
    </row>
    <row r="41">
      <c r="A41" s="1199" t="inlineStr">
        <is>
          <t>Wire Rod</t>
        </is>
      </c>
      <c r="B41" s="1287" t="n"/>
      <c r="C41" s="1287" t="n"/>
      <c r="D41" s="1287" t="n"/>
      <c r="E41" s="1287" t="n"/>
      <c r="F41" s="262" t="n"/>
      <c r="G41" s="1134" t="n"/>
      <c r="H41" s="1134" t="n"/>
      <c r="I41" s="1134" t="n"/>
      <c r="J41" s="1134" t="n"/>
      <c r="K41" s="1134" t="n"/>
      <c r="L41" s="1134" t="n"/>
      <c r="M41" s="1134" t="n"/>
      <c r="N41" s="1134" t="n"/>
    </row>
    <row r="42">
      <c r="A42" s="1199" t="inlineStr">
        <is>
          <t>Plates</t>
        </is>
      </c>
      <c r="B42" s="1287" t="n"/>
      <c r="C42" s="1287" t="n"/>
      <c r="D42" s="1287" t="n"/>
      <c r="E42" s="1287" t="n"/>
      <c r="F42" s="262" t="n"/>
      <c r="G42" s="1134" t="n"/>
      <c r="H42" s="1134" t="n"/>
      <c r="I42" s="1134" t="n"/>
      <c r="J42" s="1134" t="n"/>
      <c r="K42" s="1134" t="n"/>
      <c r="L42" s="1134" t="n"/>
      <c r="M42" s="1134" t="n"/>
      <c r="N42" s="1134" t="n"/>
    </row>
    <row r="43">
      <c r="A43" s="1199" t="inlineStr">
        <is>
          <t>Structural Steel</t>
        </is>
      </c>
      <c r="B43" s="1287" t="n"/>
      <c r="C43" s="1287" t="n"/>
      <c r="D43" s="1287" t="n"/>
      <c r="E43" s="1287" t="n"/>
      <c r="F43" s="262" t="n"/>
      <c r="G43" s="1134" t="n"/>
      <c r="H43" s="1134" t="n"/>
      <c r="I43" s="1134" t="n"/>
      <c r="J43" s="1134" t="n"/>
      <c r="K43" s="1134" t="n"/>
      <c r="L43" s="1134" t="n"/>
      <c r="M43" s="1134" t="n"/>
      <c r="N43" s="1134" t="n"/>
    </row>
    <row r="44">
      <c r="A44" s="1199" t="inlineStr">
        <is>
          <t>Stainless Steel</t>
        </is>
      </c>
      <c r="B44" s="1287" t="n"/>
      <c r="C44" s="1287" t="n"/>
      <c r="D44" s="1287" t="n"/>
      <c r="E44" s="1287" t="n"/>
      <c r="F44" s="262" t="n"/>
      <c r="G44" s="1134" t="n"/>
      <c r="H44" s="1134" t="n"/>
      <c r="I44" s="1134" t="n"/>
      <c r="J44" s="1134" t="n"/>
      <c r="K44" s="1134" t="n"/>
      <c r="L44" s="1134" t="n"/>
      <c r="M44" s="1134" t="n"/>
      <c r="N44" s="1134" t="n"/>
    </row>
    <row r="45">
      <c r="A45" s="1199" t="inlineStr">
        <is>
          <t>Others</t>
        </is>
      </c>
      <c r="B45" s="1287" t="n"/>
      <c r="C45" s="1287" t="n"/>
      <c r="D45" s="1287" t="n"/>
      <c r="E45" s="1287" t="n"/>
      <c r="F45" s="262" t="n"/>
      <c r="G45" s="1134" t="n"/>
      <c r="H45" s="1134" t="n"/>
      <c r="I45" s="1134" t="n"/>
      <c r="J45" s="1134" t="n"/>
      <c r="K45" s="1134" t="n"/>
      <c r="L45" s="1134" t="n"/>
      <c r="M45" s="1134" t="n"/>
      <c r="N45" s="1134" t="n"/>
    </row>
    <row r="46">
      <c r="A46" s="264" t="inlineStr">
        <is>
          <t>Total</t>
        </is>
      </c>
      <c r="B46" s="1287" t="n"/>
      <c r="C46" s="1287" t="n"/>
      <c r="D46" s="1287" t="n"/>
      <c r="E46" s="1287" t="n"/>
      <c r="F46" s="262" t="n"/>
      <c r="G46" s="1134" t="n"/>
      <c r="H46" s="1134" t="n"/>
      <c r="I46" s="1134" t="n"/>
      <c r="J46" s="1134" t="n"/>
      <c r="K46" s="1134" t="n"/>
      <c r="L46" s="1134" t="n"/>
      <c r="M46" s="1134" t="n"/>
      <c r="N46" s="1134" t="n"/>
    </row>
    <row r="47">
      <c r="A47" s="177" t="n"/>
      <c r="B47" s="262" t="n"/>
      <c r="C47" s="262" t="n"/>
      <c r="D47" s="262" t="n"/>
      <c r="E47" s="262" t="n"/>
      <c r="F47" s="262" t="n"/>
      <c r="G47" s="1134" t="n"/>
      <c r="H47" s="1134" t="n"/>
      <c r="I47" s="1134" t="n"/>
      <c r="J47" s="1134" t="n"/>
      <c r="K47" s="1134" t="n"/>
      <c r="L47" s="1134" t="n"/>
      <c r="M47" s="1134" t="n"/>
      <c r="N47" s="1134" t="n"/>
    </row>
    <row r="48">
      <c r="A48" s="177" t="n"/>
      <c r="B48" s="262" t="n"/>
      <c r="C48" s="262" t="n"/>
      <c r="D48" s="262" t="n"/>
      <c r="E48" s="262" t="n"/>
      <c r="F48" s="262" t="n"/>
      <c r="G48" s="1134" t="n"/>
      <c r="H48" s="1134" t="n"/>
      <c r="I48" s="1134" t="n"/>
      <c r="J48" s="1134" t="n"/>
      <c r="K48" s="1134" t="n"/>
      <c r="L48" s="1134" t="n"/>
      <c r="M48" s="1134" t="n"/>
      <c r="N48" s="1134" t="n"/>
    </row>
    <row r="49" ht="16.2" customHeight="1" thickBot="1">
      <c r="A49" s="1137" t="inlineStr">
        <is>
          <t>Domestic vs Export Revenue</t>
        </is>
      </c>
      <c r="F49" s="262" t="n"/>
      <c r="G49" s="1134" t="n"/>
      <c r="H49" s="1134" t="n"/>
      <c r="I49" s="1134" t="n"/>
      <c r="J49" s="1134" t="n"/>
      <c r="K49" s="1134" t="n"/>
      <c r="L49" s="1134" t="n"/>
      <c r="M49" s="1134" t="n"/>
      <c r="N49" s="1134" t="n"/>
    </row>
    <row r="50" ht="15" customHeight="1" thickBot="1">
      <c r="A50" s="847" t="inlineStr">
        <is>
          <t>Year</t>
        </is>
      </c>
      <c r="B50" s="678" t="inlineStr">
        <is>
          <t>Domestic</t>
        </is>
      </c>
      <c r="C50" s="678" t="inlineStr">
        <is>
          <t>Export</t>
        </is>
      </c>
      <c r="D50" s="678" t="inlineStr">
        <is>
          <t>Total</t>
        </is>
      </c>
      <c r="E50" s="679" t="inlineStr">
        <is>
          <t>Export %</t>
        </is>
      </c>
      <c r="F50" s="333" t="inlineStr">
        <is>
          <t>Audit Code</t>
        </is>
      </c>
      <c r="G50" s="1134" t="n"/>
      <c r="H50" s="1134" t="n"/>
      <c r="I50" s="1134" t="n"/>
      <c r="J50" s="1134" t="n"/>
      <c r="K50" s="1134" t="n"/>
      <c r="L50" s="1134" t="n"/>
      <c r="M50" s="1134" t="n"/>
      <c r="N50" s="1134" t="n"/>
    </row>
    <row r="51" ht="15" customHeight="1" thickTop="1">
      <c r="A51" s="207" t="inlineStr">
        <is>
          <t>FY26A</t>
        </is>
      </c>
      <c r="B51" s="1642">
        <f>D51-C51</f>
        <v/>
      </c>
      <c r="C51" s="846">
        <f>'Trade Model'!C71*C94/10</f>
        <v/>
      </c>
      <c r="D51" s="1646">
        <f>C95</f>
        <v/>
      </c>
      <c r="E51" s="851">
        <f>IFERROR(C51/D51,"")</f>
        <v/>
      </c>
      <c r="F51" s="863" t="inlineStr">
        <is>
          <t>RM18</t>
        </is>
      </c>
      <c r="G51" s="1134" t="n"/>
      <c r="H51" s="1134" t="n"/>
      <c r="I51" s="1134" t="n"/>
      <c r="J51" s="1134" t="n"/>
      <c r="K51" s="1134" t="n"/>
      <c r="L51" s="1134" t="n"/>
      <c r="M51" s="1134" t="n"/>
      <c r="N51" s="1134" t="n"/>
    </row>
    <row r="52">
      <c r="A52" s="207" t="inlineStr">
        <is>
          <t>FY27E</t>
        </is>
      </c>
      <c r="B52" s="1642">
        <f>D52-C52</f>
        <v/>
      </c>
      <c r="C52" s="846">
        <f>'Trade Model'!D71*D94/10</f>
        <v/>
      </c>
      <c r="D52" s="1646">
        <f>D95</f>
        <v/>
      </c>
      <c r="E52" s="851">
        <f>IFERROR(C52/D52,"")</f>
        <v/>
      </c>
      <c r="F52" s="862" t="inlineStr">
        <is>
          <t>RM19</t>
        </is>
      </c>
      <c r="G52" s="1134" t="n"/>
      <c r="H52" s="1134" t="n"/>
      <c r="I52" s="1134" t="n"/>
      <c r="J52" s="1134" t="n"/>
      <c r="K52" s="1134" t="n"/>
      <c r="L52" s="1134" t="n"/>
      <c r="M52" s="1134" t="n"/>
      <c r="N52" s="1134" t="n"/>
    </row>
    <row r="53">
      <c r="A53" s="207" t="inlineStr">
        <is>
          <t>FY28E</t>
        </is>
      </c>
      <c r="B53" s="1642">
        <f>D53-C53</f>
        <v/>
      </c>
      <c r="C53" s="846">
        <f>'Trade Model'!E71*E94/10</f>
        <v/>
      </c>
      <c r="D53" s="1646">
        <f>E95</f>
        <v/>
      </c>
      <c r="E53" s="851">
        <f>IFERROR(C53/D53,"")</f>
        <v/>
      </c>
      <c r="F53" s="863" t="inlineStr">
        <is>
          <t>RM20</t>
        </is>
      </c>
      <c r="G53" s="1134" t="n"/>
      <c r="H53" s="1134" t="n"/>
      <c r="I53" s="1134" t="n"/>
      <c r="J53" s="1134" t="n"/>
      <c r="K53" s="1134" t="n"/>
      <c r="L53" s="1134" t="n"/>
      <c r="M53" s="1134" t="n"/>
      <c r="N53" s="1134" t="n"/>
    </row>
    <row r="54">
      <c r="A54" s="207" t="inlineStr">
        <is>
          <t>FY29E</t>
        </is>
      </c>
      <c r="B54" s="1642">
        <f>D54-C54</f>
        <v/>
      </c>
      <c r="C54" s="846">
        <f>'Trade Model'!F71*F94/10</f>
        <v/>
      </c>
      <c r="D54" s="1646">
        <f>F95</f>
        <v/>
      </c>
      <c r="E54" s="851">
        <f>IFERROR(C54/D54,"")</f>
        <v/>
      </c>
      <c r="F54" s="862" t="inlineStr">
        <is>
          <t>RM21</t>
        </is>
      </c>
      <c r="G54" s="1134" t="n"/>
      <c r="H54" s="1134" t="n"/>
      <c r="I54" s="1134" t="n"/>
      <c r="J54" s="1134" t="n"/>
      <c r="K54" s="1134" t="n"/>
      <c r="L54" s="1134" t="n"/>
      <c r="M54" s="1134" t="n"/>
      <c r="N54" s="1134" t="n"/>
    </row>
    <row r="55">
      <c r="A55" s="207" t="inlineStr">
        <is>
          <t>FY30E</t>
        </is>
      </c>
      <c r="B55" s="1642">
        <f>D55-C55</f>
        <v/>
      </c>
      <c r="C55" s="849">
        <f>'Trade Model'!G$71*G$94/10</f>
        <v/>
      </c>
      <c r="D55" s="1646">
        <f>G95</f>
        <v/>
      </c>
      <c r="E55" s="851">
        <f>IFERROR(C55/D55,"")</f>
        <v/>
      </c>
      <c r="F55" s="863" t="inlineStr">
        <is>
          <t>RM22</t>
        </is>
      </c>
      <c r="G55" s="1134" t="n"/>
      <c r="H55" s="1134" t="n"/>
      <c r="I55" s="1134" t="n"/>
      <c r="J55" s="1134" t="n"/>
      <c r="K55" s="1134" t="n"/>
      <c r="L55" s="1134" t="n"/>
      <c r="M55" s="1134" t="n"/>
      <c r="N55" s="1134" t="n"/>
    </row>
    <row r="56">
      <c r="A56" s="207" t="inlineStr">
        <is>
          <t>FY31E</t>
        </is>
      </c>
      <c r="B56" s="1642">
        <f>D56-C56</f>
        <v/>
      </c>
      <c r="C56" s="849">
        <f>'Trade Model'!H$71*H$94/10</f>
        <v/>
      </c>
      <c r="D56" s="1646">
        <f>H95</f>
        <v/>
      </c>
      <c r="E56" s="851">
        <f>IFERROR(C56/D56,"")</f>
        <v/>
      </c>
      <c r="F56" s="862" t="inlineStr">
        <is>
          <t>RM23</t>
        </is>
      </c>
      <c r="G56" s="1134" t="n"/>
      <c r="H56" s="1134" t="n"/>
      <c r="I56" s="1134" t="n"/>
      <c r="J56" s="1134" t="n"/>
      <c r="K56" s="1134" t="n"/>
      <c r="L56" s="1134" t="n"/>
      <c r="M56" s="1134" t="n"/>
      <c r="N56" s="1134" t="n"/>
    </row>
    <row r="57">
      <c r="A57" s="207" t="inlineStr">
        <is>
          <t>FY32E</t>
        </is>
      </c>
      <c r="B57" s="1642">
        <f>D57-C57</f>
        <v/>
      </c>
      <c r="C57" s="849">
        <f>'Trade Model'!I$71*I$94/10</f>
        <v/>
      </c>
      <c r="D57" s="1646">
        <f>I95</f>
        <v/>
      </c>
      <c r="E57" s="851">
        <f>IFERROR(C57/D57,"")</f>
        <v/>
      </c>
      <c r="F57" s="863" t="inlineStr">
        <is>
          <t>RM24</t>
        </is>
      </c>
      <c r="G57" s="1134" t="n"/>
      <c r="H57" s="1134" t="n"/>
      <c r="I57" s="1134" t="n"/>
      <c r="J57" s="1134" t="n"/>
      <c r="K57" s="1134" t="n"/>
      <c r="L57" s="1134" t="n"/>
      <c r="M57" s="1134" t="n"/>
      <c r="N57" s="1134" t="n"/>
    </row>
    <row r="58" ht="15" customHeight="1" thickBot="1">
      <c r="A58" s="208" t="inlineStr">
        <is>
          <t>FY33E</t>
        </is>
      </c>
      <c r="B58" s="1647">
        <f>D58-C58</f>
        <v/>
      </c>
      <c r="C58" s="850">
        <f>'Trade Model'!J$71*J$94/10</f>
        <v/>
      </c>
      <c r="D58" s="1648">
        <f>J95</f>
        <v/>
      </c>
      <c r="E58" s="852">
        <f>IFERROR(C58/D58,"")</f>
        <v/>
      </c>
      <c r="F58" s="862" t="inlineStr">
        <is>
          <t>RM25</t>
        </is>
      </c>
      <c r="G58" s="1134" t="n"/>
      <c r="H58" s="1134" t="n"/>
      <c r="I58" s="1134" t="n"/>
      <c r="J58" s="1134" t="n"/>
      <c r="K58" s="1134" t="n"/>
      <c r="L58" s="1134" t="n"/>
      <c r="M58" s="1134" t="n"/>
      <c r="N58" s="1134" t="n"/>
    </row>
    <row r="59">
      <c r="A59" s="177" t="n"/>
      <c r="B59" s="262" t="n"/>
      <c r="C59" s="1134" t="n"/>
      <c r="D59" s="262" t="n"/>
      <c r="E59" s="262" t="n"/>
      <c r="F59" s="262" t="n"/>
      <c r="G59" s="1134" t="n"/>
      <c r="H59" s="1134" t="n"/>
      <c r="I59" s="1134" t="n"/>
      <c r="J59" s="1134" t="n"/>
      <c r="K59" s="1134" t="n"/>
      <c r="L59" s="1134" t="n"/>
      <c r="M59" s="1134" t="n"/>
      <c r="N59" s="1134" t="n"/>
    </row>
    <row r="60">
      <c r="A60" s="177" t="n"/>
      <c r="B60" s="262" t="n"/>
      <c r="C60" s="262" t="n"/>
      <c r="D60" s="262" t="n"/>
      <c r="E60" s="262" t="n"/>
      <c r="F60" s="262" t="n"/>
      <c r="G60" s="1134" t="n"/>
      <c r="H60" s="1134" t="n"/>
      <c r="I60" s="1134" t="n"/>
      <c r="J60" s="1134" t="n"/>
      <c r="K60" s="1134" t="n"/>
      <c r="L60" s="1134" t="n"/>
      <c r="M60" s="1134" t="n"/>
      <c r="N60" s="1134" t="n"/>
    </row>
    <row r="61" ht="14.4" customHeight="1" thickBot="1">
      <c r="A61" s="1203" t="inlineStr">
        <is>
          <t>Company Revenue Benchmark</t>
        </is>
      </c>
      <c r="B61" s="444" t="n"/>
      <c r="C61" s="444" t="n"/>
      <c r="D61" s="444" t="n"/>
      <c r="E61" s="262" t="n"/>
      <c r="F61" s="262" t="n"/>
      <c r="G61" s="1134" t="n"/>
      <c r="H61" s="1134" t="n"/>
      <c r="I61" s="1134" t="n"/>
      <c r="J61" s="1134" t="n"/>
      <c r="K61" s="1134" t="n"/>
      <c r="L61" s="1134" t="n"/>
      <c r="M61" s="1134" t="n"/>
      <c r="N61" s="1134" t="n"/>
    </row>
    <row r="62" ht="15.6" customHeight="1" thickBot="1" thickTop="1">
      <c r="A62" s="562" t="inlineStr">
        <is>
          <t>Company</t>
        </is>
      </c>
      <c r="B62" s="563" t="inlineStr">
        <is>
          <t>Revenue</t>
        </is>
      </c>
      <c r="C62" s="563" t="inlineStr">
        <is>
          <t>Volume</t>
        </is>
      </c>
      <c r="D62" s="867" t="inlineStr">
        <is>
          <t>ASP</t>
        </is>
      </c>
      <c r="E62" s="1237" t="inlineStr">
        <is>
          <t>Audit Code</t>
        </is>
      </c>
      <c r="F62" s="262" t="n"/>
      <c r="G62" s="1134" t="n"/>
      <c r="H62" s="1134" t="n"/>
      <c r="I62" s="1134" t="n"/>
      <c r="J62" s="1134" t="n"/>
      <c r="K62" s="1134" t="n"/>
      <c r="L62" s="1134" t="n"/>
      <c r="M62" s="1134" t="n"/>
      <c r="N62" s="1134" t="n"/>
    </row>
    <row r="63" ht="15" customHeight="1" thickTop="1">
      <c r="A63" s="206" t="inlineStr">
        <is>
          <t>Tata Steel</t>
        </is>
      </c>
      <c r="B63" s="1649">
        <f>C110</f>
        <v/>
      </c>
      <c r="C63" s="1650">
        <f>C100</f>
        <v/>
      </c>
      <c r="D63" s="1651">
        <f>B63/C63*10</f>
        <v/>
      </c>
      <c r="E63" s="860" t="inlineStr">
        <is>
          <t>RF26</t>
        </is>
      </c>
      <c r="F63" s="262" t="n"/>
      <c r="G63" s="1134" t="n"/>
      <c r="H63" s="1134" t="n"/>
      <c r="I63" s="1134" t="n"/>
      <c r="J63" s="1134" t="n"/>
      <c r="K63" s="1134" t="n"/>
      <c r="L63" s="1134" t="n"/>
      <c r="M63" s="1134" t="n"/>
      <c r="N63" s="1134" t="n"/>
    </row>
    <row r="64">
      <c r="A64" s="207" t="inlineStr">
        <is>
          <t>JSW Steel</t>
        </is>
      </c>
      <c r="B64" s="1652">
        <f>C111</f>
        <v/>
      </c>
      <c r="C64" s="1653">
        <f>C101</f>
        <v/>
      </c>
      <c r="D64" s="1654">
        <f>B64/C64*10</f>
        <v/>
      </c>
      <c r="E64" s="860" t="inlineStr">
        <is>
          <t>RF27</t>
        </is>
      </c>
      <c r="F64" s="262" t="n"/>
      <c r="G64" s="1134" t="n"/>
      <c r="H64" s="1134" t="n"/>
      <c r="I64" s="1134" t="n"/>
      <c r="J64" s="1134" t="n"/>
      <c r="K64" s="1134" t="n"/>
      <c r="L64" s="1134" t="n"/>
      <c r="M64" s="1134" t="n"/>
      <c r="N64" s="1134" t="n"/>
    </row>
    <row r="65">
      <c r="A65" s="207" t="inlineStr">
        <is>
          <t>SAIL</t>
        </is>
      </c>
      <c r="B65" s="1652">
        <f>C112</f>
        <v/>
      </c>
      <c r="C65" s="1653">
        <f>C102</f>
        <v/>
      </c>
      <c r="D65" s="1654">
        <f>B65/C65*10</f>
        <v/>
      </c>
      <c r="E65" s="860" t="inlineStr">
        <is>
          <t>RF28</t>
        </is>
      </c>
      <c r="F65" s="262" t="n"/>
      <c r="G65" s="1134" t="n"/>
      <c r="H65" s="1134" t="n"/>
      <c r="I65" s="1134" t="n"/>
      <c r="J65" s="1134" t="n"/>
      <c r="K65" s="1134" t="n"/>
      <c r="L65" s="1134" t="n"/>
      <c r="M65" s="1134" t="n"/>
      <c r="N65" s="1134" t="n"/>
    </row>
    <row r="66">
      <c r="A66" s="207" t="inlineStr">
        <is>
          <t>Jindal Steel</t>
        </is>
      </c>
      <c r="B66" s="1652">
        <f>C113</f>
        <v/>
      </c>
      <c r="C66" s="1653">
        <f>C103</f>
        <v/>
      </c>
      <c r="D66" s="1654">
        <f>B66/C66*10</f>
        <v/>
      </c>
      <c r="E66" s="860" t="inlineStr">
        <is>
          <t>RF29</t>
        </is>
      </c>
      <c r="F66" s="262" t="n"/>
      <c r="G66" s="1134" t="n"/>
      <c r="H66" s="1134" t="n"/>
      <c r="I66" s="1134" t="n"/>
      <c r="J66" s="1134" t="n"/>
      <c r="K66" s="1134" t="n"/>
      <c r="L66" s="1134" t="n"/>
      <c r="M66" s="1134" t="n"/>
      <c r="N66" s="1134" t="n"/>
    </row>
    <row r="67" ht="15" customHeight="1" thickBot="1">
      <c r="A67" s="208" t="inlineStr">
        <is>
          <t>Others</t>
        </is>
      </c>
      <c r="B67" s="1655">
        <f>C95-SUM(B64:B66,B63)</f>
        <v/>
      </c>
      <c r="C67" s="568">
        <f>C93-SUM(C63:C66)</f>
        <v/>
      </c>
      <c r="D67" s="1656">
        <f>B67/C67*10</f>
        <v/>
      </c>
      <c r="E67" s="860" t="inlineStr">
        <is>
          <t>RF30</t>
        </is>
      </c>
      <c r="F67" s="262" t="n"/>
      <c r="G67" s="1134" t="n"/>
      <c r="H67" s="1134" t="n"/>
      <c r="I67" s="1134" t="n"/>
      <c r="J67" s="1134" t="n"/>
      <c r="K67" s="1134" t="n"/>
      <c r="L67" s="1134" t="n"/>
      <c r="M67" s="1134" t="n"/>
      <c r="N67" s="1134" t="n"/>
    </row>
    <row r="68">
      <c r="A68" s="177" t="n"/>
      <c r="B68" s="262" t="n"/>
      <c r="C68" s="262" t="n"/>
      <c r="D68" s="262" t="n"/>
      <c r="E68" s="311" t="n"/>
      <c r="F68" s="262" t="n"/>
      <c r="G68" s="1134" t="n"/>
      <c r="H68" s="1134" t="n"/>
      <c r="I68" s="1134" t="n"/>
      <c r="J68" s="1134" t="n"/>
      <c r="K68" s="1134" t="n"/>
      <c r="L68" s="1134" t="n"/>
      <c r="M68" s="1134" t="n"/>
      <c r="N68" s="1134" t="n"/>
    </row>
    <row r="69">
      <c r="A69" s="177" t="n"/>
      <c r="B69" s="262" t="n"/>
      <c r="C69" s="262" t="n"/>
      <c r="D69" s="262" t="n"/>
      <c r="E69" s="311" t="n"/>
      <c r="F69" s="262" t="n"/>
      <c r="G69" s="1134" t="n"/>
      <c r="H69" s="1134" t="n"/>
      <c r="I69" s="1134" t="n"/>
      <c r="J69" s="1134" t="n"/>
      <c r="K69" s="1134" t="n"/>
      <c r="L69" s="1134" t="n"/>
      <c r="M69" s="1134" t="n"/>
      <c r="N69" s="1134" t="n"/>
    </row>
    <row r="70" ht="15.6" customHeight="1">
      <c r="A70" s="1137" t="inlineStr">
        <is>
          <t>Revenue Drivers</t>
        </is>
      </c>
      <c r="E70" s="311" t="n"/>
      <c r="F70" s="262" t="n"/>
      <c r="G70" s="1134" t="n"/>
      <c r="H70" s="1134" t="n"/>
      <c r="I70" s="1134" t="n"/>
      <c r="J70" s="1134" t="n"/>
      <c r="K70" s="1134" t="n"/>
      <c r="L70" s="1134" t="n"/>
      <c r="M70" s="1134" t="n"/>
      <c r="N70" s="1134" t="n"/>
    </row>
    <row r="71">
      <c r="A71" s="335" t="inlineStr">
        <is>
          <t>Driver</t>
        </is>
      </c>
      <c r="B71" s="335" t="inlineStr">
        <is>
          <t>Contribution</t>
        </is>
      </c>
      <c r="C71" s="262" t="n"/>
      <c r="D71" s="262" t="n"/>
      <c r="E71" s="262" t="n"/>
      <c r="F71" s="262" t="n"/>
      <c r="G71" s="1134" t="n"/>
      <c r="H71" s="1134" t="n"/>
      <c r="I71" s="1134" t="n"/>
      <c r="J71" s="1134" t="n"/>
      <c r="K71" s="1134" t="n"/>
      <c r="L71" s="1134" t="n"/>
      <c r="M71" s="1134" t="n"/>
      <c r="N71" s="1134" t="n"/>
    </row>
    <row r="72">
      <c r="A72" s="1199" t="inlineStr">
        <is>
          <t>Volume Growth</t>
        </is>
      </c>
      <c r="B72" s="1515">
        <f>IFERROR(SUM($B$28:$H$28)/($J$95-$C$95),"")</f>
        <v/>
      </c>
      <c r="C72" s="262" t="n"/>
      <c r="D72" s="262" t="n"/>
      <c r="E72" s="262" t="n"/>
      <c r="F72" s="262" t="n"/>
      <c r="G72" s="1134" t="n"/>
      <c r="H72" s="1134" t="n"/>
      <c r="I72" s="1134" t="n"/>
      <c r="J72" s="1134" t="n"/>
      <c r="K72" s="1134" t="n"/>
      <c r="L72" s="1134" t="n"/>
      <c r="M72" s="1134" t="n"/>
      <c r="N72" s="1134" t="n"/>
    </row>
    <row r="73">
      <c r="A73" s="1199" t="inlineStr">
        <is>
          <t>Price Growth</t>
        </is>
      </c>
      <c r="B73" s="1515">
        <f>IFERROR(SUM($B$29:$H$29)/($J$95-$C$95),"")</f>
        <v/>
      </c>
      <c r="C73" s="262" t="n"/>
      <c r="D73" s="262" t="n"/>
      <c r="E73" s="262" t="n"/>
      <c r="F73" s="262" t="n"/>
      <c r="G73" s="1134" t="n"/>
      <c r="H73" s="1134" t="n"/>
      <c r="I73" s="1134" t="n"/>
      <c r="J73" s="1134" t="n"/>
      <c r="K73" s="1134" t="n"/>
      <c r="L73" s="1134" t="n"/>
      <c r="M73" s="1134" t="n"/>
      <c r="N73" s="1134" t="n"/>
    </row>
    <row r="74">
      <c r="A74" s="1199" t="inlineStr">
        <is>
          <t>Product Mix</t>
        </is>
      </c>
      <c r="B74" s="1515">
        <f>IFERROR(SUM($B$30:$H$30)/($J$95-$C$95),"")</f>
        <v/>
      </c>
      <c r="C74" s="262" t="n"/>
      <c r="D74" s="262" t="n"/>
      <c r="E74" s="262" t="n"/>
      <c r="F74" s="262" t="n"/>
      <c r="G74" s="1134" t="n"/>
      <c r="H74" s="1134" t="n"/>
      <c r="I74" s="1134" t="n"/>
      <c r="J74" s="1134" t="n"/>
      <c r="K74" s="1134" t="n"/>
      <c r="L74" s="1134" t="n"/>
      <c r="M74" s="1134" t="n"/>
      <c r="N74" s="1134" t="n"/>
    </row>
    <row r="75">
      <c r="A75" s="1199" t="inlineStr">
        <is>
          <t>Export Mix</t>
        </is>
      </c>
      <c r="B75" s="1515">
        <f>IFERROR(SUM($B$31:$H$31)/($J$95-$C$95),"")</f>
        <v/>
      </c>
      <c r="C75" s="262" t="n"/>
      <c r="D75" s="262" t="n"/>
      <c r="E75" s="262" t="n"/>
      <c r="F75" s="262" t="n"/>
      <c r="G75" s="1134" t="n"/>
      <c r="H75" s="1134" t="n"/>
      <c r="I75" s="1134" t="n"/>
      <c r="J75" s="1134" t="n"/>
      <c r="K75" s="1134" t="n"/>
      <c r="L75" s="1134" t="n"/>
      <c r="M75" s="1134" t="n"/>
      <c r="N75" s="1134" t="n"/>
    </row>
    <row r="76">
      <c r="A76" s="1199" t="inlineStr">
        <is>
          <t>Currency</t>
        </is>
      </c>
      <c r="B76" s="1515">
        <f>IFERROR(SUM($B$32:$H$32)/($J$95-$C$95),"")</f>
        <v/>
      </c>
      <c r="C76" s="262" t="n"/>
      <c r="D76" s="262" t="n"/>
      <c r="E76" s="262" t="n"/>
      <c r="F76" s="262" t="n"/>
      <c r="G76" s="1134" t="n"/>
      <c r="H76" s="1134" t="n"/>
      <c r="I76" s="1134" t="n"/>
      <c r="J76" s="1134" t="n"/>
      <c r="K76" s="1134" t="n"/>
      <c r="L76" s="1134" t="n"/>
      <c r="M76" s="1134" t="n"/>
      <c r="N76" s="1134" t="n"/>
    </row>
    <row r="77">
      <c r="A77" s="1199" t="inlineStr">
        <is>
          <t>Others</t>
        </is>
      </c>
      <c r="B77" s="1515">
        <f>1-SUM(B72:B76)</f>
        <v/>
      </c>
      <c r="C77" s="262" t="n"/>
      <c r="D77" s="262" t="n"/>
      <c r="E77" s="262" t="n"/>
      <c r="F77" s="262" t="n"/>
      <c r="G77" s="1134" t="n"/>
      <c r="H77" s="1134" t="n"/>
      <c r="I77" s="1134" t="n"/>
      <c r="J77" s="1134" t="n"/>
      <c r="K77" s="1134" t="n"/>
      <c r="L77" s="1134" t="n"/>
      <c r="M77" s="1134" t="n"/>
      <c r="N77" s="1134" t="n"/>
    </row>
    <row r="78">
      <c r="A78" s="1134" t="n"/>
      <c r="B78" s="1134" t="n"/>
      <c r="C78" s="1134" t="n"/>
      <c r="D78" s="1134" t="n"/>
      <c r="E78" s="1134" t="n"/>
      <c r="F78" s="1134" t="n"/>
      <c r="G78" s="1134" t="n"/>
      <c r="H78" s="1134" t="n"/>
      <c r="I78" s="1134" t="n"/>
      <c r="J78" s="1134" t="n"/>
      <c r="K78" s="1134" t="n"/>
      <c r="L78" s="1134" t="n"/>
      <c r="M78" s="1134" t="n"/>
      <c r="N78" s="1134" t="n"/>
    </row>
    <row r="79">
      <c r="A79" s="1134" t="n"/>
      <c r="B79" s="1134" t="n"/>
      <c r="C79" s="1134" t="n"/>
      <c r="D79" s="1134" t="n"/>
      <c r="E79" s="1134" t="n"/>
      <c r="F79" s="1134" t="n"/>
      <c r="G79" s="1134" t="n"/>
      <c r="H79" s="1134" t="n"/>
      <c r="I79" s="1134" t="n"/>
      <c r="J79" s="1134" t="n"/>
      <c r="K79" s="1134" t="n"/>
      <c r="L79" s="1134" t="n"/>
      <c r="M79" s="1134" t="n"/>
      <c r="N79" s="1134" t="n"/>
    </row>
    <row r="80" ht="15.6" customHeight="1">
      <c r="A80" s="1137" t="inlineStr">
        <is>
          <t>Scenario Analysis</t>
        </is>
      </c>
      <c r="E80" s="1134" t="n"/>
      <c r="F80" s="1134" t="n"/>
      <c r="G80" s="1134" t="n"/>
      <c r="H80" s="1134" t="n"/>
      <c r="I80" s="1134" t="n"/>
      <c r="J80" s="1134" t="n"/>
      <c r="K80" s="1134" t="n"/>
      <c r="L80" s="1134" t="n"/>
      <c r="M80" s="1134" t="n"/>
      <c r="N80" s="1134" t="n"/>
    </row>
    <row r="81">
      <c r="A81" s="335" t="inlineStr">
        <is>
          <t>Year</t>
        </is>
      </c>
      <c r="B81" s="335" t="inlineStr">
        <is>
          <t>Base</t>
        </is>
      </c>
      <c r="C81" s="335" t="inlineStr">
        <is>
          <t>Bull</t>
        </is>
      </c>
      <c r="D81" s="335" t="inlineStr">
        <is>
          <t>Bear</t>
        </is>
      </c>
      <c r="E81" s="335" t="inlineStr">
        <is>
          <t>Stress</t>
        </is>
      </c>
      <c r="F81" s="1134" t="n"/>
      <c r="G81" s="1134" t="n"/>
      <c r="H81" s="1134" t="n"/>
      <c r="I81" s="1134" t="n"/>
      <c r="J81" s="1134" t="n"/>
      <c r="K81" s="1134" t="n"/>
      <c r="L81" s="1134" t="n"/>
      <c r="M81" s="1134" t="n"/>
      <c r="N81" s="1134" t="n"/>
    </row>
    <row r="82">
      <c r="A82" s="1199" t="inlineStr">
        <is>
          <t>FY27</t>
        </is>
      </c>
      <c r="B82" s="1646" t="n"/>
      <c r="C82" s="1646" t="n"/>
      <c r="D82" s="1646" t="n"/>
      <c r="E82" s="1646" t="n"/>
      <c r="F82" s="1134" t="n"/>
      <c r="G82" s="1134" t="n"/>
      <c r="H82" s="1134" t="n"/>
      <c r="I82" s="1134" t="n"/>
      <c r="J82" s="1134" t="n"/>
      <c r="K82" s="1134" t="n"/>
      <c r="L82" s="1134" t="n"/>
      <c r="M82" s="1134" t="n"/>
      <c r="N82" s="1134" t="n"/>
    </row>
    <row r="83">
      <c r="A83" s="1199" t="inlineStr">
        <is>
          <t>FY28</t>
        </is>
      </c>
      <c r="B83" s="1646" t="n"/>
      <c r="C83" s="1646" t="n"/>
      <c r="D83" s="1646" t="n"/>
      <c r="E83" s="1646" t="n"/>
      <c r="F83" s="1134" t="n"/>
      <c r="G83" s="1134" t="n"/>
      <c r="H83" s="1134" t="n"/>
      <c r="I83" s="1134" t="n"/>
      <c r="J83" s="1134" t="n"/>
      <c r="K83" s="1134" t="n"/>
      <c r="L83" s="1134" t="n"/>
      <c r="M83" s="1134" t="n"/>
      <c r="N83" s="1134" t="n"/>
    </row>
    <row r="84">
      <c r="A84" s="1199" t="inlineStr">
        <is>
          <t>FY29</t>
        </is>
      </c>
      <c r="B84" s="1646" t="n"/>
      <c r="C84" s="1646" t="n"/>
      <c r="D84" s="1646" t="n"/>
      <c r="E84" s="1646" t="n"/>
      <c r="F84" s="1134" t="n"/>
      <c r="G84" s="1134" t="n"/>
      <c r="H84" s="1134" t="n"/>
      <c r="I84" s="1134" t="n"/>
      <c r="J84" s="1134" t="n"/>
      <c r="K84" s="1134" t="n"/>
      <c r="L84" s="1134" t="n"/>
      <c r="M84" s="1134" t="n"/>
      <c r="N84" s="1134" t="n"/>
    </row>
    <row r="85">
      <c r="A85" s="1199" t="inlineStr">
        <is>
          <t>FY30</t>
        </is>
      </c>
      <c r="B85" s="1646" t="n"/>
      <c r="C85" s="1646" t="n"/>
      <c r="D85" s="1646" t="n"/>
      <c r="E85" s="1646" t="n"/>
      <c r="F85" s="1134" t="n"/>
      <c r="G85" s="1134" t="n"/>
      <c r="H85" s="1134" t="n"/>
      <c r="I85" s="1134" t="n"/>
      <c r="J85" s="1134" t="n"/>
      <c r="K85" s="1134" t="n"/>
      <c r="L85" s="1134" t="n"/>
      <c r="M85" s="1134" t="n"/>
      <c r="N85" s="1134" t="n"/>
    </row>
    <row r="86">
      <c r="A86" s="1199" t="inlineStr">
        <is>
          <t>FY31</t>
        </is>
      </c>
      <c r="B86" s="1646" t="n"/>
      <c r="C86" s="1646" t="n"/>
      <c r="D86" s="1646" t="n"/>
      <c r="E86" s="1646" t="n"/>
      <c r="F86" s="1134" t="n"/>
      <c r="G86" s="1134" t="n"/>
      <c r="H86" s="1134" t="n"/>
      <c r="I86" s="1134" t="n"/>
      <c r="J86" s="1134" t="n"/>
      <c r="K86" s="1134" t="n"/>
      <c r="L86" s="1134" t="n"/>
      <c r="M86" s="1134" t="n"/>
      <c r="N86" s="1134" t="n"/>
    </row>
    <row r="87">
      <c r="A87" s="1199" t="inlineStr">
        <is>
          <t>FY32</t>
        </is>
      </c>
      <c r="B87" s="1646" t="n"/>
      <c r="C87" s="1646" t="n"/>
      <c r="D87" s="1646" t="n"/>
      <c r="E87" s="1646" t="n"/>
      <c r="F87" s="1134" t="n"/>
      <c r="G87" s="1134" t="n"/>
      <c r="H87" s="1134" t="n"/>
      <c r="I87" s="1134" t="n"/>
      <c r="J87" s="1134" t="n"/>
      <c r="K87" s="1134" t="n"/>
      <c r="L87" s="1134" t="n"/>
      <c r="M87" s="1134" t="n"/>
      <c r="N87" s="1134" t="n"/>
    </row>
    <row r="88">
      <c r="A88" s="1199" t="inlineStr">
        <is>
          <t>FY33</t>
        </is>
      </c>
      <c r="B88" s="1646" t="n"/>
      <c r="C88" s="1646" t="n"/>
      <c r="D88" s="1646" t="n"/>
      <c r="E88" s="1646" t="n"/>
      <c r="F88" s="1134" t="n"/>
      <c r="G88" s="1134" t="n"/>
      <c r="H88" s="1134" t="n"/>
      <c r="I88" s="1134" t="n"/>
      <c r="J88" s="1134" t="n"/>
      <c r="K88" s="1134" t="n"/>
      <c r="L88" s="1134" t="n"/>
      <c r="M88" s="1134" t="n"/>
      <c r="N88" s="1134" t="n"/>
    </row>
    <row r="89">
      <c r="A89" s="1134" t="n"/>
      <c r="B89" s="1134" t="n"/>
      <c r="C89" s="1134" t="n"/>
      <c r="D89" s="1134" t="n"/>
      <c r="E89" s="1134" t="n"/>
      <c r="F89" s="1134" t="n"/>
      <c r="G89" s="1134" t="n"/>
      <c r="H89" s="1134" t="n"/>
      <c r="I89" s="1134" t="n"/>
      <c r="J89" s="1134" t="n"/>
      <c r="K89" s="1134" t="n"/>
      <c r="L89" s="1134" t="n"/>
      <c r="M89" s="1134" t="n"/>
      <c r="N89" s="1134" t="n"/>
    </row>
    <row r="90">
      <c r="A90" s="1134" t="n"/>
      <c r="B90" s="1134" t="n"/>
      <c r="C90" s="1134" t="n"/>
      <c r="D90" s="1134" t="n"/>
      <c r="E90" s="1134" t="n"/>
      <c r="F90" s="1134" t="n"/>
      <c r="G90" s="1134" t="n"/>
      <c r="H90" s="1134" t="n"/>
      <c r="I90" s="1134" t="n"/>
      <c r="J90" s="1134" t="n"/>
      <c r="K90" s="1134" t="n"/>
      <c r="L90" s="1134" t="n"/>
      <c r="M90" s="1134" t="n"/>
      <c r="N90" s="1134" t="n"/>
    </row>
    <row r="91" ht="15" customHeight="1" thickBot="1">
      <c r="A91" s="1167" t="n"/>
    </row>
    <row r="92">
      <c r="A92" s="277" t="inlineStr">
        <is>
          <t>Line item</t>
        </is>
      </c>
      <c r="B92" s="478" t="inlineStr">
        <is>
          <t>Unit</t>
        </is>
      </c>
      <c r="C92" s="478" t="inlineStr">
        <is>
          <t>FY2026A</t>
        </is>
      </c>
      <c r="D92" s="478" t="inlineStr">
        <is>
          <t>FY2027E</t>
        </is>
      </c>
      <c r="E92" s="478" t="inlineStr">
        <is>
          <t>FY2028E</t>
        </is>
      </c>
      <c r="F92" s="478" t="inlineStr">
        <is>
          <t>FY2029E</t>
        </is>
      </c>
      <c r="G92" s="478" t="inlineStr">
        <is>
          <t>FY2030E</t>
        </is>
      </c>
      <c r="H92" s="478" t="inlineStr">
        <is>
          <t>FY2031E</t>
        </is>
      </c>
      <c r="I92" s="478" t="inlineStr">
        <is>
          <t>FY2032E</t>
        </is>
      </c>
      <c r="J92" s="478" t="inlineStr">
        <is>
          <t>FY2033E</t>
        </is>
      </c>
      <c r="K92" s="479" t="inlineStr">
        <is>
          <t>CAGR</t>
        </is>
      </c>
      <c r="L92" s="1237" t="inlineStr">
        <is>
          <t>Audit Code</t>
        </is>
      </c>
      <c r="M92" s="268" t="n"/>
      <c r="N92" s="1261" t="n"/>
    </row>
    <row r="93">
      <c r="A93" s="423" t="inlineStr">
        <is>
          <t>Finished steel production</t>
        </is>
      </c>
      <c r="B93" s="456" t="inlineStr">
        <is>
          <t>Mt</t>
        </is>
      </c>
      <c r="C93" s="1603">
        <f>'Steel Supply Model'!C90</f>
        <v/>
      </c>
      <c r="D93" s="1603">
        <f>'Steel Supply Model'!D$90</f>
        <v/>
      </c>
      <c r="E93" s="1603">
        <f>'Steel Supply Model'!E$90</f>
        <v/>
      </c>
      <c r="F93" s="1603">
        <f>'Steel Supply Model'!F$90</f>
        <v/>
      </c>
      <c r="G93" s="1603">
        <f>'Steel Supply Model'!G$90</f>
        <v/>
      </c>
      <c r="H93" s="1603">
        <f>'Steel Supply Model'!H$90</f>
        <v/>
      </c>
      <c r="I93" s="1603">
        <f>'Steel Supply Model'!I$90</f>
        <v/>
      </c>
      <c r="J93" s="1603">
        <f>'Steel Supply Model'!J$90</f>
        <v/>
      </c>
      <c r="K93" s="1657">
        <f>IFERROR(IF(AND(ISNUMBER(C93),ISNUMBER(J93),C93&gt;0),(J93/C93)^(1/7)-1,""),"")</f>
        <v/>
      </c>
      <c r="L93" s="860" t="inlineStr">
        <is>
          <t>RF31</t>
        </is>
      </c>
      <c r="M93" s="727" t="n"/>
    </row>
    <row r="94">
      <c r="A94" s="423" t="inlineStr">
        <is>
          <t>Blended realisation - effective</t>
        </is>
      </c>
      <c r="B94" s="456" t="inlineStr">
        <is>
          <t>Rs/t</t>
        </is>
      </c>
      <c r="C94" s="1658">
        <f>'Steel Price Forecast'!C72</f>
        <v/>
      </c>
      <c r="D94" s="1658">
        <f>'Steel Price Forecast'!D$72</f>
        <v/>
      </c>
      <c r="E94" s="1658">
        <f>'Steel Price Forecast'!E$72</f>
        <v/>
      </c>
      <c r="F94" s="1658">
        <f>'Steel Price Forecast'!F$72</f>
        <v/>
      </c>
      <c r="G94" s="1658">
        <f>'Steel Price Forecast'!G$72</f>
        <v/>
      </c>
      <c r="H94" s="1658">
        <f>'Steel Price Forecast'!H$72</f>
        <v/>
      </c>
      <c r="I94" s="1658">
        <f>'Steel Price Forecast'!I$72</f>
        <v/>
      </c>
      <c r="J94" s="1658">
        <f>'Steel Price Forecast'!J$72</f>
        <v/>
      </c>
      <c r="K94" s="1657">
        <f>IFERROR(IF(AND(ISNUMBER(C94),ISNUMBER(J94),C94&gt;0),(J94/C94)^(1/7)-1,""),"")</f>
        <v/>
      </c>
      <c r="L94" s="860" t="inlineStr">
        <is>
          <t>RF32</t>
        </is>
      </c>
      <c r="M94" s="727" t="n"/>
    </row>
    <row r="95" ht="15" customHeight="1" thickBot="1">
      <c r="A95" s="425" t="inlineStr">
        <is>
          <t>INDUSTRY REVENUE</t>
        </is>
      </c>
      <c r="B95" s="482" t="inlineStr">
        <is>
          <t>Rs cr</t>
        </is>
      </c>
      <c r="C95" s="1659">
        <f>C94*C93/10</f>
        <v/>
      </c>
      <c r="D95" s="1659">
        <f>D94*D93/10</f>
        <v/>
      </c>
      <c r="E95" s="1659">
        <f>E94*E93/10</f>
        <v/>
      </c>
      <c r="F95" s="1659">
        <f>F94*F93/10</f>
        <v/>
      </c>
      <c r="G95" s="1659">
        <f>G94*G93/10</f>
        <v/>
      </c>
      <c r="H95" s="1659">
        <f>H94*H93/10</f>
        <v/>
      </c>
      <c r="I95" s="1659">
        <f>I94*I93/10</f>
        <v/>
      </c>
      <c r="J95" s="1659">
        <f>J94*J93/10</f>
        <v/>
      </c>
      <c r="K95" s="1660">
        <f>IFERROR(IF(AND(ISNUMBER(C95),ISNUMBER(J95),C95&gt;0),(J95/C95)^(1/7)-1,""),"")</f>
        <v/>
      </c>
      <c r="L95" s="860" t="inlineStr">
        <is>
          <t>RF33</t>
        </is>
      </c>
      <c r="M95" s="727" t="n"/>
      <c r="N95" s="1167" t="n"/>
    </row>
    <row r="96">
      <c r="L96" s="311" t="n"/>
    </row>
    <row r="97">
      <c r="L97" s="311" t="n"/>
    </row>
    <row r="98">
      <c r="A98" s="1284" t="inlineStr">
        <is>
          <t>COMPANY VOLUME BUILD</t>
        </is>
      </c>
      <c r="B98" s="1339" t="n"/>
      <c r="C98" s="1339" t="n"/>
      <c r="D98" s="1339" t="n"/>
      <c r="E98" s="1339" t="n"/>
      <c r="F98" s="1339" t="n"/>
      <c r="G98" s="1339" t="n"/>
      <c r="H98" s="1339" t="n"/>
      <c r="I98" s="1339" t="n"/>
      <c r="J98" s="1339" t="n"/>
      <c r="K98" s="1339" t="n"/>
    </row>
    <row r="99">
      <c r="A99" s="1188" t="inlineStr">
        <is>
          <t>Line item</t>
        </is>
      </c>
      <c r="B99" s="269" t="inlineStr">
        <is>
          <t>Unit</t>
        </is>
      </c>
      <c r="C99" s="269" t="inlineStr">
        <is>
          <t>FY2026A</t>
        </is>
      </c>
      <c r="D99" s="269" t="inlineStr">
        <is>
          <t>FY2027E</t>
        </is>
      </c>
      <c r="E99" s="269" t="inlineStr">
        <is>
          <t>FY2028E</t>
        </is>
      </c>
      <c r="F99" s="269" t="inlineStr">
        <is>
          <t>FY2029E</t>
        </is>
      </c>
      <c r="G99" s="269" t="inlineStr">
        <is>
          <t>FY2030E</t>
        </is>
      </c>
      <c r="H99" s="269" t="inlineStr">
        <is>
          <t>FY2031E</t>
        </is>
      </c>
      <c r="I99" s="269" t="inlineStr">
        <is>
          <t>FY2032E</t>
        </is>
      </c>
      <c r="J99" s="269" t="inlineStr">
        <is>
          <t>FY2033E</t>
        </is>
      </c>
      <c r="K99" s="269" t="inlineStr">
        <is>
          <t>CAGR</t>
        </is>
      </c>
      <c r="L99" s="1237" t="inlineStr">
        <is>
          <t>Audit Code</t>
        </is>
      </c>
      <c r="M99" s="268" t="n"/>
      <c r="N99" s="1261" t="n"/>
    </row>
    <row r="100">
      <c r="A100" s="1190" t="inlineStr">
        <is>
          <t>Tata Steel - volume</t>
        </is>
      </c>
      <c r="B100" s="456" t="inlineStr">
        <is>
          <t>Mt</t>
        </is>
      </c>
      <c r="C100" s="1603">
        <f>'Capacity Utilisation'!H20</f>
        <v/>
      </c>
      <c r="D100" s="1661">
        <f>'Capacity Forecast'!C19*'Capacity Utilisation'!C33</f>
        <v/>
      </c>
      <c r="E100" s="1661">
        <f>'Capacity Forecast'!D19*'Capacity Utilisation'!D33</f>
        <v/>
      </c>
      <c r="F100" s="1661">
        <f>'Capacity Forecast'!E19*'Capacity Utilisation'!E33</f>
        <v/>
      </c>
      <c r="G100" s="1661">
        <f>'Capacity Forecast'!F19*'Capacity Utilisation'!F33</f>
        <v/>
      </c>
      <c r="H100" s="1661">
        <f>'Capacity Forecast'!G19*'Capacity Utilisation'!G33</f>
        <v/>
      </c>
      <c r="I100" s="1661">
        <f>'Capacity Forecast'!H19*'Capacity Utilisation'!H33</f>
        <v/>
      </c>
      <c r="J100" s="1661">
        <f>'Capacity Forecast'!I19*'Capacity Utilisation'!I33</f>
        <v/>
      </c>
      <c r="K100" s="1396">
        <f>IFERROR(IF(AND(ISNUMBER(C100),ISNUMBER(J100),C100&gt;0),(J100/C100)^(1/7)-1,""),"")</f>
        <v/>
      </c>
      <c r="L100" s="860" t="inlineStr">
        <is>
          <t>RF34</t>
        </is>
      </c>
      <c r="M100" s="727" t="n"/>
      <c r="N100" s="1167" t="n"/>
    </row>
    <row r="101">
      <c r="A101" s="1190" t="inlineStr">
        <is>
          <t>JSW Steel - volume</t>
        </is>
      </c>
      <c r="B101" s="456" t="inlineStr">
        <is>
          <t>Mt</t>
        </is>
      </c>
      <c r="C101" s="1603">
        <f>'Capacity Utilisation'!H21</f>
        <v/>
      </c>
      <c r="D101" s="1661">
        <f>'Capacity Forecast'!C20*'Capacity Utilisation'!C34</f>
        <v/>
      </c>
      <c r="E101" s="1661">
        <f>'Capacity Forecast'!D20*'Capacity Utilisation'!D34</f>
        <v/>
      </c>
      <c r="F101" s="1661">
        <f>'Capacity Forecast'!E20*'Capacity Utilisation'!E34</f>
        <v/>
      </c>
      <c r="G101" s="1661">
        <f>'Capacity Forecast'!F20*'Capacity Utilisation'!F34</f>
        <v/>
      </c>
      <c r="H101" s="1661">
        <f>'Capacity Forecast'!G20*'Capacity Utilisation'!G34</f>
        <v/>
      </c>
      <c r="I101" s="1661">
        <f>'Capacity Forecast'!H20*'Capacity Utilisation'!H34</f>
        <v/>
      </c>
      <c r="J101" s="1661">
        <f>'Capacity Forecast'!I20*'Capacity Utilisation'!I34</f>
        <v/>
      </c>
      <c r="K101" s="1396">
        <f>IFERROR(IF(AND(ISNUMBER(C101),ISNUMBER(J101),C101&gt;0),(J101/C101)^(1/7)-1,""),"")</f>
        <v/>
      </c>
      <c r="L101" s="860" t="inlineStr">
        <is>
          <t>RF35</t>
        </is>
      </c>
      <c r="M101" s="727" t="n"/>
      <c r="N101" s="1167" t="n"/>
    </row>
    <row r="102">
      <c r="A102" s="1190" t="inlineStr">
        <is>
          <t>SAIL - volume</t>
        </is>
      </c>
      <c r="B102" s="456" t="inlineStr">
        <is>
          <t>Mt</t>
        </is>
      </c>
      <c r="C102" s="1603">
        <f>'Capacity Utilisation'!H22</f>
        <v/>
      </c>
      <c r="D102" s="1661">
        <f>'Capacity Forecast'!C21*'Capacity Utilisation'!C35</f>
        <v/>
      </c>
      <c r="E102" s="1661">
        <f>'Capacity Forecast'!D21*'Capacity Utilisation'!D35</f>
        <v/>
      </c>
      <c r="F102" s="1661">
        <f>'Capacity Forecast'!E21*'Capacity Utilisation'!E35</f>
        <v/>
      </c>
      <c r="G102" s="1661">
        <f>'Capacity Forecast'!F21*'Capacity Utilisation'!F35</f>
        <v/>
      </c>
      <c r="H102" s="1661">
        <f>'Capacity Forecast'!G21*'Capacity Utilisation'!G35</f>
        <v/>
      </c>
      <c r="I102" s="1661">
        <f>'Capacity Forecast'!H21*'Capacity Utilisation'!H35</f>
        <v/>
      </c>
      <c r="J102" s="1661">
        <f>'Capacity Forecast'!I21*'Capacity Utilisation'!I35</f>
        <v/>
      </c>
      <c r="K102" s="1396">
        <f>IFERROR(IF(AND(ISNUMBER(C102),ISNUMBER(J102),C102&gt;0),(J102/C102)^(1/7)-1,""),"")</f>
        <v/>
      </c>
      <c r="L102" s="860" t="inlineStr">
        <is>
          <t>RF36</t>
        </is>
      </c>
      <c r="M102" s="727" t="n"/>
      <c r="N102" s="1167" t="n"/>
    </row>
    <row r="103">
      <c r="A103" s="1190" t="inlineStr">
        <is>
          <t>Jindal Steel - volume</t>
        </is>
      </c>
      <c r="B103" s="456" t="inlineStr">
        <is>
          <t>Mt</t>
        </is>
      </c>
      <c r="C103" s="1603">
        <f>'Capacity Utilisation'!H23</f>
        <v/>
      </c>
      <c r="D103" s="1661">
        <f>'Capacity Forecast'!C22*'Capacity Utilisation'!C36</f>
        <v/>
      </c>
      <c r="E103" s="1661">
        <f>'Capacity Forecast'!D22*'Capacity Utilisation'!D36</f>
        <v/>
      </c>
      <c r="F103" s="1661">
        <f>'Capacity Forecast'!E22*'Capacity Utilisation'!E36</f>
        <v/>
      </c>
      <c r="G103" s="1661">
        <f>'Capacity Forecast'!F22*'Capacity Utilisation'!F36</f>
        <v/>
      </c>
      <c r="H103" s="1661">
        <f>'Capacity Forecast'!G22*'Capacity Utilisation'!G36</f>
        <v/>
      </c>
      <c r="I103" s="1661">
        <f>'Capacity Forecast'!H22*'Capacity Utilisation'!H36</f>
        <v/>
      </c>
      <c r="J103" s="1661">
        <f>'Capacity Forecast'!I22*'Capacity Utilisation'!I36</f>
        <v/>
      </c>
      <c r="K103" s="1396">
        <f>IFERROR(IF(AND(ISNUMBER(C103),ISNUMBER(J103),C103&gt;0),(J103/C103)^(1/7)-1,""),"")</f>
        <v/>
      </c>
      <c r="L103" s="860" t="inlineStr">
        <is>
          <t>RF37</t>
        </is>
      </c>
      <c r="M103" s="727" t="n"/>
      <c r="N103" s="1167" t="n"/>
    </row>
    <row r="104">
      <c r="A104" s="1190" t="inlineStr">
        <is>
          <t>Jindal Stainless - volume</t>
        </is>
      </c>
      <c r="B104" s="456" t="inlineStr">
        <is>
          <t>Mt</t>
        </is>
      </c>
      <c r="C104" s="1603">
        <f>'Capacity Utilisation'!H24</f>
        <v/>
      </c>
      <c r="D104" s="1661">
        <f>'Capacity Forecast'!C23*'Capacity Utilisation'!C37</f>
        <v/>
      </c>
      <c r="E104" s="1661">
        <f>'Capacity Forecast'!D23*'Capacity Utilisation'!D37</f>
        <v/>
      </c>
      <c r="F104" s="1661">
        <f>'Capacity Forecast'!E23*'Capacity Utilisation'!E37</f>
        <v/>
      </c>
      <c r="G104" s="1661">
        <f>'Capacity Forecast'!F23*'Capacity Utilisation'!F37</f>
        <v/>
      </c>
      <c r="H104" s="1661">
        <f>'Capacity Forecast'!G23*'Capacity Utilisation'!G37</f>
        <v/>
      </c>
      <c r="I104" s="1661">
        <f>'Capacity Forecast'!H23*'Capacity Utilisation'!H37</f>
        <v/>
      </c>
      <c r="J104" s="1661">
        <f>'Capacity Forecast'!I23*'Capacity Utilisation'!I37</f>
        <v/>
      </c>
      <c r="K104" s="1396">
        <f>IFERROR(IF(AND(ISNUMBER(C104),ISNUMBER(J104),C104&gt;0),(J104/C104)^(1/7)-1,""),"")</f>
        <v/>
      </c>
      <c r="L104" s="860" t="inlineStr">
        <is>
          <t>RF38</t>
        </is>
      </c>
      <c r="M104" s="727" t="n"/>
      <c r="N104" s="1167" t="n"/>
    </row>
    <row r="105">
      <c r="A105" s="1190" t="inlineStr">
        <is>
          <t>Others</t>
        </is>
      </c>
      <c r="B105" s="456" t="inlineStr">
        <is>
          <t>Mt</t>
        </is>
      </c>
      <c r="C105" s="1603">
        <f>'Capacity Utilisation'!H25</f>
        <v/>
      </c>
      <c r="D105" s="1661">
        <f>'Capacity Forecast'!C24*'Capacity Utilisation'!C38</f>
        <v/>
      </c>
      <c r="E105" s="1661">
        <f>'Capacity Forecast'!D24*'Capacity Utilisation'!D38</f>
        <v/>
      </c>
      <c r="F105" s="1661">
        <f>'Capacity Forecast'!E24*'Capacity Utilisation'!E38</f>
        <v/>
      </c>
      <c r="G105" s="1661">
        <f>'Capacity Forecast'!F24*'Capacity Utilisation'!F38</f>
        <v/>
      </c>
      <c r="H105" s="1661">
        <f>'Capacity Forecast'!G24*'Capacity Utilisation'!G38</f>
        <v/>
      </c>
      <c r="I105" s="1661">
        <f>'Capacity Forecast'!H24*'Capacity Utilisation'!H38</f>
        <v/>
      </c>
      <c r="J105" s="1661">
        <f>'Capacity Forecast'!I24*'Capacity Utilisation'!I38</f>
        <v/>
      </c>
      <c r="K105" s="1396">
        <f>IFERROR(IF(AND(ISNUMBER(C105),ISNUMBER(J105),C105&gt;0),(J105/C105)^(1/7)-1,""),"")</f>
        <v/>
      </c>
      <c r="L105" s="860" t="inlineStr">
        <is>
          <t>RF39</t>
        </is>
      </c>
      <c r="M105" s="727" t="n"/>
      <c r="N105" s="1662" t="n"/>
    </row>
    <row r="106">
      <c r="A106" s="1191" t="inlineStr">
        <is>
          <t>TOTAL</t>
        </is>
      </c>
      <c r="B106" s="456" t="inlineStr">
        <is>
          <t>Mt</t>
        </is>
      </c>
      <c r="C106" s="1663">
        <f>SUM(C100:C105)</f>
        <v/>
      </c>
      <c r="D106" s="1663">
        <f>SUM(D100:D105)</f>
        <v/>
      </c>
      <c r="E106" s="1663">
        <f>SUM(E100:E105)</f>
        <v/>
      </c>
      <c r="F106" s="1663">
        <f>SUM(F100:F105)</f>
        <v/>
      </c>
      <c r="G106" s="1663">
        <f>SUM(G100:G105)</f>
        <v/>
      </c>
      <c r="H106" s="1663">
        <f>SUM(H100:H105)</f>
        <v/>
      </c>
      <c r="I106" s="1663">
        <f>SUM(I100:I105)</f>
        <v/>
      </c>
      <c r="J106" s="1663">
        <f>SUM(J100:J105)</f>
        <v/>
      </c>
      <c r="K106" s="1664">
        <f>IFERROR(IF(AND(ISNUMBER(C106),ISNUMBER(J106),C106&gt;0),(J106/C106)^(1/7)-1,""),"")</f>
        <v/>
      </c>
      <c r="L106" s="860" t="inlineStr">
        <is>
          <t>RF40</t>
        </is>
      </c>
      <c r="M106" s="727" t="n"/>
      <c r="N106" s="1662" t="n"/>
    </row>
    <row r="108">
      <c r="A108" s="1166" t="inlineStr">
        <is>
          <t>COMPANY REVENUE BUILD</t>
        </is>
      </c>
    </row>
    <row r="109">
      <c r="A109" s="1188" t="inlineStr">
        <is>
          <t>Line item</t>
        </is>
      </c>
      <c r="B109" s="269" t="inlineStr">
        <is>
          <t>Unit</t>
        </is>
      </c>
      <c r="C109" s="269" t="inlineStr">
        <is>
          <t>FY2026A</t>
        </is>
      </c>
      <c r="D109" s="269" t="inlineStr">
        <is>
          <t>FY2027E</t>
        </is>
      </c>
      <c r="E109" s="269" t="inlineStr">
        <is>
          <t>FY2028E</t>
        </is>
      </c>
      <c r="F109" s="269" t="inlineStr">
        <is>
          <t>FY2029E</t>
        </is>
      </c>
      <c r="G109" s="269" t="inlineStr">
        <is>
          <t>FY2030E</t>
        </is>
      </c>
      <c r="H109" s="269" t="inlineStr">
        <is>
          <t>FY2031E</t>
        </is>
      </c>
      <c r="I109" s="269" t="inlineStr">
        <is>
          <t>FY2032E</t>
        </is>
      </c>
      <c r="J109" s="269" t="inlineStr">
        <is>
          <t>FY2033E</t>
        </is>
      </c>
      <c r="K109" s="269" t="inlineStr">
        <is>
          <t>CAGR</t>
        </is>
      </c>
      <c r="L109" s="1237" t="inlineStr">
        <is>
          <t>Audit Code</t>
        </is>
      </c>
      <c r="M109" s="268" t="n"/>
      <c r="N109" s="1261" t="n"/>
    </row>
    <row r="110">
      <c r="A110" s="1190" t="inlineStr">
        <is>
          <t>Tata Steel - revenue</t>
        </is>
      </c>
      <c r="B110" s="456" t="inlineStr">
        <is>
          <t>Rs cr</t>
        </is>
      </c>
      <c r="C110" s="1665">
        <f>'[1]Revenue &amp; EBITDA'!$H6</f>
        <v/>
      </c>
      <c r="D110" s="1604">
        <f>D100*D94*1.03834/10</f>
        <v/>
      </c>
      <c r="E110" s="1604">
        <f>E100*E94*1.03834/10</f>
        <v/>
      </c>
      <c r="F110" s="1604">
        <f>F100*F94*1.03834/10</f>
        <v/>
      </c>
      <c r="G110" s="1604">
        <f>G100*G94*1.03834/10</f>
        <v/>
      </c>
      <c r="H110" s="1604">
        <f>H100*H94*1.03834/10</f>
        <v/>
      </c>
      <c r="I110" s="1604">
        <f>I100*I94*1.03834/10</f>
        <v/>
      </c>
      <c r="J110" s="1604">
        <f>J100*J94*1.03834/10</f>
        <v/>
      </c>
      <c r="K110" s="1396">
        <f>IFERROR(IF(AND(ISNUMBER(C110),ISNUMBER(J110),C110&gt;0),(J110/C110)^(1/7)-1,""),"")</f>
        <v/>
      </c>
      <c r="L110" s="860" t="inlineStr">
        <is>
          <t>RF41</t>
        </is>
      </c>
      <c r="M110" s="727" t="n"/>
      <c r="N110" s="1167" t="n"/>
    </row>
    <row r="111">
      <c r="A111" s="1190" t="inlineStr">
        <is>
          <t>JSW Steel - revenue</t>
        </is>
      </c>
      <c r="B111" s="456" t="inlineStr">
        <is>
          <t>Rs cr</t>
        </is>
      </c>
      <c r="C111" s="1665">
        <f>'[1]Revenue &amp; EBITDA'!$H7</f>
        <v/>
      </c>
      <c r="D111" s="1604">
        <f>D101*D94*1.013733/10</f>
        <v/>
      </c>
      <c r="E111" s="1604">
        <f>E101*E94*1.013733/10</f>
        <v/>
      </c>
      <c r="F111" s="1604">
        <f>F101*F94*1.013733/10</f>
        <v/>
      </c>
      <c r="G111" s="1604">
        <f>G101*G94*1.013733/10</f>
        <v/>
      </c>
      <c r="H111" s="1604">
        <f>H101*H94*1.013733/10</f>
        <v/>
      </c>
      <c r="I111" s="1604">
        <f>I101*I94*1.013733/10</f>
        <v/>
      </c>
      <c r="J111" s="1604">
        <f>J101*J94*1.013733/10</f>
        <v/>
      </c>
      <c r="K111" s="1396">
        <f>IFERROR(IF(AND(ISNUMBER(C111),ISNUMBER(J111),C111&gt;0),(J111/C111)^(1/7)-1,""),"")</f>
        <v/>
      </c>
      <c r="L111" s="860" t="inlineStr">
        <is>
          <t>RF42</t>
        </is>
      </c>
      <c r="M111" s="727" t="n"/>
      <c r="N111" s="1167" t="n"/>
    </row>
    <row r="112">
      <c r="A112" s="1190" t="inlineStr">
        <is>
          <t>SAIL - revenue</t>
        </is>
      </c>
      <c r="B112" s="456" t="inlineStr">
        <is>
          <t>Rs cr</t>
        </is>
      </c>
      <c r="C112" s="1665">
        <f>'[1]Revenue &amp; EBITDA'!$H8</f>
        <v/>
      </c>
      <c r="D112" s="1604">
        <f>D102*D94*0.92707/10</f>
        <v/>
      </c>
      <c r="E112" s="1604">
        <f>E102*E94*0.92707/10</f>
        <v/>
      </c>
      <c r="F112" s="1604">
        <f>F102*F94*0.92707/10</f>
        <v/>
      </c>
      <c r="G112" s="1604">
        <f>G102*G94*0.92707/10</f>
        <v/>
      </c>
      <c r="H112" s="1604">
        <f>H102*H94*0.92707/10</f>
        <v/>
      </c>
      <c r="I112" s="1604">
        <f>I102*I94*0.92707/10</f>
        <v/>
      </c>
      <c r="J112" s="1604">
        <f>J102*J94*0.92707/10</f>
        <v/>
      </c>
      <c r="K112" s="1396">
        <f>IFERROR(IF(AND(ISNUMBER(C112),ISNUMBER(J112),C112&gt;0),(J112/C112)^(1/7)-1,""),"")</f>
        <v/>
      </c>
      <c r="L112" s="860" t="inlineStr">
        <is>
          <t>RF43</t>
        </is>
      </c>
      <c r="M112" s="727" t="n"/>
      <c r="N112" s="1167" t="n"/>
    </row>
    <row r="113">
      <c r="A113" s="1190" t="inlineStr">
        <is>
          <t>Jindal Steel - revenue</t>
        </is>
      </c>
      <c r="B113" s="456" t="inlineStr">
        <is>
          <t>Rs cr</t>
        </is>
      </c>
      <c r="C113" s="1665">
        <f>'[1]Revenue &amp; EBITDA'!$H9</f>
        <v/>
      </c>
      <c r="D113" s="1604">
        <f>D103*D94*1.022428/10</f>
        <v/>
      </c>
      <c r="E113" s="1604">
        <f>E103*E94*1.022428/10</f>
        <v/>
      </c>
      <c r="F113" s="1604">
        <f>F103*F94*1.022428/10</f>
        <v/>
      </c>
      <c r="G113" s="1604">
        <f>G103*G94*1.022428/10</f>
        <v/>
      </c>
      <c r="H113" s="1604">
        <f>H103*H94*1.022428/10</f>
        <v/>
      </c>
      <c r="I113" s="1604">
        <f>I103*I94*1.022428/10</f>
        <v/>
      </c>
      <c r="J113" s="1604">
        <f>J103*J94*1.022428/10</f>
        <v/>
      </c>
      <c r="K113" s="1396">
        <f>IFERROR(IF(AND(ISNUMBER(C113),ISNUMBER(J113),C113&gt;0),(J113/C113)^(1/7)-1,""),"")</f>
        <v/>
      </c>
      <c r="L113" s="860" t="inlineStr">
        <is>
          <t>RF44</t>
        </is>
      </c>
      <c r="M113" s="727" t="n"/>
      <c r="N113" s="1167" t="n"/>
    </row>
    <row r="114">
      <c r="A114" s="1190" t="inlineStr">
        <is>
          <t>Jindal Stainless - revenue</t>
        </is>
      </c>
      <c r="B114" s="456" t="inlineStr">
        <is>
          <t>Rs cr</t>
        </is>
      </c>
      <c r="C114" s="1665">
        <f>'[1]Revenue &amp; EBITDA'!$H10</f>
        <v/>
      </c>
      <c r="D114" s="1604">
        <f>D104*D94*2.786876/10</f>
        <v/>
      </c>
      <c r="E114" s="1604">
        <f>E104*E94*2.786876/10</f>
        <v/>
      </c>
      <c r="F114" s="1604">
        <f>F104*F94*2.786876/10</f>
        <v/>
      </c>
      <c r="G114" s="1604">
        <f>G104*G94*2.786876/10</f>
        <v/>
      </c>
      <c r="H114" s="1604">
        <f>H104*H94*2.786876/10</f>
        <v/>
      </c>
      <c r="I114" s="1604">
        <f>I104*I94*2.786876/10</f>
        <v/>
      </c>
      <c r="J114" s="1604">
        <f>J104*J94*2.786876/10</f>
        <v/>
      </c>
      <c r="K114" s="1396">
        <f>IFERROR(IF(AND(ISNUMBER(C114),ISNUMBER(J114),C114&gt;0),(J114/C114)^(1/7)-1,""),"")</f>
        <v/>
      </c>
      <c r="L114" s="860" t="inlineStr">
        <is>
          <t>RF45</t>
        </is>
      </c>
      <c r="M114" s="727" t="n"/>
      <c r="N114" s="1167" t="n"/>
    </row>
    <row r="115">
      <c r="A115" s="1190" t="inlineStr">
        <is>
          <t>Others</t>
        </is>
      </c>
      <c r="B115" s="456" t="inlineStr">
        <is>
          <t>Rs cr</t>
        </is>
      </c>
      <c r="C115" s="1665">
        <f>'[1]Revenue &amp; EBITDA'!$H11</f>
        <v/>
      </c>
      <c r="D115" s="1604">
        <f>D105*D94*0.845063/10</f>
        <v/>
      </c>
      <c r="E115" s="1604">
        <f>E105*E94*0.845063/10</f>
        <v/>
      </c>
      <c r="F115" s="1604">
        <f>F105*F94*0.845063/10</f>
        <v/>
      </c>
      <c r="G115" s="1604">
        <f>G105*G94*0.845063/10</f>
        <v/>
      </c>
      <c r="H115" s="1604">
        <f>H105*H94*0.845063/10</f>
        <v/>
      </c>
      <c r="I115" s="1604">
        <f>I105*I94*0.845063/10</f>
        <v/>
      </c>
      <c r="J115" s="1604">
        <f>J105*J94*0.845063/10</f>
        <v/>
      </c>
      <c r="K115" s="1396">
        <f>IFERROR(IF(AND(ISNUMBER(C115),ISNUMBER(J115),C115&gt;0),(J115/C115)^(1/7)-1,""),"")</f>
        <v/>
      </c>
      <c r="L115" s="860" t="inlineStr">
        <is>
          <t>RF46</t>
        </is>
      </c>
      <c r="M115" s="727" t="n"/>
      <c r="N115" s="1167" t="n"/>
    </row>
    <row r="117">
      <c r="A117" s="1132" t="inlineStr">
        <is>
          <t>Company revenues are NOT additive to industry revenue: Jindal Stainless is stainless, AM/NS India is on a 100% JV basis, RINL turnover is on an unspecified basis, and the six together are only part of India's output. Use industry revenue for the market and company revenue for relative work.</t>
        </is>
      </c>
    </row>
  </sheetData>
  <mergeCells count="15">
    <mergeCell ref="A80:D80"/>
    <mergeCell ref="A70:D70"/>
    <mergeCell ref="P3:Q3"/>
    <mergeCell ref="N3:O3"/>
    <mergeCell ref="A61:D61"/>
    <mergeCell ref="A25:H25"/>
    <mergeCell ref="A2:H2"/>
    <mergeCell ref="A49:E49"/>
    <mergeCell ref="A7:J7"/>
    <mergeCell ref="A98:K98"/>
    <mergeCell ref="A36:E36"/>
    <mergeCell ref="A16:J16"/>
    <mergeCell ref="A5:N5"/>
    <mergeCell ref="A117:N117"/>
    <mergeCell ref="A1:Q1"/>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codeName="Sheet18">
    <tabColor rgb="FF002060"/>
    <outlinePr summaryBelow="1" summaryRight="1"/>
    <pageSetUpPr/>
  </sheetPr>
  <dimension ref="A1:L122"/>
  <sheetViews>
    <sheetView showGridLines="0" topLeftCell="A94" workbookViewId="0">
      <selection activeCell="D119" sqref="D119"/>
    </sheetView>
  </sheetViews>
  <sheetFormatPr baseColWidth="8" defaultRowHeight="14.4"/>
  <cols>
    <col width="48.5546875" customWidth="1" style="1262" min="1" max="1"/>
    <col width="14.44140625" customWidth="1" style="107" min="2" max="9"/>
    <col width="14.44140625" customWidth="1" style="1262" min="10" max="11"/>
    <col width="13.6640625" customWidth="1" style="1262" min="12" max="12"/>
    <col width="8.88671875" customWidth="1" style="1262" min="13" max="16384"/>
  </cols>
  <sheetData>
    <row r="1" ht="25.8" customHeight="1">
      <c r="A1" s="1133" t="inlineStr">
        <is>
          <t>EBITDA MODEL</t>
        </is>
      </c>
    </row>
    <row r="2" ht="15" customHeight="1" thickBot="1">
      <c r="A2" s="1136" t="inlineStr">
        <is>
          <t>Industry Financial Model  |  Indian Steel Industry  |  Horizon FY2027E-FY2033E  |  Base year FY2026A</t>
        </is>
      </c>
    </row>
    <row r="3" ht="16.2" customHeight="1" thickBot="1">
      <c r="A3" s="1167" t="n"/>
      <c r="I3" s="1407" t="inlineStr">
        <is>
          <t>Active Scenario</t>
        </is>
      </c>
      <c r="J3" s="1401" t="n"/>
      <c r="K3" s="760">
        <f>'Control Panel'!$E$17</f>
        <v/>
      </c>
      <c r="L3" s="1354" t="n"/>
    </row>
    <row r="4">
      <c r="A4" s="1145" t="inlineStr">
        <is>
          <t>OBJECTIVE</t>
        </is>
      </c>
    </row>
    <row r="5">
      <c r="A5" s="1134" t="inlineStr">
        <is>
          <t>Forecast industry EBITDA by integrating revenue, raw material costs, conversion costs, operating expenses, and operating leverage.</t>
        </is>
      </c>
    </row>
    <row r="6">
      <c r="A6" s="1134" t="n"/>
      <c r="B6" s="311" t="n"/>
      <c r="C6" s="311" t="n"/>
      <c r="D6" s="311" t="n"/>
      <c r="E6" s="311" t="n"/>
      <c r="F6" s="311" t="n"/>
      <c r="G6" s="311" t="n"/>
      <c r="H6" s="311" t="n"/>
      <c r="I6" s="311" t="n"/>
      <c r="J6" s="1134" t="n"/>
      <c r="K6" s="1134" t="n"/>
    </row>
    <row r="7" ht="16.2" customHeight="1" thickBot="1">
      <c r="A7" s="1203" t="inlineStr">
        <is>
          <t>Executive Summary</t>
        </is>
      </c>
      <c r="B7" s="444" t="n"/>
      <c r="C7" s="444" t="n"/>
      <c r="D7" s="444" t="n"/>
      <c r="E7" s="444" t="n"/>
      <c r="F7" s="444" t="n"/>
      <c r="G7" s="444" t="n"/>
      <c r="H7" s="444" t="n"/>
      <c r="I7" s="444" t="n"/>
      <c r="J7" s="1134" t="n"/>
      <c r="K7" s="1134" t="n"/>
    </row>
    <row r="8" ht="15.6" customHeight="1" thickBot="1" thickTop="1">
      <c r="A8" s="494" t="inlineStr">
        <is>
          <t>KPI</t>
        </is>
      </c>
      <c r="B8" s="569" t="inlineStr">
        <is>
          <t>FY26A</t>
        </is>
      </c>
      <c r="C8" s="569" t="inlineStr">
        <is>
          <t>FY27E</t>
        </is>
      </c>
      <c r="D8" s="569" t="inlineStr">
        <is>
          <t>FY28E</t>
        </is>
      </c>
      <c r="E8" s="569" t="inlineStr">
        <is>
          <t>FY29E</t>
        </is>
      </c>
      <c r="F8" s="569" t="inlineStr">
        <is>
          <t>FY30E</t>
        </is>
      </c>
      <c r="G8" s="569" t="inlineStr">
        <is>
          <t>FY31E</t>
        </is>
      </c>
      <c r="H8" s="569" t="inlineStr">
        <is>
          <t>FY32E</t>
        </is>
      </c>
      <c r="I8" s="570" t="inlineStr">
        <is>
          <t>FY33E</t>
        </is>
      </c>
      <c r="J8" s="269" t="inlineStr">
        <is>
          <t>Audit Code</t>
        </is>
      </c>
      <c r="K8" s="1134" t="n"/>
    </row>
    <row r="9" ht="15" customHeight="1" thickTop="1">
      <c r="A9" s="206" t="inlineStr">
        <is>
          <t>Revenue (₹ Cr)</t>
        </is>
      </c>
      <c r="B9" s="1666">
        <f>'Revenue Forecast'!C95</f>
        <v/>
      </c>
      <c r="C9" s="1666">
        <f>'Revenue Forecast'!D95</f>
        <v/>
      </c>
      <c r="D9" s="1666">
        <f>'Revenue Forecast'!E95</f>
        <v/>
      </c>
      <c r="E9" s="1666">
        <f>'Revenue Forecast'!F95</f>
        <v/>
      </c>
      <c r="F9" s="1666">
        <f>'Revenue Forecast'!G95</f>
        <v/>
      </c>
      <c r="G9" s="1666">
        <f>'Revenue Forecast'!H95</f>
        <v/>
      </c>
      <c r="H9" s="1666">
        <f>'Revenue Forecast'!I95</f>
        <v/>
      </c>
      <c r="I9" s="1667">
        <f>'Revenue Forecast'!J95</f>
        <v/>
      </c>
      <c r="J9" s="421" t="inlineStr">
        <is>
          <t>EE01</t>
        </is>
      </c>
      <c r="K9" s="1134" t="n"/>
    </row>
    <row r="10">
      <c r="A10" s="207" t="inlineStr">
        <is>
          <t>EBITDA (₹ Cr)</t>
        </is>
      </c>
      <c r="B10" s="1646">
        <f>C103</f>
        <v/>
      </c>
      <c r="C10" s="1646">
        <f>D103</f>
        <v/>
      </c>
      <c r="D10" s="1646">
        <f>E103</f>
        <v/>
      </c>
      <c r="E10" s="1646">
        <f>F103</f>
        <v/>
      </c>
      <c r="F10" s="1646">
        <f>G103</f>
        <v/>
      </c>
      <c r="G10" s="1646">
        <f>H103</f>
        <v/>
      </c>
      <c r="H10" s="1646">
        <f>I103</f>
        <v/>
      </c>
      <c r="I10" s="1668">
        <f>J103</f>
        <v/>
      </c>
      <c r="J10" s="421" t="inlineStr">
        <is>
          <t>EE02</t>
        </is>
      </c>
      <c r="K10" s="1134" t="n"/>
    </row>
    <row r="11">
      <c r="A11" s="207" t="inlineStr">
        <is>
          <t>EBITDA Margin (%)</t>
        </is>
      </c>
      <c r="B11" s="1550">
        <f>B10/B9</f>
        <v/>
      </c>
      <c r="C11" s="1550">
        <f>C10/C9</f>
        <v/>
      </c>
      <c r="D11" s="1550">
        <f>D10/D9</f>
        <v/>
      </c>
      <c r="E11" s="1550">
        <f>E10/E9</f>
        <v/>
      </c>
      <c r="F11" s="1550">
        <f>F10/F9</f>
        <v/>
      </c>
      <c r="G11" s="1550">
        <f>G10/G9</f>
        <v/>
      </c>
      <c r="H11" s="1550">
        <f>H10/H9</f>
        <v/>
      </c>
      <c r="I11" s="1551">
        <f>I10/I9</f>
        <v/>
      </c>
      <c r="J11" s="421" t="inlineStr">
        <is>
          <t>EE03</t>
        </is>
      </c>
      <c r="K11" s="1134" t="n"/>
    </row>
    <row r="12">
      <c r="A12" s="207" t="inlineStr">
        <is>
          <t>EBITDA/Tonne (₹/t)</t>
        </is>
      </c>
      <c r="B12" s="506">
        <f>C101</f>
        <v/>
      </c>
      <c r="C12" s="506">
        <f>D101</f>
        <v/>
      </c>
      <c r="D12" s="506">
        <f>E101</f>
        <v/>
      </c>
      <c r="E12" s="506">
        <f>F101</f>
        <v/>
      </c>
      <c r="F12" s="506">
        <f>G101</f>
        <v/>
      </c>
      <c r="G12" s="506">
        <f>H101</f>
        <v/>
      </c>
      <c r="H12" s="506">
        <f>I101</f>
        <v/>
      </c>
      <c r="I12" s="955">
        <f>J101</f>
        <v/>
      </c>
      <c r="J12" s="421" t="inlineStr">
        <is>
          <t>EE04</t>
        </is>
      </c>
      <c r="K12" s="1134" t="n"/>
    </row>
    <row r="13">
      <c r="A13" s="207" t="inlineStr">
        <is>
          <t>Cash Cost (₹/t)</t>
        </is>
      </c>
      <c r="B13" s="506">
        <f>C100</f>
        <v/>
      </c>
      <c r="C13" s="506">
        <f>D100</f>
        <v/>
      </c>
      <c r="D13" s="506">
        <f>E100</f>
        <v/>
      </c>
      <c r="E13" s="506">
        <f>F100</f>
        <v/>
      </c>
      <c r="F13" s="506">
        <f>G100</f>
        <v/>
      </c>
      <c r="G13" s="506">
        <f>H100</f>
        <v/>
      </c>
      <c r="H13" s="506">
        <f>I100</f>
        <v/>
      </c>
      <c r="I13" s="955">
        <f>J100</f>
        <v/>
      </c>
      <c r="J13" s="421" t="inlineStr">
        <is>
          <t>EE05</t>
        </is>
      </c>
      <c r="K13" s="1134" t="n"/>
    </row>
    <row r="14" ht="15" customHeight="1" thickBot="1">
      <c r="A14" s="208" t="inlineStr">
        <is>
          <t>Operating Cost (₹ Cr)</t>
        </is>
      </c>
      <c r="B14" s="1669">
        <f>B9-B10</f>
        <v/>
      </c>
      <c r="C14" s="1669">
        <f>C9-C10</f>
        <v/>
      </c>
      <c r="D14" s="1669">
        <f>D9-D10</f>
        <v/>
      </c>
      <c r="E14" s="1669">
        <f>E9-E10</f>
        <v/>
      </c>
      <c r="F14" s="1669">
        <f>F9-F10</f>
        <v/>
      </c>
      <c r="G14" s="1669">
        <f>G9-G10</f>
        <v/>
      </c>
      <c r="H14" s="1669">
        <f>H9-H10</f>
        <v/>
      </c>
      <c r="I14" s="1670">
        <f>I9-I10</f>
        <v/>
      </c>
      <c r="J14" s="421" t="inlineStr">
        <is>
          <t>EE06</t>
        </is>
      </c>
      <c r="K14" s="1134" t="n"/>
    </row>
    <row r="15">
      <c r="A15" s="1134" t="n"/>
      <c r="B15" s="311" t="n"/>
      <c r="C15" s="311" t="n"/>
      <c r="D15" s="311" t="n"/>
      <c r="E15" s="311" t="n"/>
      <c r="F15" s="311" t="n"/>
      <c r="G15" s="311" t="n"/>
      <c r="H15" s="311" t="n"/>
      <c r="I15" s="311" t="n"/>
      <c r="J15" s="1134" t="n"/>
      <c r="K15" s="1134" t="n"/>
    </row>
    <row r="16">
      <c r="A16" s="1134" t="n"/>
      <c r="B16" s="311" t="n"/>
      <c r="C16" s="311" t="n"/>
      <c r="D16" s="311" t="n"/>
      <c r="E16" s="311" t="n"/>
      <c r="F16" s="311" t="n"/>
      <c r="G16" s="311" t="n"/>
      <c r="H16" s="311" t="n"/>
      <c r="I16" s="311" t="n"/>
      <c r="J16" s="1134" t="n"/>
      <c r="K16" s="1134" t="n"/>
    </row>
    <row r="17" ht="16.2" customHeight="1" thickBot="1">
      <c r="A17" s="1203" t="inlineStr">
        <is>
          <t>EBITDA Build Up</t>
        </is>
      </c>
      <c r="B17" s="444" t="n"/>
      <c r="C17" s="444" t="n"/>
      <c r="D17" s="444" t="n"/>
      <c r="E17" s="444" t="n"/>
      <c r="F17" s="444" t="n"/>
      <c r="G17" s="444" t="n"/>
      <c r="H17" s="444" t="n"/>
      <c r="I17" s="444" t="n"/>
      <c r="J17" s="1134" t="n"/>
      <c r="K17" s="1134" t="n"/>
    </row>
    <row r="18" ht="15.6" customHeight="1" thickBot="1" thickTop="1">
      <c r="A18" s="494" t="inlineStr">
        <is>
          <t>Year</t>
        </is>
      </c>
      <c r="B18" s="569" t="inlineStr">
        <is>
          <t>Revenue</t>
        </is>
      </c>
      <c r="C18" s="569" t="inlineStr">
        <is>
          <t>RM Cost</t>
        </is>
      </c>
      <c r="D18" s="569" t="inlineStr">
        <is>
          <t>Conversion Cost</t>
        </is>
      </c>
      <c r="E18" s="569" t="inlineStr">
        <is>
          <t>Logistics</t>
        </is>
      </c>
      <c r="F18" s="569" t="inlineStr">
        <is>
          <t>SG&amp;A</t>
        </is>
      </c>
      <c r="G18" s="569" t="inlineStr">
        <is>
          <t>Other Opex</t>
        </is>
      </c>
      <c r="H18" s="569" t="inlineStr">
        <is>
          <t>Total Opex</t>
        </is>
      </c>
      <c r="I18" s="570" t="inlineStr">
        <is>
          <t>EBITDA</t>
        </is>
      </c>
      <c r="J18" s="269" t="inlineStr">
        <is>
          <t>Audit Code</t>
        </is>
      </c>
      <c r="K18" s="1134" t="n"/>
    </row>
    <row r="19" ht="15" customHeight="1" thickTop="1">
      <c r="A19" s="206" t="inlineStr">
        <is>
          <t>FY26A</t>
        </is>
      </c>
      <c r="B19" s="1611">
        <f>'Revenue Forecast'!C95</f>
        <v/>
      </c>
      <c r="C19" s="1612">
        <f>'Cost Curve'!C$65*'Model Assumptions'!D$20*'Steel Supply Model'!C$90/10</f>
        <v/>
      </c>
      <c r="D19" s="1612">
        <f>'Cost Curve'!C$65*(1-'Model Assumptions'!D$20)*'Steel Supply Model'!C$90/10</f>
        <v/>
      </c>
      <c r="E19" s="1612">
        <f>D19*0.15</f>
        <v/>
      </c>
      <c r="F19" s="1612">
        <f>D19*0.12</f>
        <v/>
      </c>
      <c r="G19" s="1612">
        <f>D19*0.08</f>
        <v/>
      </c>
      <c r="H19" s="1671">
        <f>C19+D19</f>
        <v/>
      </c>
      <c r="I19" s="1672">
        <f>B19-H19</f>
        <v/>
      </c>
      <c r="J19" s="421" t="inlineStr">
        <is>
          <t>EE07</t>
        </is>
      </c>
      <c r="K19" s="1673" t="n"/>
    </row>
    <row r="20">
      <c r="A20" s="207" t="inlineStr">
        <is>
          <t>FY27E</t>
        </is>
      </c>
      <c r="B20" s="1614">
        <f>'Revenue Forecast'!D95</f>
        <v/>
      </c>
      <c r="C20" s="1583">
        <f>'Cost Curve'!D$65*'Model Assumptions'!E$20*'Steel Supply Model'!D$90/10</f>
        <v/>
      </c>
      <c r="D20" s="1583">
        <f>'Cost Curve'!D$65*(1-'Model Assumptions'!E$20)*'Steel Supply Model'!D$90/10</f>
        <v/>
      </c>
      <c r="E20" s="1612">
        <f>D20*0.15</f>
        <v/>
      </c>
      <c r="F20" s="1612">
        <f>D20*0.12</f>
        <v/>
      </c>
      <c r="G20" s="1612">
        <f>D20*0.08</f>
        <v/>
      </c>
      <c r="H20" s="1671">
        <f>C20+D20</f>
        <v/>
      </c>
      <c r="I20" s="1674">
        <f>B20-H20</f>
        <v/>
      </c>
      <c r="J20" s="421" t="inlineStr">
        <is>
          <t>EE08</t>
        </is>
      </c>
      <c r="K20" s="1134" t="n"/>
    </row>
    <row r="21">
      <c r="A21" s="207" t="inlineStr">
        <is>
          <t>FY28E</t>
        </is>
      </c>
      <c r="B21" s="1614">
        <f>'Revenue Forecast'!E95</f>
        <v/>
      </c>
      <c r="C21" s="1583">
        <f>'Cost Curve'!E$65*'Model Assumptions'!F$20*'Steel Supply Model'!E$90/10</f>
        <v/>
      </c>
      <c r="D21" s="1583">
        <f>'Cost Curve'!E$65*(1-'Model Assumptions'!F$20)*'Steel Supply Model'!E$90/10</f>
        <v/>
      </c>
      <c r="E21" s="1612">
        <f>D21*0.15</f>
        <v/>
      </c>
      <c r="F21" s="1612">
        <f>D21*0.12</f>
        <v/>
      </c>
      <c r="G21" s="1612">
        <f>D21*0.08</f>
        <v/>
      </c>
      <c r="H21" s="1671">
        <f>C21+D21</f>
        <v/>
      </c>
      <c r="I21" s="1674">
        <f>B21-H21</f>
        <v/>
      </c>
      <c r="J21" s="421" t="inlineStr">
        <is>
          <t>EE09</t>
        </is>
      </c>
      <c r="K21" s="1134" t="n"/>
    </row>
    <row r="22">
      <c r="A22" s="207" t="inlineStr">
        <is>
          <t>FY29E</t>
        </is>
      </c>
      <c r="B22" s="1614">
        <f>'Revenue Forecast'!F95</f>
        <v/>
      </c>
      <c r="C22" s="1583">
        <f>'Cost Curve'!F$65*'Model Assumptions'!G$20*'Steel Supply Model'!F$90/10</f>
        <v/>
      </c>
      <c r="D22" s="1583">
        <f>'Cost Curve'!F$65*(1-'Model Assumptions'!G$20)*'Steel Supply Model'!F$90/10</f>
        <v/>
      </c>
      <c r="E22" s="1612">
        <f>D22*0.15</f>
        <v/>
      </c>
      <c r="F22" s="1612">
        <f>D22*0.12</f>
        <v/>
      </c>
      <c r="G22" s="1612">
        <f>D22*0.08</f>
        <v/>
      </c>
      <c r="H22" s="1671">
        <f>C22+D22</f>
        <v/>
      </c>
      <c r="I22" s="1674">
        <f>B22-H22</f>
        <v/>
      </c>
      <c r="J22" s="421" t="inlineStr">
        <is>
          <t>EE10</t>
        </is>
      </c>
      <c r="K22" s="1134" t="n"/>
    </row>
    <row r="23">
      <c r="A23" s="207" t="inlineStr">
        <is>
          <t>FY30E</t>
        </is>
      </c>
      <c r="B23" s="1614">
        <f>'Revenue Forecast'!G95</f>
        <v/>
      </c>
      <c r="C23" s="1583">
        <f>'Cost Curve'!G$65*'Model Assumptions'!H$20*'Steel Supply Model'!G$90/10</f>
        <v/>
      </c>
      <c r="D23" s="1583">
        <f>'Cost Curve'!G$65*(1-'Model Assumptions'!H$20)*'Steel Supply Model'!G$90/10</f>
        <v/>
      </c>
      <c r="E23" s="1612">
        <f>D23*0.15</f>
        <v/>
      </c>
      <c r="F23" s="1612">
        <f>D23*0.12</f>
        <v/>
      </c>
      <c r="G23" s="1612">
        <f>D23*0.08</f>
        <v/>
      </c>
      <c r="H23" s="1671">
        <f>C23+D23</f>
        <v/>
      </c>
      <c r="I23" s="1674">
        <f>B23-H23</f>
        <v/>
      </c>
      <c r="J23" s="421" t="inlineStr">
        <is>
          <t>EE11</t>
        </is>
      </c>
      <c r="K23" s="1134" t="n"/>
    </row>
    <row r="24">
      <c r="A24" s="207" t="inlineStr">
        <is>
          <t>FY31E</t>
        </is>
      </c>
      <c r="B24" s="1614">
        <f>'Revenue Forecast'!H95</f>
        <v/>
      </c>
      <c r="C24" s="1583">
        <f>'Cost Curve'!H$65*'Model Assumptions'!I$20*'Steel Supply Model'!H$90/10</f>
        <v/>
      </c>
      <c r="D24" s="1583">
        <f>'Cost Curve'!H$65*(1-'Model Assumptions'!I$20)*'Steel Supply Model'!H$90/10</f>
        <v/>
      </c>
      <c r="E24" s="1612">
        <f>D24*0.15</f>
        <v/>
      </c>
      <c r="F24" s="1612">
        <f>D24*0.12</f>
        <v/>
      </c>
      <c r="G24" s="1612">
        <f>D24*0.08</f>
        <v/>
      </c>
      <c r="H24" s="1671">
        <f>C24+D24</f>
        <v/>
      </c>
      <c r="I24" s="1674">
        <f>B24-H24</f>
        <v/>
      </c>
      <c r="J24" s="421" t="inlineStr">
        <is>
          <t>EE12</t>
        </is>
      </c>
      <c r="K24" s="1134" t="n"/>
    </row>
    <row r="25">
      <c r="A25" s="207" t="inlineStr">
        <is>
          <t>FY32E</t>
        </is>
      </c>
      <c r="B25" s="1614">
        <f>'Revenue Forecast'!I95</f>
        <v/>
      </c>
      <c r="C25" s="1583">
        <f>'Cost Curve'!I$65*'Model Assumptions'!J$20*'Steel Supply Model'!I$90/10</f>
        <v/>
      </c>
      <c r="D25" s="1583">
        <f>'Cost Curve'!I$65*(1-'Model Assumptions'!J$20)*'Steel Supply Model'!I$90/10</f>
        <v/>
      </c>
      <c r="E25" s="1612">
        <f>D25*0.15</f>
        <v/>
      </c>
      <c r="F25" s="1612">
        <f>D25*0.12</f>
        <v/>
      </c>
      <c r="G25" s="1612">
        <f>D25*0.08</f>
        <v/>
      </c>
      <c r="H25" s="1671">
        <f>C25+D25</f>
        <v/>
      </c>
      <c r="I25" s="1674">
        <f>B25-H25</f>
        <v/>
      </c>
      <c r="J25" s="421" t="inlineStr">
        <is>
          <t>EE13</t>
        </is>
      </c>
      <c r="K25" s="1134" t="n"/>
    </row>
    <row r="26" ht="15" customHeight="1" thickBot="1">
      <c r="A26" s="208" t="inlineStr">
        <is>
          <t>FY33E</t>
        </is>
      </c>
      <c r="B26" s="1675">
        <f>'Revenue Forecast'!J95</f>
        <v/>
      </c>
      <c r="C26" s="1597">
        <f>'Cost Curve'!J$65*'Model Assumptions'!K$20*'Steel Supply Model'!J$90/10</f>
        <v/>
      </c>
      <c r="D26" s="1597">
        <f>'Cost Curve'!J$65*(1-'Model Assumptions'!K$20)*'Steel Supply Model'!J$90/10</f>
        <v/>
      </c>
      <c r="E26" s="1612">
        <f>D26*0.15</f>
        <v/>
      </c>
      <c r="F26" s="1612">
        <f>D26*0.12</f>
        <v/>
      </c>
      <c r="G26" s="1612">
        <f>D26*0.08</f>
        <v/>
      </c>
      <c r="H26" s="1671">
        <f>C26+D26</f>
        <v/>
      </c>
      <c r="I26" s="1676">
        <f>B26-H26</f>
        <v/>
      </c>
      <c r="J26" s="421" t="inlineStr">
        <is>
          <t>EE14</t>
        </is>
      </c>
      <c r="K26" s="1134" t="n"/>
    </row>
    <row r="27">
      <c r="A27" s="1134" t="n"/>
      <c r="B27" s="311" t="n"/>
      <c r="C27" s="311" t="n"/>
      <c r="D27" s="311" t="n"/>
      <c r="E27" s="311" t="n"/>
      <c r="F27" s="311" t="n"/>
      <c r="G27" s="311" t="n"/>
      <c r="H27" s="311" t="n"/>
      <c r="I27" s="311" t="n"/>
      <c r="J27" s="1134" t="n"/>
      <c r="K27" s="1134" t="n"/>
    </row>
    <row r="28">
      <c r="A28" s="1134" t="n"/>
      <c r="B28" s="311" t="n"/>
      <c r="C28" s="1677" t="n"/>
      <c r="D28" s="311" t="n"/>
      <c r="E28" s="311" t="n"/>
      <c r="F28" s="311" t="n"/>
      <c r="G28" s="311" t="n"/>
      <c r="H28" s="311" t="n"/>
      <c r="I28" s="311" t="n"/>
      <c r="J28" s="1134" t="n"/>
      <c r="K28" s="1134" t="n"/>
    </row>
    <row r="29" ht="15.6" customHeight="1">
      <c r="A29" s="1243" t="inlineStr">
        <is>
          <t>Cost Bridge</t>
        </is>
      </c>
      <c r="B29" s="1339" t="n"/>
      <c r="C29" s="1339" t="n"/>
      <c r="D29" s="1339" t="n"/>
      <c r="E29" s="331" t="n"/>
      <c r="F29" s="331" t="n"/>
      <c r="G29" s="331" t="n"/>
      <c r="H29" s="331" t="n"/>
      <c r="I29" s="331" t="n"/>
      <c r="J29" s="1134" t="n"/>
      <c r="K29" s="1134" t="n"/>
    </row>
    <row r="30">
      <c r="A30" s="1188" t="inlineStr">
        <is>
          <t>Cost Component</t>
        </is>
      </c>
      <c r="B30" s="485" t="inlineStr">
        <is>
          <t>₹ Cr</t>
        </is>
      </c>
      <c r="C30" s="485" t="inlineStr">
        <is>
          <t>% of Total Opex</t>
        </is>
      </c>
      <c r="D30" s="269" t="inlineStr">
        <is>
          <t>Audit Code</t>
        </is>
      </c>
      <c r="E30" s="311" t="n"/>
      <c r="F30" s="311" t="n"/>
      <c r="G30" s="311" t="n"/>
      <c r="H30" s="311" t="n"/>
      <c r="I30" s="311" t="n"/>
      <c r="J30" s="1134" t="n"/>
      <c r="K30" s="1134" t="n"/>
    </row>
    <row r="31">
      <c r="A31" s="1199" t="inlineStr">
        <is>
          <t>Iron Ore</t>
        </is>
      </c>
      <c r="B31" s="1583">
        <f>$B$14*C31</f>
        <v/>
      </c>
      <c r="C31" s="1678">
        <f>'Cost Curve'!C28</f>
        <v/>
      </c>
      <c r="D31" s="421" t="inlineStr">
        <is>
          <t>EE15</t>
        </is>
      </c>
      <c r="E31" s="311" t="n"/>
      <c r="F31" s="311" t="n"/>
      <c r="G31" s="311" t="n"/>
      <c r="H31" s="311" t="n"/>
      <c r="I31" s="311" t="n"/>
      <c r="J31" s="1134" t="n"/>
      <c r="K31" s="1134" t="n"/>
    </row>
    <row r="32">
      <c r="A32" s="1199" t="inlineStr">
        <is>
          <t>Coking Coal</t>
        </is>
      </c>
      <c r="B32" s="1583">
        <f>$B$14*C32</f>
        <v/>
      </c>
      <c r="C32" s="1678">
        <f>'Cost Curve'!C29</f>
        <v/>
      </c>
      <c r="D32" s="421" t="inlineStr">
        <is>
          <t>EE16</t>
        </is>
      </c>
      <c r="E32" s="311" t="n"/>
      <c r="F32" s="311" t="n"/>
      <c r="G32" s="311" t="n"/>
      <c r="H32" s="311" t="n"/>
      <c r="I32" s="311" t="n"/>
      <c r="J32" s="1134" t="n"/>
      <c r="K32" s="1134" t="n"/>
    </row>
    <row r="33">
      <c r="A33" s="1199" t="inlineStr">
        <is>
          <t>PCI Coal</t>
        </is>
      </c>
      <c r="B33" s="1583">
        <f>$B$14*C33</f>
        <v/>
      </c>
      <c r="C33" s="1678">
        <f>'Cost Curve'!C30</f>
        <v/>
      </c>
      <c r="D33" s="421" t="inlineStr">
        <is>
          <t>EE17</t>
        </is>
      </c>
      <c r="E33" s="311" t="n"/>
      <c r="F33" s="311" t="n"/>
      <c r="G33" s="311" t="n"/>
      <c r="H33" s="311" t="n"/>
      <c r="I33" s="311" t="n"/>
      <c r="J33" s="1134" t="n"/>
      <c r="K33" s="1134" t="n"/>
    </row>
    <row r="34">
      <c r="A34" s="1199" t="inlineStr">
        <is>
          <t>Scrap</t>
        </is>
      </c>
      <c r="B34" s="1583">
        <f>$B$14*C34</f>
        <v/>
      </c>
      <c r="C34" s="1678">
        <f>'Cost Curve'!C31</f>
        <v/>
      </c>
      <c r="D34" s="421" t="inlineStr">
        <is>
          <t>EE18</t>
        </is>
      </c>
      <c r="E34" s="311" t="n"/>
      <c r="F34" s="311" t="n"/>
      <c r="G34" s="311" t="n"/>
      <c r="H34" s="311" t="n"/>
      <c r="I34" s="311" t="n"/>
      <c r="J34" s="1134" t="n"/>
      <c r="K34" s="1134" t="n"/>
    </row>
    <row r="35">
      <c r="A35" s="1199" t="inlineStr">
        <is>
          <t>Fluxes</t>
        </is>
      </c>
      <c r="B35" s="1583">
        <f>$B$14*C35</f>
        <v/>
      </c>
      <c r="C35" s="1678">
        <f>'Cost Curve'!C32</f>
        <v/>
      </c>
      <c r="D35" s="421" t="inlineStr">
        <is>
          <t>EE19</t>
        </is>
      </c>
      <c r="E35" s="311" t="n"/>
      <c r="F35" s="311" t="n"/>
      <c r="G35" s="311" t="n"/>
      <c r="H35" s="311" t="n"/>
      <c r="I35" s="311" t="n"/>
      <c r="J35" s="1134" t="n"/>
      <c r="K35" s="1134" t="n"/>
    </row>
    <row r="36">
      <c r="A36" s="1199" t="inlineStr">
        <is>
          <t>Power &amp; Fuel</t>
        </is>
      </c>
      <c r="B36" s="1583">
        <f>$B$14*C36</f>
        <v/>
      </c>
      <c r="C36" s="1678">
        <f>'Cost Curve'!C33</f>
        <v/>
      </c>
      <c r="D36" s="421" t="inlineStr">
        <is>
          <t>EE20</t>
        </is>
      </c>
      <c r="E36" s="311" t="n"/>
      <c r="F36" s="311" t="n"/>
      <c r="G36" s="311" t="n"/>
      <c r="H36" s="311" t="n"/>
      <c r="I36" s="311" t="n"/>
      <c r="J36" s="1134" t="n"/>
      <c r="K36" s="1134" t="n"/>
    </row>
    <row r="37">
      <c r="A37" s="1199" t="inlineStr">
        <is>
          <t>Labour</t>
        </is>
      </c>
      <c r="B37" s="1583">
        <f>$B$14*C37</f>
        <v/>
      </c>
      <c r="C37" s="1678">
        <f>'Cost Curve'!C34</f>
        <v/>
      </c>
      <c r="D37" s="421" t="inlineStr">
        <is>
          <t>EE21</t>
        </is>
      </c>
      <c r="E37" s="311" t="n"/>
      <c r="F37" s="311" t="n"/>
      <c r="G37" s="311" t="n"/>
      <c r="H37" s="311" t="n"/>
      <c r="I37" s="311" t="n"/>
      <c r="J37" s="1134" t="n"/>
      <c r="K37" s="1134" t="n"/>
    </row>
    <row r="38">
      <c r="A38" s="1199" t="inlineStr">
        <is>
          <t>Maintenance</t>
        </is>
      </c>
      <c r="B38" s="1583">
        <f>$B$14*C38</f>
        <v/>
      </c>
      <c r="C38" s="1678">
        <f>'Cost Curve'!C35</f>
        <v/>
      </c>
      <c r="D38" s="421" t="inlineStr">
        <is>
          <t>EE22</t>
        </is>
      </c>
      <c r="E38" s="311" t="n"/>
      <c r="F38" s="311" t="n"/>
      <c r="G38" s="311" t="n"/>
      <c r="H38" s="311" t="n"/>
      <c r="I38" s="311" t="n"/>
      <c r="J38" s="1134" t="n"/>
      <c r="K38" s="1134" t="n"/>
    </row>
    <row r="39">
      <c r="A39" s="1199" t="inlineStr">
        <is>
          <t>Logistics</t>
        </is>
      </c>
      <c r="B39" s="1583">
        <f>$B$14*C39</f>
        <v/>
      </c>
      <c r="C39" s="1678">
        <f>'Cost Curve'!C36</f>
        <v/>
      </c>
      <c r="D39" s="421" t="inlineStr">
        <is>
          <t>EE23</t>
        </is>
      </c>
      <c r="E39" s="311" t="n"/>
      <c r="F39" s="311" t="n"/>
      <c r="G39" s="311" t="n"/>
      <c r="H39" s="311" t="n"/>
      <c r="I39" s="311" t="n"/>
      <c r="J39" s="1134" t="n"/>
      <c r="K39" s="1134" t="n"/>
    </row>
    <row r="40">
      <c r="A40" s="1199" t="inlineStr">
        <is>
          <t>SG&amp;A</t>
        </is>
      </c>
      <c r="B40" s="1583">
        <f>$B$14*C40</f>
        <v/>
      </c>
      <c r="C40" s="1678">
        <f>'Cost Curve'!C40</f>
        <v/>
      </c>
      <c r="D40" s="421" t="inlineStr">
        <is>
          <t>EE24</t>
        </is>
      </c>
      <c r="E40" s="311" t="n"/>
      <c r="F40" s="311" t="n"/>
      <c r="G40" s="311" t="n"/>
      <c r="H40" s="311" t="n"/>
      <c r="I40" s="311" t="n"/>
      <c r="J40" s="1134" t="n"/>
      <c r="K40" s="1134" t="n"/>
    </row>
    <row r="41">
      <c r="A41" s="1199" t="inlineStr">
        <is>
          <t>Other Operating Cost</t>
        </is>
      </c>
      <c r="B41" s="1583">
        <f>$B$14*C41</f>
        <v/>
      </c>
      <c r="C41" s="1678">
        <f>'Cost Curve'!C37</f>
        <v/>
      </c>
      <c r="D41" s="421" t="inlineStr">
        <is>
          <t>EE25</t>
        </is>
      </c>
      <c r="E41" s="311" t="n"/>
      <c r="F41" s="311" t="n"/>
      <c r="G41" s="311" t="n"/>
      <c r="H41" s="311" t="n"/>
      <c r="I41" s="311" t="n"/>
      <c r="J41" s="1134" t="n"/>
      <c r="K41" s="1134" t="n"/>
    </row>
    <row r="42">
      <c r="A42" s="264" t="inlineStr">
        <is>
          <t>Total Opex</t>
        </is>
      </c>
      <c r="B42" s="1679">
        <f>SUM(B31:B41)</f>
        <v/>
      </c>
      <c r="C42" s="1680">
        <f>SUM(C31:C41)</f>
        <v/>
      </c>
      <c r="D42" s="421" t="inlineStr">
        <is>
          <t>EE26</t>
        </is>
      </c>
      <c r="E42" s="311" t="n"/>
      <c r="F42" s="311" t="n"/>
      <c r="G42" s="311" t="n"/>
      <c r="H42" s="311" t="n"/>
      <c r="I42" s="311" t="n"/>
      <c r="J42" s="1134" t="n"/>
      <c r="K42" s="1134" t="n"/>
    </row>
    <row r="43">
      <c r="A43" s="1134" t="n"/>
      <c r="B43" s="311" t="n"/>
      <c r="C43" s="311" t="n"/>
      <c r="D43" s="311" t="n"/>
      <c r="E43" s="311" t="n"/>
      <c r="F43" s="311" t="n"/>
      <c r="G43" s="311" t="n"/>
      <c r="H43" s="311" t="n"/>
      <c r="I43" s="311" t="n"/>
      <c r="J43" s="1134" t="n"/>
      <c r="K43" s="1134" t="n"/>
    </row>
    <row r="44">
      <c r="A44" s="1134" t="n"/>
      <c r="B44" s="311" t="n"/>
      <c r="C44" s="311" t="n"/>
      <c r="D44" s="311" t="n"/>
      <c r="E44" s="311" t="n"/>
      <c r="F44" s="311" t="n"/>
      <c r="G44" s="311" t="n"/>
      <c r="H44" s="311" t="n"/>
      <c r="I44" s="311" t="n"/>
      <c r="J44" s="1134" t="n"/>
      <c r="K44" s="1134" t="n"/>
    </row>
    <row r="45" ht="15.6" customHeight="1">
      <c r="A45" s="1243" t="inlineStr">
        <is>
          <t>EBITDA Bridge</t>
        </is>
      </c>
      <c r="B45" s="1339" t="n"/>
      <c r="C45" s="1339" t="n"/>
      <c r="D45" s="1339" t="n"/>
      <c r="E45" s="1339" t="n"/>
      <c r="F45" s="1339" t="n"/>
      <c r="G45" s="1339" t="n"/>
      <c r="H45" s="1339" t="n"/>
      <c r="I45" s="1339" t="n"/>
      <c r="J45" s="1134" t="n"/>
      <c r="K45" s="1134" t="n"/>
    </row>
    <row r="46">
      <c r="A46" s="1188" t="inlineStr">
        <is>
          <t>Driver</t>
        </is>
      </c>
      <c r="B46" s="485" t="inlineStr">
        <is>
          <t>FY27E</t>
        </is>
      </c>
      <c r="C46" s="485" t="inlineStr">
        <is>
          <t>FY28E</t>
        </is>
      </c>
      <c r="D46" s="485" t="inlineStr">
        <is>
          <t>FY29E</t>
        </is>
      </c>
      <c r="E46" s="485" t="inlineStr">
        <is>
          <t>FY30E</t>
        </is>
      </c>
      <c r="F46" s="485" t="inlineStr">
        <is>
          <t>FY31E</t>
        </is>
      </c>
      <c r="G46" s="485" t="inlineStr">
        <is>
          <t>FY32E</t>
        </is>
      </c>
      <c r="H46" s="485" t="inlineStr">
        <is>
          <t>FY33E</t>
        </is>
      </c>
      <c r="I46" s="269" t="inlineStr">
        <is>
          <t>Audit Code</t>
        </is>
      </c>
      <c r="J46" s="1134" t="n"/>
      <c r="K46" s="1134" t="n"/>
    </row>
    <row r="47">
      <c r="A47" s="1199" t="inlineStr">
        <is>
          <t>Previous EBITDA</t>
        </is>
      </c>
      <c r="B47" s="1609">
        <f>C103</f>
        <v/>
      </c>
      <c r="C47" s="1609">
        <f>D103</f>
        <v/>
      </c>
      <c r="D47" s="1609">
        <f>E103</f>
        <v/>
      </c>
      <c r="E47" s="1609">
        <f>F103</f>
        <v/>
      </c>
      <c r="F47" s="1609">
        <f>G103</f>
        <v/>
      </c>
      <c r="G47" s="1609">
        <f>H103</f>
        <v/>
      </c>
      <c r="H47" s="1609">
        <f>I103</f>
        <v/>
      </c>
      <c r="I47" s="421" t="inlineStr">
        <is>
          <t>EE27</t>
        </is>
      </c>
      <c r="J47" s="1134" t="n"/>
      <c r="K47" s="1134" t="n"/>
    </row>
    <row r="48">
      <c r="A48" s="1199" t="inlineStr">
        <is>
          <t>Volume Effect</t>
        </is>
      </c>
      <c r="B48" s="1583">
        <f>(D102-C102)*C101/10</f>
        <v/>
      </c>
      <c r="C48" s="1583">
        <f>(E102-D102)*D101/10</f>
        <v/>
      </c>
      <c r="D48" s="1583">
        <f>(F102-E102)*E101/10</f>
        <v/>
      </c>
      <c r="E48" s="1583">
        <f>(G102-F102)*F101/10</f>
        <v/>
      </c>
      <c r="F48" s="1583">
        <f>(H102-G102)*G101/10</f>
        <v/>
      </c>
      <c r="G48" s="1583">
        <f>(I102-H102)*H101/10</f>
        <v/>
      </c>
      <c r="H48" s="1583">
        <f>(J102-I102)*I101/10</f>
        <v/>
      </c>
      <c r="I48" s="421" t="inlineStr">
        <is>
          <t>EE28</t>
        </is>
      </c>
      <c r="J48" s="1134" t="n"/>
      <c r="K48" s="1134" t="n"/>
    </row>
    <row r="49">
      <c r="A49" s="1199" t="inlineStr">
        <is>
          <t>Price Effect</t>
        </is>
      </c>
      <c r="B49" s="1583">
        <f>D102*(D99-C99)/10</f>
        <v/>
      </c>
      <c r="C49" s="1583">
        <f>E102*(E99-D99)/10</f>
        <v/>
      </c>
      <c r="D49" s="1583">
        <f>F102*(F99-E99)/10</f>
        <v/>
      </c>
      <c r="E49" s="1583">
        <f>G102*(G99-F99)/10</f>
        <v/>
      </c>
      <c r="F49" s="1583">
        <f>H102*(H99-G99)/10</f>
        <v/>
      </c>
      <c r="G49" s="1583">
        <f>I102*(I99-H99)/10</f>
        <v/>
      </c>
      <c r="H49" s="1583">
        <f>J102*(J99-I99)/10</f>
        <v/>
      </c>
      <c r="I49" s="421" t="inlineStr">
        <is>
          <t>EE29</t>
        </is>
      </c>
      <c r="J49" s="1134" t="n"/>
      <c r="K49" s="1134" t="n"/>
    </row>
    <row r="50">
      <c r="A50" s="1199" t="inlineStr">
        <is>
          <t>Raw Material Effect</t>
        </is>
      </c>
      <c r="B50" s="1583">
        <f>-D102*('Cost Curve'!D65*'Cost Curve'!D62-'Cost Curve'!C65*'Cost Curve'!C62)/10</f>
        <v/>
      </c>
      <c r="C50" s="1583">
        <f>-E102*('Cost Curve'!E65*'Cost Curve'!E62-'Cost Curve'!D65*'Cost Curve'!D62)/10</f>
        <v/>
      </c>
      <c r="D50" s="1583">
        <f>-F102*('Cost Curve'!F65*'Cost Curve'!F62-'Cost Curve'!E65*'Cost Curve'!E62)/10</f>
        <v/>
      </c>
      <c r="E50" s="1583">
        <f>-G102*('Cost Curve'!G65*'Cost Curve'!G62-'Cost Curve'!F65*'Cost Curve'!F62)/10</f>
        <v/>
      </c>
      <c r="F50" s="1583">
        <f>-H102*('Cost Curve'!H65*'Cost Curve'!H62-'Cost Curve'!G65*'Cost Curve'!G62)/10</f>
        <v/>
      </c>
      <c r="G50" s="1583">
        <f>-I102*('Cost Curve'!I65*'Cost Curve'!I62-'Cost Curve'!H65*'Cost Curve'!H62)/10</f>
        <v/>
      </c>
      <c r="H50" s="1583">
        <f>-J102*('Cost Curve'!J65*'Cost Curve'!J62-'Cost Curve'!I65*'Cost Curve'!I62)/10</f>
        <v/>
      </c>
      <c r="I50" s="421" t="inlineStr">
        <is>
          <t>EE30</t>
        </is>
      </c>
      <c r="J50" s="1134" t="n"/>
      <c r="K50" s="1134" t="n"/>
    </row>
    <row r="51">
      <c r="A51" s="1199" t="inlineStr">
        <is>
          <t>Energy Effect</t>
        </is>
      </c>
      <c r="B51" s="1583">
        <f>-D102*('Cost Curve'!D65*(1-'Cost Curve'!D62)-'Cost Curve'!C65*(1-'Cost Curve'!C62))/10*0.2</f>
        <v/>
      </c>
      <c r="C51" s="1583">
        <f>-E102*('Cost Curve'!E65*(1-'Cost Curve'!E62)-'Cost Curve'!D65*(1-'Cost Curve'!D62))/10*0.2</f>
        <v/>
      </c>
      <c r="D51" s="1583">
        <f>-F102*('Cost Curve'!F65*(1-'Cost Curve'!F62)-'Cost Curve'!E65*(1-'Cost Curve'!E62))/10*0.2</f>
        <v/>
      </c>
      <c r="E51" s="1583">
        <f>-G102*('Cost Curve'!G65*(1-'Cost Curve'!G62)-'Cost Curve'!F65*(1-'Cost Curve'!F62))/10*0.2</f>
        <v/>
      </c>
      <c r="F51" s="1583">
        <f>-H102*('Cost Curve'!H65*(1-'Cost Curve'!H62)-'Cost Curve'!G65*(1-'Cost Curve'!G62))/10*0.2</f>
        <v/>
      </c>
      <c r="G51" s="1583">
        <f>-I102*('Cost Curve'!I65*(1-'Cost Curve'!I62)-'Cost Curve'!H65*(1-'Cost Curve'!H62))/10*0.2</f>
        <v/>
      </c>
      <c r="H51" s="1583">
        <f>-J102*('Cost Curve'!J65*(1-'Cost Curve'!J62)-'Cost Curve'!I65*(1-'Cost Curve'!I62))/10*0.2</f>
        <v/>
      </c>
      <c r="I51" s="421" t="inlineStr">
        <is>
          <t>EE31</t>
        </is>
      </c>
      <c r="J51" s="1134" t="n"/>
      <c r="K51" s="1134" t="n"/>
    </row>
    <row r="52">
      <c r="A52" s="1199" t="inlineStr">
        <is>
          <t>Logistics Effect</t>
        </is>
      </c>
      <c r="B52" s="1583">
        <f>-D102*('Cost Curve'!D65*(1-'Cost Curve'!D62)-'Cost Curve'!C65*(1-'Cost Curve'!C62))/10*0.2</f>
        <v/>
      </c>
      <c r="C52" s="1583">
        <f>-E102*('Cost Curve'!E65*(1-'Cost Curve'!E62)-'Cost Curve'!D65*(1-'Cost Curve'!D62))/10*0.2</f>
        <v/>
      </c>
      <c r="D52" s="1583">
        <f>-F102*('Cost Curve'!F65*(1-'Cost Curve'!F62)-'Cost Curve'!E65*(1-'Cost Curve'!E62))/10*0.2</f>
        <v/>
      </c>
      <c r="E52" s="1583">
        <f>-G102*('Cost Curve'!G65*(1-'Cost Curve'!G62)-'Cost Curve'!F65*(1-'Cost Curve'!F62))/10*0.2</f>
        <v/>
      </c>
      <c r="F52" s="1583">
        <f>-H102*('Cost Curve'!H65*(1-'Cost Curve'!H62)-'Cost Curve'!G65*(1-'Cost Curve'!G62))/10*0.2</f>
        <v/>
      </c>
      <c r="G52" s="1583">
        <f>-I102*('Cost Curve'!I65*(1-'Cost Curve'!I62)-'Cost Curve'!H65*(1-'Cost Curve'!H62))/10*0.2</f>
        <v/>
      </c>
      <c r="H52" s="1583">
        <f>-J102*('Cost Curve'!J65*(1-'Cost Curve'!J62)-'Cost Curve'!I65*(1-'Cost Curve'!I62))/10*0.2</f>
        <v/>
      </c>
      <c r="I52" s="421" t="inlineStr">
        <is>
          <t>EE32</t>
        </is>
      </c>
      <c r="J52" s="1134" t="n"/>
      <c r="K52" s="1134" t="n"/>
    </row>
    <row r="53">
      <c r="A53" s="1199" t="inlineStr">
        <is>
          <t>Operating Leverage</t>
        </is>
      </c>
      <c r="B53" s="1583">
        <f>-D102*('Cost Curve'!D65*(1-'Cost Curve'!D62)-'Cost Curve'!C65*(1-'Cost Curve'!C62))/10*0.6</f>
        <v/>
      </c>
      <c r="C53" s="1583">
        <f>-E102*('Cost Curve'!E65*(1-'Cost Curve'!E62)-'Cost Curve'!D65*(1-'Cost Curve'!D62))/10*0.6</f>
        <v/>
      </c>
      <c r="D53" s="1583">
        <f>-F102*('Cost Curve'!F65*(1-'Cost Curve'!F62)-'Cost Curve'!E65*(1-'Cost Curve'!E62))/10*0.6</f>
        <v/>
      </c>
      <c r="E53" s="1583">
        <f>-G102*('Cost Curve'!G65*(1-'Cost Curve'!G62)-'Cost Curve'!F65*(1-'Cost Curve'!F62))/10*0.6</f>
        <v/>
      </c>
      <c r="F53" s="1583">
        <f>-H102*('Cost Curve'!H65*(1-'Cost Curve'!H62)-'Cost Curve'!G65*(1-'Cost Curve'!G62))/10*0.6</f>
        <v/>
      </c>
      <c r="G53" s="1583">
        <f>-I102*('Cost Curve'!I65*(1-'Cost Curve'!I62)-'Cost Curve'!H65*(1-'Cost Curve'!H62))/10*0.6</f>
        <v/>
      </c>
      <c r="H53" s="1583">
        <f>-J102*('Cost Curve'!J65*(1-'Cost Curve'!J62)-'Cost Curve'!I65*(1-'Cost Curve'!I62))/10*0.6</f>
        <v/>
      </c>
      <c r="I53" s="421" t="inlineStr">
        <is>
          <t>EE33</t>
        </is>
      </c>
      <c r="J53" s="1134" t="n"/>
      <c r="K53" s="1134" t="n"/>
    </row>
    <row r="54">
      <c r="A54" s="1199" t="inlineStr">
        <is>
          <t>Mix Effect</t>
        </is>
      </c>
      <c r="B54" s="1583" t="n">
        <v>0</v>
      </c>
      <c r="C54" s="1583" t="n">
        <v>0</v>
      </c>
      <c r="D54" s="1583" t="n">
        <v>0</v>
      </c>
      <c r="E54" s="1583" t="n">
        <v>0</v>
      </c>
      <c r="F54" s="1583" t="n">
        <v>0</v>
      </c>
      <c r="G54" s="1583" t="n">
        <v>0</v>
      </c>
      <c r="H54" s="1583" t="n">
        <v>0</v>
      </c>
      <c r="I54" s="421" t="inlineStr">
        <is>
          <t>EE34</t>
        </is>
      </c>
      <c r="J54" s="1134" t="n"/>
      <c r="K54" s="1134" t="n"/>
    </row>
    <row r="55">
      <c r="A55" s="264" t="inlineStr">
        <is>
          <t>Net EBITDA</t>
        </is>
      </c>
      <c r="B55" s="1679">
        <f>SUM(B47:B54)</f>
        <v/>
      </c>
      <c r="C55" s="1679">
        <f>SUM(C47:C54)</f>
        <v/>
      </c>
      <c r="D55" s="1679">
        <f>SUM(D47:D54)</f>
        <v/>
      </c>
      <c r="E55" s="1679">
        <f>SUM(E47:E54)</f>
        <v/>
      </c>
      <c r="F55" s="1679">
        <f>SUM(F47:F54)</f>
        <v/>
      </c>
      <c r="G55" s="1679">
        <f>SUM(G47:G54)</f>
        <v/>
      </c>
      <c r="H55" s="1679">
        <f>SUM(H47:H54)</f>
        <v/>
      </c>
      <c r="I55" s="421" t="inlineStr">
        <is>
          <t>EE35</t>
        </is>
      </c>
      <c r="J55" s="1134" t="n"/>
      <c r="K55" s="1134" t="n"/>
    </row>
    <row r="56">
      <c r="A56" s="1134" t="n"/>
      <c r="B56" s="311" t="n"/>
      <c r="C56" s="311" t="n"/>
      <c r="D56" s="311" t="n"/>
      <c r="E56" s="311" t="n"/>
      <c r="F56" s="311" t="n"/>
      <c r="G56" s="311" t="n"/>
      <c r="H56" s="311" t="n"/>
      <c r="I56" s="311" t="n"/>
      <c r="J56" s="1134" t="n"/>
      <c r="K56" s="1134" t="n"/>
    </row>
    <row r="57">
      <c r="A57" s="1134" t="n"/>
      <c r="B57" s="1681" t="n"/>
      <c r="C57" s="311" t="n"/>
      <c r="D57" s="311" t="n"/>
      <c r="E57" s="311" t="n"/>
      <c r="F57" s="311" t="n"/>
      <c r="G57" s="311" t="n"/>
      <c r="H57" s="311" t="n"/>
      <c r="I57" s="311" t="n"/>
      <c r="J57" s="1134" t="n"/>
      <c r="K57" s="1134" t="n"/>
    </row>
    <row r="58" ht="15.6" customHeight="1">
      <c r="A58" s="1243" t="inlineStr">
        <is>
          <t>EBITDA/Tonne Analysis</t>
        </is>
      </c>
      <c r="B58" s="1339" t="n"/>
      <c r="C58" s="1339" t="n"/>
      <c r="D58" s="1339" t="n"/>
      <c r="E58" s="1137" t="n"/>
      <c r="F58" s="1137" t="n"/>
      <c r="G58" s="1137" t="n"/>
      <c r="H58" s="1137" t="n"/>
      <c r="I58" s="311" t="n"/>
      <c r="J58" s="1134" t="n"/>
      <c r="K58" s="1134" t="n"/>
    </row>
    <row r="59">
      <c r="A59" s="1188" t="inlineStr">
        <is>
          <t>Year</t>
        </is>
      </c>
      <c r="B59" s="485" t="inlineStr">
        <is>
          <t>EBITDA</t>
        </is>
      </c>
      <c r="C59" s="485" t="inlineStr">
        <is>
          <t>Sales Volume</t>
        </is>
      </c>
      <c r="D59" s="485" t="inlineStr">
        <is>
          <t>EBITDA/Tonne</t>
        </is>
      </c>
      <c r="E59" s="311" t="n"/>
      <c r="F59" s="311" t="n"/>
      <c r="G59" s="311" t="n"/>
      <c r="H59" s="311" t="n"/>
      <c r="I59" s="311" t="n"/>
      <c r="J59" s="1134" t="n"/>
      <c r="K59" s="1134" t="n"/>
    </row>
    <row r="60">
      <c r="A60" s="1199" t="inlineStr">
        <is>
          <t>FY26A</t>
        </is>
      </c>
      <c r="B60" s="1614">
        <f>C103</f>
        <v/>
      </c>
      <c r="C60" s="1682">
        <f>C102</f>
        <v/>
      </c>
      <c r="D60" s="1583">
        <f>B60/C60*10</f>
        <v/>
      </c>
      <c r="E60" s="1683" t="n"/>
      <c r="F60" s="1683" t="n"/>
      <c r="G60" s="1683" t="n"/>
      <c r="H60" s="1683" t="n"/>
      <c r="I60" s="1683" t="n"/>
      <c r="J60" s="1683" t="n"/>
      <c r="K60" s="1683" t="n"/>
      <c r="L60" s="1684" t="n"/>
    </row>
    <row r="61">
      <c r="A61" s="1199" t="inlineStr">
        <is>
          <t>FY27E</t>
        </is>
      </c>
      <c r="B61" s="1614">
        <f>D103</f>
        <v/>
      </c>
      <c r="C61" s="1682">
        <f>D102</f>
        <v/>
      </c>
      <c r="D61" s="1583">
        <f>B61/C61*10</f>
        <v/>
      </c>
      <c r="E61" s="311" t="n"/>
      <c r="F61" s="311" t="n"/>
      <c r="G61" s="311" t="n"/>
      <c r="H61" s="311" t="n"/>
      <c r="I61" s="311" t="n"/>
      <c r="J61" s="1134" t="n"/>
      <c r="K61" s="1134" t="n"/>
    </row>
    <row r="62">
      <c r="A62" s="1199" t="inlineStr">
        <is>
          <t>FY28E</t>
        </is>
      </c>
      <c r="B62" s="1614">
        <f>E103</f>
        <v/>
      </c>
      <c r="C62" s="1682">
        <f>E102</f>
        <v/>
      </c>
      <c r="D62" s="1583">
        <f>B62/C62*10</f>
        <v/>
      </c>
      <c r="E62" s="311" t="n"/>
      <c r="F62" s="311" t="n"/>
      <c r="G62" s="311" t="n"/>
      <c r="H62" s="311" t="n"/>
      <c r="I62" s="311" t="n"/>
      <c r="J62" s="1134" t="n"/>
      <c r="K62" s="1134" t="n"/>
    </row>
    <row r="63">
      <c r="A63" s="1199" t="inlineStr">
        <is>
          <t>FY29E</t>
        </is>
      </c>
      <c r="B63" s="1614">
        <f>F103</f>
        <v/>
      </c>
      <c r="C63" s="1682">
        <f>F102</f>
        <v/>
      </c>
      <c r="D63" s="1583">
        <f>B63/C63*10</f>
        <v/>
      </c>
      <c r="E63" s="311" t="n"/>
      <c r="F63" s="311" t="n"/>
      <c r="G63" s="311" t="n"/>
      <c r="H63" s="311" t="n"/>
      <c r="I63" s="311" t="n"/>
      <c r="J63" s="1134" t="n"/>
      <c r="K63" s="1134" t="n"/>
    </row>
    <row r="64">
      <c r="A64" s="1199" t="inlineStr">
        <is>
          <t>FY30E</t>
        </is>
      </c>
      <c r="B64" s="1614">
        <f>G103</f>
        <v/>
      </c>
      <c r="C64" s="1682">
        <f>G102</f>
        <v/>
      </c>
      <c r="D64" s="1583">
        <f>B64/C64*10</f>
        <v/>
      </c>
      <c r="E64" s="311" t="n"/>
      <c r="F64" s="311" t="n"/>
      <c r="G64" s="311" t="n"/>
      <c r="H64" s="311" t="n"/>
      <c r="I64" s="311" t="n"/>
      <c r="J64" s="1134" t="n"/>
      <c r="K64" s="1134" t="n"/>
    </row>
    <row r="65">
      <c r="A65" s="1199" t="inlineStr">
        <is>
          <t>FY31E</t>
        </is>
      </c>
      <c r="B65" s="1614">
        <f>H103</f>
        <v/>
      </c>
      <c r="C65" s="1682">
        <f>H102</f>
        <v/>
      </c>
      <c r="D65" s="1583">
        <f>B65/C65*10</f>
        <v/>
      </c>
      <c r="E65" s="311" t="n"/>
      <c r="F65" s="311" t="n"/>
      <c r="G65" s="311" t="n"/>
      <c r="H65" s="311" t="n"/>
      <c r="I65" s="311" t="n"/>
      <c r="J65" s="1134" t="n"/>
      <c r="K65" s="1134" t="n"/>
    </row>
    <row r="66">
      <c r="A66" s="1199" t="inlineStr">
        <is>
          <t>FY32E</t>
        </is>
      </c>
      <c r="B66" s="1614">
        <f>I103</f>
        <v/>
      </c>
      <c r="C66" s="1682">
        <f>I102</f>
        <v/>
      </c>
      <c r="D66" s="1583">
        <f>B66/C66*10</f>
        <v/>
      </c>
      <c r="E66" s="311" t="n"/>
      <c r="F66" s="311" t="n"/>
      <c r="G66" s="311" t="n"/>
      <c r="H66" s="311" t="n"/>
      <c r="I66" s="311" t="n"/>
      <c r="J66" s="1134" t="n"/>
      <c r="K66" s="1134" t="n"/>
    </row>
    <row r="67">
      <c r="A67" s="1199" t="inlineStr">
        <is>
          <t>FY33E</t>
        </is>
      </c>
      <c r="B67" s="1614">
        <f>J103</f>
        <v/>
      </c>
      <c r="C67" s="1682">
        <f>J102</f>
        <v/>
      </c>
      <c r="D67" s="1583">
        <f>B67/C67*10</f>
        <v/>
      </c>
      <c r="E67" s="311" t="n"/>
      <c r="F67" s="311" t="n"/>
      <c r="G67" s="311" t="n"/>
      <c r="H67" s="311" t="n"/>
      <c r="I67" s="311" t="n"/>
      <c r="J67" s="1134" t="n"/>
      <c r="K67" s="1134" t="n"/>
    </row>
    <row r="68">
      <c r="A68" s="1134" t="n"/>
      <c r="B68" s="311" t="n"/>
      <c r="C68" s="311" t="n"/>
      <c r="D68" s="311" t="n"/>
      <c r="E68" s="311" t="n"/>
      <c r="F68" s="311" t="n"/>
      <c r="G68" s="311" t="n"/>
      <c r="H68" s="311" t="n"/>
      <c r="I68" s="311" t="n"/>
      <c r="J68" s="1134" t="n"/>
      <c r="K68" s="1134" t="n"/>
    </row>
    <row r="69">
      <c r="A69" s="1134" t="n"/>
      <c r="B69" s="311" t="n"/>
      <c r="C69" s="311" t="n"/>
      <c r="D69" s="311" t="n"/>
      <c r="E69" s="311" t="n"/>
      <c r="F69" s="311" t="n"/>
      <c r="G69" s="311" t="n"/>
      <c r="H69" s="311" t="n"/>
      <c r="I69" s="311" t="n"/>
      <c r="J69" s="1134" t="n"/>
      <c r="K69" s="1134" t="n"/>
    </row>
    <row r="70" ht="15.6" customHeight="1">
      <c r="A70" s="1243" t="inlineStr">
        <is>
          <t>Company Benchmark</t>
        </is>
      </c>
      <c r="B70" s="1339" t="n"/>
      <c r="C70" s="1339" t="n"/>
      <c r="D70" s="1339" t="n"/>
      <c r="E70" s="1339" t="n"/>
      <c r="F70" s="1137" t="n"/>
      <c r="G70" s="1137" t="n"/>
      <c r="H70" s="1137" t="n"/>
      <c r="I70" s="311" t="n"/>
      <c r="J70" s="1134" t="n"/>
      <c r="K70" s="1134" t="n"/>
    </row>
    <row r="71">
      <c r="A71" s="1188" t="inlineStr">
        <is>
          <t>Company</t>
        </is>
      </c>
      <c r="B71" s="485" t="inlineStr">
        <is>
          <t>Revenue</t>
        </is>
      </c>
      <c r="C71" s="485" t="inlineStr">
        <is>
          <t>EBITDA</t>
        </is>
      </c>
      <c r="D71" s="485" t="inlineStr">
        <is>
          <t>EBITDA Margin</t>
        </is>
      </c>
      <c r="E71" s="485" t="inlineStr">
        <is>
          <t>EBITDA/t</t>
        </is>
      </c>
      <c r="F71" s="311" t="n"/>
      <c r="G71" s="311" t="n"/>
      <c r="H71" s="311" t="n"/>
      <c r="I71" s="311" t="n"/>
      <c r="J71" s="1134" t="n"/>
      <c r="K71" s="1134" t="n"/>
    </row>
    <row r="72">
      <c r="A72" s="1199" t="inlineStr">
        <is>
          <t>Tata Steel</t>
        </is>
      </c>
      <c r="B72" s="1609">
        <f>'Revenue Forecast'!C110</f>
        <v/>
      </c>
      <c r="C72" s="1614">
        <f>C116</f>
        <v/>
      </c>
      <c r="D72" s="1624">
        <f>C72/B72</f>
        <v/>
      </c>
      <c r="E72" s="1685">
        <f>C108</f>
        <v/>
      </c>
      <c r="F72" s="311" t="n"/>
      <c r="G72" s="311" t="n"/>
      <c r="H72" s="311" t="n"/>
      <c r="I72" s="311" t="n"/>
      <c r="J72" s="1134" t="n"/>
      <c r="K72" s="1134" t="n"/>
    </row>
    <row r="73">
      <c r="A73" s="1199" t="inlineStr">
        <is>
          <t>JSW Steel</t>
        </is>
      </c>
      <c r="B73" s="1609">
        <f>'Revenue Forecast'!C111</f>
        <v/>
      </c>
      <c r="C73" s="1614">
        <f>C117</f>
        <v/>
      </c>
      <c r="D73" s="1624">
        <f>C73/B73</f>
        <v/>
      </c>
      <c r="E73" s="1685">
        <f>C109</f>
        <v/>
      </c>
      <c r="F73" s="311" t="n"/>
      <c r="G73" s="311" t="n"/>
      <c r="H73" s="311" t="n"/>
      <c r="I73" s="311" t="n"/>
      <c r="J73" s="1134" t="n"/>
      <c r="K73" s="1134" t="n"/>
    </row>
    <row r="74">
      <c r="A74" s="1199" t="inlineStr">
        <is>
          <t>SAIL</t>
        </is>
      </c>
      <c r="B74" s="1609">
        <f>'Revenue Forecast'!C112</f>
        <v/>
      </c>
      <c r="C74" s="1614">
        <f>C118</f>
        <v/>
      </c>
      <c r="D74" s="1624">
        <f>C74/B74</f>
        <v/>
      </c>
      <c r="E74" s="1685">
        <f>C110</f>
        <v/>
      </c>
      <c r="F74" s="311" t="n"/>
      <c r="G74" s="311" t="n"/>
      <c r="H74" s="311" t="n"/>
      <c r="I74" s="311" t="n"/>
      <c r="J74" s="1134" t="n"/>
      <c r="K74" s="1134" t="n"/>
    </row>
    <row r="75">
      <c r="A75" s="1199" t="inlineStr">
        <is>
          <t>Jindal Steel</t>
        </is>
      </c>
      <c r="B75" s="1609">
        <f>'Revenue Forecast'!C113</f>
        <v/>
      </c>
      <c r="C75" s="1614">
        <f>C119</f>
        <v/>
      </c>
      <c r="D75" s="1624">
        <f>C75/B75</f>
        <v/>
      </c>
      <c r="E75" s="1685">
        <f>C111</f>
        <v/>
      </c>
      <c r="F75" s="311" t="n"/>
      <c r="G75" s="311" t="n"/>
      <c r="H75" s="311" t="n"/>
      <c r="I75" s="311" t="n"/>
      <c r="J75" s="1134" t="n"/>
      <c r="K75" s="1134" t="n"/>
    </row>
    <row r="76">
      <c r="A76" s="1199" t="inlineStr">
        <is>
          <t>Others</t>
        </is>
      </c>
      <c r="B76" s="1583">
        <f>'Revenue Forecast'!C115+'Revenue Forecast'!C114</f>
        <v/>
      </c>
      <c r="C76" s="1499">
        <f>C103-SUM(C116:C119)</f>
        <v/>
      </c>
      <c r="D76" s="933">
        <f>C76/B76</f>
        <v/>
      </c>
      <c r="E76" s="1287" t="n"/>
      <c r="F76" s="311" t="n"/>
      <c r="G76" s="311" t="n"/>
      <c r="H76" s="311" t="n"/>
      <c r="I76" s="311" t="n"/>
      <c r="J76" s="1134" t="n"/>
      <c r="K76" s="1134" t="n"/>
    </row>
    <row r="77">
      <c r="A77" s="1134" t="n"/>
      <c r="B77" s="311" t="n"/>
      <c r="C77" s="311" t="n"/>
      <c r="D77" s="311" t="n"/>
      <c r="E77" s="311" t="n"/>
      <c r="F77" s="311" t="n"/>
      <c r="G77" s="311" t="n"/>
      <c r="H77" s="311" t="n"/>
      <c r="I77" s="311" t="n"/>
      <c r="J77" s="1134" t="n"/>
      <c r="K77" s="1134" t="n"/>
    </row>
    <row r="78">
      <c r="A78" s="1134" t="n"/>
      <c r="B78" s="311" t="n"/>
      <c r="C78" s="311" t="n"/>
      <c r="D78" s="311" t="n"/>
      <c r="E78" s="311" t="n"/>
      <c r="F78" s="311" t="n"/>
      <c r="G78" s="311" t="n"/>
      <c r="H78" s="311" t="n"/>
      <c r="I78" s="311" t="n"/>
      <c r="J78" s="1134" t="n"/>
      <c r="K78" s="1134" t="n"/>
    </row>
    <row r="79" ht="15.6" customHeight="1">
      <c r="A79" s="1137" t="inlineStr">
        <is>
          <t>Margin Walk</t>
        </is>
      </c>
      <c r="I79" s="311" t="n"/>
      <c r="J79" s="1134" t="n"/>
      <c r="K79" s="1134" t="n"/>
    </row>
    <row r="80">
      <c r="A80" s="1188" t="inlineStr">
        <is>
          <t>Metric</t>
        </is>
      </c>
      <c r="B80" s="485" t="inlineStr">
        <is>
          <t>FY27E</t>
        </is>
      </c>
      <c r="C80" s="485" t="inlineStr">
        <is>
          <t>FY28E</t>
        </is>
      </c>
      <c r="D80" s="485" t="inlineStr">
        <is>
          <t>FY29E</t>
        </is>
      </c>
      <c r="E80" s="485" t="inlineStr">
        <is>
          <t>FY30E</t>
        </is>
      </c>
      <c r="F80" s="485" t="inlineStr">
        <is>
          <t>FY31E</t>
        </is>
      </c>
      <c r="G80" s="485" t="inlineStr">
        <is>
          <t>FY32E</t>
        </is>
      </c>
      <c r="H80" s="485" t="inlineStr">
        <is>
          <t>FY33E</t>
        </is>
      </c>
      <c r="I80" s="269" t="inlineStr">
        <is>
          <t>Audit Code</t>
        </is>
      </c>
      <c r="J80" s="928" t="n"/>
      <c r="K80" s="1134" t="n"/>
    </row>
    <row r="81">
      <c r="A81" s="1199" t="inlineStr">
        <is>
          <t>Gross Margin</t>
        </is>
      </c>
      <c r="B81" s="1624">
        <f>1-('Cost Curve'!D65*'Cost Curve'!D62)/'Revenue Forecast'!D94</f>
        <v/>
      </c>
      <c r="C81" s="1624">
        <f>1-('Cost Curve'!E65*'Cost Curve'!E62)/'Revenue Forecast'!E94</f>
        <v/>
      </c>
      <c r="D81" s="1624">
        <f>1-('Cost Curve'!F65*'Cost Curve'!F62)/'Revenue Forecast'!F94</f>
        <v/>
      </c>
      <c r="E81" s="1624">
        <f>1-('Cost Curve'!G65*'Cost Curve'!G62)/'Revenue Forecast'!G94</f>
        <v/>
      </c>
      <c r="F81" s="1624">
        <f>1-('Cost Curve'!H65*'Cost Curve'!H62)/'Revenue Forecast'!H94</f>
        <v/>
      </c>
      <c r="G81" s="1624">
        <f>1-('Cost Curve'!I65*'Cost Curve'!I62)/'Revenue Forecast'!I94</f>
        <v/>
      </c>
      <c r="H81" s="1624">
        <f>1-('Cost Curve'!J65*'Cost Curve'!J62)/'Cost Curve'!I11</f>
        <v/>
      </c>
      <c r="I81" s="421" t="inlineStr">
        <is>
          <t>EE36</t>
        </is>
      </c>
      <c r="J81" s="928" t="n"/>
      <c r="K81" s="1134" t="n"/>
    </row>
    <row r="82">
      <c r="A82" s="1199" t="inlineStr">
        <is>
          <t>EBITDA Margin</t>
        </is>
      </c>
      <c r="B82" s="1408">
        <f>'Margin Analysis'!D81</f>
        <v/>
      </c>
      <c r="C82" s="1408">
        <f>'Margin Analysis'!E81</f>
        <v/>
      </c>
      <c r="D82" s="1408">
        <f>'Margin Analysis'!F81</f>
        <v/>
      </c>
      <c r="E82" s="1408">
        <f>'Margin Analysis'!G81</f>
        <v/>
      </c>
      <c r="F82" s="1408">
        <f>'Margin Analysis'!H81</f>
        <v/>
      </c>
      <c r="G82" s="1408">
        <f>'Margin Analysis'!I81</f>
        <v/>
      </c>
      <c r="H82" s="1408">
        <f>'Margin Analysis'!J81</f>
        <v/>
      </c>
      <c r="I82" s="421" t="inlineStr">
        <is>
          <t>EE37</t>
        </is>
      </c>
      <c r="J82" s="928" t="n"/>
      <c r="K82" s="1134" t="n"/>
    </row>
    <row r="83">
      <c r="A83" s="1199" t="inlineStr">
        <is>
          <t>Operating Margin</t>
        </is>
      </c>
      <c r="B83" s="1624">
        <f>'Cash Flow Model'!D94/'Cash Flow Model'!D91</f>
        <v/>
      </c>
      <c r="C83" s="1624">
        <f>'Cash Flow Model'!E94/'Cash Flow Model'!E91</f>
        <v/>
      </c>
      <c r="D83" s="1624">
        <f>'Cash Flow Model'!F94/'Cash Flow Model'!F91</f>
        <v/>
      </c>
      <c r="E83" s="1624">
        <f>'Cash Flow Model'!G94/'Cash Flow Model'!G91</f>
        <v/>
      </c>
      <c r="F83" s="1624">
        <f>'Cash Flow Model'!H94/'Cash Flow Model'!H91</f>
        <v/>
      </c>
      <c r="G83" s="1624">
        <f>'Cash Flow Model'!I94/'Cash Flow Model'!I91</f>
        <v/>
      </c>
      <c r="H83" s="1624">
        <f>'Cash Flow Model'!J94/'Cash Flow Model'!J91</f>
        <v/>
      </c>
      <c r="I83" s="421" t="inlineStr">
        <is>
          <t>EE38</t>
        </is>
      </c>
      <c r="J83" s="928" t="n"/>
      <c r="K83" s="1134" t="n"/>
    </row>
    <row r="84">
      <c r="A84" s="1199" t="inlineStr">
        <is>
          <t>Cash Margin</t>
        </is>
      </c>
      <c r="B84" s="1624">
        <f>('Cash Flow Model'!C94-'Cash Flow Model'!D96)/'Cash Flow Model'!D91</f>
        <v/>
      </c>
      <c r="C84" s="1624">
        <f>('Cash Flow Model'!D94-'Cash Flow Model'!E96)/'Cash Flow Model'!E91</f>
        <v/>
      </c>
      <c r="D84" s="1624">
        <f>('Cash Flow Model'!E94-'Cash Flow Model'!F96)/'Cash Flow Model'!F91</f>
        <v/>
      </c>
      <c r="E84" s="1624">
        <f>('Cash Flow Model'!F94-'Cash Flow Model'!G96)/'Cash Flow Model'!G91</f>
        <v/>
      </c>
      <c r="F84" s="1624">
        <f>('Cash Flow Model'!G94-'Cash Flow Model'!H96)/'Cash Flow Model'!H91</f>
        <v/>
      </c>
      <c r="G84" s="1624">
        <f>('Cash Flow Model'!H94-'Cash Flow Model'!I96)/'Cash Flow Model'!I91</f>
        <v/>
      </c>
      <c r="H84" s="1624">
        <f>('Cash Flow Model'!J90-'Cash Flow Model'!J96)/'Cash Flow Model'!J91</f>
        <v/>
      </c>
      <c r="I84" s="421" t="inlineStr">
        <is>
          <t>EE39</t>
        </is>
      </c>
      <c r="J84" s="928" t="n"/>
      <c r="K84" s="1134" t="n"/>
    </row>
    <row r="85">
      <c r="A85" s="1134" t="n"/>
      <c r="B85" s="311" t="n"/>
      <c r="C85" s="311" t="n"/>
      <c r="D85" s="311" t="n"/>
      <c r="E85" s="311" t="n"/>
      <c r="F85" s="311" t="n"/>
      <c r="G85" s="311" t="n"/>
      <c r="H85" s="311" t="n"/>
      <c r="I85" s="311" t="n"/>
      <c r="J85" s="1134" t="n"/>
      <c r="K85" s="1134" t="n"/>
    </row>
    <row r="86">
      <c r="A86" s="1134" t="n"/>
      <c r="B86" s="311" t="n"/>
      <c r="C86" s="311" t="n"/>
      <c r="D86" s="311" t="n"/>
      <c r="E86" s="311" t="n"/>
      <c r="F86" s="311" t="n"/>
      <c r="G86" s="311" t="n"/>
      <c r="H86" s="311" t="n"/>
      <c r="I86" s="311" t="n"/>
      <c r="J86" s="1134" t="n"/>
      <c r="K86" s="1134" t="n"/>
    </row>
    <row r="87" ht="15.6" customHeight="1">
      <c r="A87" s="1137" t="inlineStr">
        <is>
          <t>Scenario Analysis</t>
        </is>
      </c>
      <c r="I87" s="311" t="n"/>
      <c r="J87" s="1134" t="n"/>
      <c r="K87" s="1134" t="n"/>
    </row>
    <row r="88">
      <c r="A88" s="1188" t="inlineStr">
        <is>
          <t>Year</t>
        </is>
      </c>
      <c r="B88" s="485" t="inlineStr">
        <is>
          <t>Base</t>
        </is>
      </c>
      <c r="C88" s="485" t="inlineStr">
        <is>
          <t>Bull</t>
        </is>
      </c>
      <c r="D88" s="485" t="inlineStr">
        <is>
          <t>Bear</t>
        </is>
      </c>
      <c r="E88" s="485" t="inlineStr">
        <is>
          <t>Stress</t>
        </is>
      </c>
      <c r="F88" s="311" t="n"/>
      <c r="G88" s="311" t="n"/>
      <c r="H88" s="311" t="n"/>
      <c r="I88" s="311" t="n"/>
      <c r="J88" s="1134" t="n"/>
      <c r="K88" s="1134" t="n"/>
    </row>
    <row r="89">
      <c r="A89" s="1199" t="inlineStr">
        <is>
          <t>FY27</t>
        </is>
      </c>
      <c r="B89" s="1287" t="n"/>
      <c r="C89" s="1287" t="n"/>
      <c r="D89" s="1287" t="n"/>
      <c r="E89" s="1287" t="n"/>
      <c r="F89" s="311" t="n"/>
      <c r="G89" s="311" t="n"/>
      <c r="H89" s="311" t="n"/>
      <c r="I89" s="311" t="n"/>
      <c r="J89" s="1134" t="n"/>
      <c r="K89" s="1134" t="n"/>
    </row>
    <row r="90">
      <c r="A90" s="1199" t="inlineStr">
        <is>
          <t>FY28</t>
        </is>
      </c>
      <c r="B90" s="1287" t="n"/>
      <c r="C90" s="1287" t="n"/>
      <c r="D90" s="1287" t="n"/>
      <c r="E90" s="1287" t="n"/>
      <c r="F90" s="311" t="n"/>
      <c r="G90" s="311" t="n"/>
      <c r="H90" s="311" t="n"/>
      <c r="I90" s="311" t="n"/>
      <c r="J90" s="1134" t="n"/>
      <c r="K90" s="1134" t="n"/>
    </row>
    <row r="91">
      <c r="A91" s="1199" t="inlineStr">
        <is>
          <t>FY29</t>
        </is>
      </c>
      <c r="B91" s="1287" t="n"/>
      <c r="C91" s="1287" t="n"/>
      <c r="D91" s="1287" t="n"/>
      <c r="E91" s="1287" t="n"/>
      <c r="F91" s="311" t="n"/>
      <c r="G91" s="311" t="n"/>
      <c r="H91" s="311" t="n"/>
      <c r="I91" s="311" t="n"/>
      <c r="J91" s="1134" t="n"/>
      <c r="K91" s="1134" t="n"/>
    </row>
    <row r="92">
      <c r="A92" s="1199" t="inlineStr">
        <is>
          <t>FY30</t>
        </is>
      </c>
      <c r="B92" s="1287" t="n"/>
      <c r="C92" s="1287" t="n"/>
      <c r="D92" s="1287" t="n"/>
      <c r="E92" s="1287" t="n"/>
      <c r="F92" s="311" t="n"/>
      <c r="G92" s="311" t="n"/>
      <c r="H92" s="311" t="n"/>
      <c r="I92" s="311" t="n"/>
      <c r="J92" s="1134" t="n"/>
      <c r="K92" s="1134" t="n"/>
    </row>
    <row r="93">
      <c r="A93" s="1199" t="inlineStr">
        <is>
          <t>FY31</t>
        </is>
      </c>
      <c r="B93" s="1287" t="n"/>
      <c r="C93" s="1287" t="n"/>
      <c r="D93" s="1287" t="n"/>
      <c r="E93" s="1287" t="n"/>
      <c r="F93" s="311" t="n"/>
      <c r="G93" s="311" t="n"/>
      <c r="H93" s="311" t="n"/>
      <c r="I93" s="311" t="n"/>
      <c r="J93" s="1134" t="n"/>
      <c r="K93" s="1134" t="n"/>
    </row>
    <row r="94">
      <c r="A94" s="1199" t="inlineStr">
        <is>
          <t>FY32</t>
        </is>
      </c>
      <c r="B94" s="1287" t="n"/>
      <c r="C94" s="1287" t="n"/>
      <c r="D94" s="1287" t="n"/>
      <c r="E94" s="1287" t="n"/>
      <c r="F94" s="311" t="n"/>
      <c r="G94" s="311" t="n"/>
      <c r="H94" s="311" t="n"/>
      <c r="I94" s="311" t="n"/>
      <c r="J94" s="1134" t="n"/>
      <c r="K94" s="1134" t="n"/>
    </row>
    <row r="95">
      <c r="A95" s="1199" t="inlineStr">
        <is>
          <t>FY33</t>
        </is>
      </c>
      <c r="B95" s="1287" t="n"/>
      <c r="C95" s="1287" t="n"/>
      <c r="D95" s="1287" t="n"/>
      <c r="E95" s="1287" t="n"/>
      <c r="F95" s="311" t="n"/>
      <c r="G95" s="311" t="n"/>
      <c r="H95" s="311" t="n"/>
      <c r="I95" s="311" t="n"/>
      <c r="J95" s="1134" t="n"/>
      <c r="K95" s="1134" t="n"/>
    </row>
    <row r="96">
      <c r="A96" s="1134" t="n"/>
      <c r="B96" s="311" t="n"/>
      <c r="C96" s="311" t="n"/>
      <c r="D96" s="311" t="n"/>
      <c r="E96" s="311" t="n"/>
      <c r="F96" s="311" t="n"/>
      <c r="G96" s="311" t="n"/>
      <c r="H96" s="311" t="n"/>
      <c r="I96" s="311" t="n"/>
      <c r="J96" s="1134" t="n"/>
      <c r="K96" s="1134" t="n"/>
    </row>
    <row r="97" ht="15" customHeight="1" thickBot="1">
      <c r="A97" s="1167" t="n"/>
    </row>
    <row r="98">
      <c r="A98" s="56" t="inlineStr">
        <is>
          <t>Line item</t>
        </is>
      </c>
      <c r="B98" s="58" t="inlineStr">
        <is>
          <t>Unit</t>
        </is>
      </c>
      <c r="C98" s="71" t="inlineStr">
        <is>
          <t>FY2026A</t>
        </is>
      </c>
      <c r="D98" s="71" t="inlineStr">
        <is>
          <t>FY2027E</t>
        </is>
      </c>
      <c r="E98" s="71" t="inlineStr">
        <is>
          <t>FY2028E</t>
        </is>
      </c>
      <c r="F98" s="71" t="inlineStr">
        <is>
          <t>FY2029E</t>
        </is>
      </c>
      <c r="G98" s="71" t="inlineStr">
        <is>
          <t>FY2030E</t>
        </is>
      </c>
      <c r="H98" s="71" t="inlineStr">
        <is>
          <t>FY2031E</t>
        </is>
      </c>
      <c r="I98" s="71" t="inlineStr">
        <is>
          <t>FY2032E</t>
        </is>
      </c>
      <c r="J98" s="71" t="inlineStr">
        <is>
          <t>FY2033E</t>
        </is>
      </c>
      <c r="K98" s="58" t="inlineStr">
        <is>
          <t>CAGR</t>
        </is>
      </c>
      <c r="L98" s="269" t="inlineStr">
        <is>
          <t>Audit Code</t>
        </is>
      </c>
    </row>
    <row r="99">
      <c r="A99" s="61" t="inlineStr">
        <is>
          <t>Blended realisation - effective</t>
        </is>
      </c>
      <c r="B99" s="69" t="inlineStr">
        <is>
          <t>Rs/t</t>
        </is>
      </c>
      <c r="C99" s="1686">
        <f>'Steel Price Forecast'!C72</f>
        <v/>
      </c>
      <c r="D99" s="1686">
        <f>'Steel Price Forecast'!D$72</f>
        <v/>
      </c>
      <c r="E99" s="1686">
        <f>'Steel Price Forecast'!E$72</f>
        <v/>
      </c>
      <c r="F99" s="1686">
        <f>'Steel Price Forecast'!F$72</f>
        <v/>
      </c>
      <c r="G99" s="1686">
        <f>'Steel Price Forecast'!G$72</f>
        <v/>
      </c>
      <c r="H99" s="1686">
        <f>'Steel Price Forecast'!H$72</f>
        <v/>
      </c>
      <c r="I99" s="1686">
        <f>'Steel Price Forecast'!I$72</f>
        <v/>
      </c>
      <c r="J99" s="1686">
        <f>'Steel Price Forecast'!J$72</f>
        <v/>
      </c>
      <c r="K99" s="1628">
        <f>IFERROR(IF(AND(ISNUMBER(C99),ISNUMBER(J99),C99&gt;0),(J99/C99)^(1/7)-1,""),"")</f>
        <v/>
      </c>
      <c r="L99" s="421" t="inlineStr">
        <is>
          <t>EE40</t>
        </is>
      </c>
    </row>
    <row r="100">
      <c r="A100" s="61" t="inlineStr">
        <is>
          <t>Industry cash cost per tonne</t>
        </is>
      </c>
      <c r="B100" s="69" t="inlineStr">
        <is>
          <t>Rs/t</t>
        </is>
      </c>
      <c r="C100" s="1686">
        <f>'Cost Curve'!C$65</f>
        <v/>
      </c>
      <c r="D100" s="1686">
        <f>'Cost Curve'!D$65</f>
        <v/>
      </c>
      <c r="E100" s="1686">
        <f>'Cost Curve'!E$65</f>
        <v/>
      </c>
      <c r="F100" s="1686">
        <f>'Cost Curve'!F$65</f>
        <v/>
      </c>
      <c r="G100" s="1686">
        <f>'Cost Curve'!G$65</f>
        <v/>
      </c>
      <c r="H100" s="1686">
        <f>'Cost Curve'!H$65</f>
        <v/>
      </c>
      <c r="I100" s="1686">
        <f>'Cost Curve'!I$65</f>
        <v/>
      </c>
      <c r="J100" s="1686">
        <f>'Cost Curve'!J$65</f>
        <v/>
      </c>
      <c r="K100" s="1628">
        <f>IFERROR(IF(AND(ISNUMBER(C100),ISNUMBER(J100),C100&gt;0),(J100/C100)^(1/7)-1,""),"")</f>
        <v/>
      </c>
      <c r="L100" s="421" t="inlineStr">
        <is>
          <t>EE41</t>
        </is>
      </c>
    </row>
    <row r="101">
      <c r="A101" s="68" t="inlineStr">
        <is>
          <t>INDUSTRY EBITDA PER TONNE</t>
        </is>
      </c>
      <c r="B101" s="69" t="inlineStr">
        <is>
          <t>Rs/t</t>
        </is>
      </c>
      <c r="C101" s="1687">
        <f>C99-C100</f>
        <v/>
      </c>
      <c r="D101" s="1687">
        <f>D99-D100</f>
        <v/>
      </c>
      <c r="E101" s="1687">
        <f>E99-E100</f>
        <v/>
      </c>
      <c r="F101" s="1687">
        <f>F99-F100</f>
        <v/>
      </c>
      <c r="G101" s="1687">
        <f>G99-G100</f>
        <v/>
      </c>
      <c r="H101" s="1687">
        <f>H99-H100</f>
        <v/>
      </c>
      <c r="I101" s="1687">
        <f>I99-I100</f>
        <v/>
      </c>
      <c r="J101" s="1687">
        <f>J99-J100</f>
        <v/>
      </c>
      <c r="K101" s="1628">
        <f>IFERROR(IF(AND(ISNUMBER(C101),ISNUMBER(J101),C101&gt;0),(J101/C101)^(1/7)-1,""),"")</f>
        <v/>
      </c>
      <c r="L101" s="421" t="n"/>
    </row>
    <row r="102">
      <c r="A102" s="61" t="inlineStr">
        <is>
          <t>Finished steel production</t>
        </is>
      </c>
      <c r="B102" s="69" t="inlineStr">
        <is>
          <t>Mt</t>
        </is>
      </c>
      <c r="C102" s="1688">
        <f>'Steel Supply Model'!C$90</f>
        <v/>
      </c>
      <c r="D102" s="1688">
        <f>'Steel Supply Model'!D$90</f>
        <v/>
      </c>
      <c r="E102" s="1688">
        <f>'Steel Supply Model'!E$90</f>
        <v/>
      </c>
      <c r="F102" s="1688">
        <f>'Steel Supply Model'!F$90</f>
        <v/>
      </c>
      <c r="G102" s="1688">
        <f>'Steel Supply Model'!G$90</f>
        <v/>
      </c>
      <c r="H102" s="1688">
        <f>'Steel Supply Model'!H$90</f>
        <v/>
      </c>
      <c r="I102" s="1688">
        <f>'Steel Supply Model'!I$90</f>
        <v/>
      </c>
      <c r="J102" s="1688">
        <f>'Steel Supply Model'!J$90</f>
        <v/>
      </c>
      <c r="K102" s="1628">
        <f>IFERROR(IF(AND(ISNUMBER(C102),ISNUMBER(J102),C102&gt;0),(J102/C102)^(1/7)-1,""),"")</f>
        <v/>
      </c>
      <c r="L102" s="421" t="inlineStr">
        <is>
          <t>EE42</t>
        </is>
      </c>
    </row>
    <row r="103" ht="15" customHeight="1" thickBot="1">
      <c r="A103" s="86" t="inlineStr">
        <is>
          <t>INDUSTRY EBITDA</t>
        </is>
      </c>
      <c r="B103" s="70" t="inlineStr">
        <is>
          <t>Rs cr</t>
        </is>
      </c>
      <c r="C103" s="1689">
        <f>C101*C102/10</f>
        <v/>
      </c>
      <c r="D103" s="1689">
        <f>D101*D102/10</f>
        <v/>
      </c>
      <c r="E103" s="1689">
        <f>E101*E102/10</f>
        <v/>
      </c>
      <c r="F103" s="1689">
        <f>F101*F102/10</f>
        <v/>
      </c>
      <c r="G103" s="1689">
        <f>G101*G102/10</f>
        <v/>
      </c>
      <c r="H103" s="1689">
        <f>H101*H102/10</f>
        <v/>
      </c>
      <c r="I103" s="1689">
        <f>I101*I102/10</f>
        <v/>
      </c>
      <c r="J103" s="1689">
        <f>J101*J102/10</f>
        <v/>
      </c>
      <c r="K103" s="1690">
        <f>IFERROR(IF(AND(ISNUMBER(C103),ISNUMBER(J103),C103&gt;0),(J103/C103)^(1/7)-1,""),"")</f>
        <v/>
      </c>
      <c r="L103" s="421" t="n"/>
    </row>
    <row r="104">
      <c r="C104" s="337" t="n"/>
      <c r="D104" s="337" t="n"/>
      <c r="E104" s="337" t="n"/>
      <c r="F104" s="337" t="n"/>
      <c r="G104" s="337" t="n"/>
      <c r="H104" s="337" t="n"/>
      <c r="I104" s="337" t="n"/>
      <c r="J104" s="113" t="n"/>
      <c r="K104" s="107" t="n"/>
    </row>
    <row r="105">
      <c r="K105" s="107" t="n"/>
    </row>
    <row r="106" ht="15" customHeight="1" thickBot="1">
      <c r="A106" s="1166" t="inlineStr">
        <is>
          <t>COMPANY EBITDA PER TONNE (FY2026 spread to industry held constant)</t>
        </is>
      </c>
      <c r="K106" s="107" t="n"/>
    </row>
    <row r="107">
      <c r="A107" s="56" t="inlineStr">
        <is>
          <t>Line item</t>
        </is>
      </c>
      <c r="B107" s="58" t="inlineStr">
        <is>
          <t>Unit</t>
        </is>
      </c>
      <c r="C107" s="71" t="inlineStr">
        <is>
          <t>FY2026A</t>
        </is>
      </c>
      <c r="D107" s="71" t="inlineStr">
        <is>
          <t>FY2027E</t>
        </is>
      </c>
      <c r="E107" s="71" t="inlineStr">
        <is>
          <t>FY2028E</t>
        </is>
      </c>
      <c r="F107" s="71" t="inlineStr">
        <is>
          <t>FY2029E</t>
        </is>
      </c>
      <c r="G107" s="71" t="inlineStr">
        <is>
          <t>FY2030E</t>
        </is>
      </c>
      <c r="H107" s="71" t="inlineStr">
        <is>
          <t>FY2031E</t>
        </is>
      </c>
      <c r="I107" s="71" t="inlineStr">
        <is>
          <t>FY2032E</t>
        </is>
      </c>
      <c r="J107" s="71" t="inlineStr">
        <is>
          <t>FY2033E</t>
        </is>
      </c>
      <c r="K107" s="828" t="inlineStr">
        <is>
          <t>CAGR</t>
        </is>
      </c>
      <c r="L107" s="269" t="inlineStr">
        <is>
          <t>Audit Code</t>
        </is>
      </c>
    </row>
    <row r="108">
      <c r="A108" s="61" t="inlineStr">
        <is>
          <t>Tata Steel - EBITDA per tonne</t>
        </is>
      </c>
      <c r="B108" s="69" t="inlineStr">
        <is>
          <t>Rs/t</t>
        </is>
      </c>
      <c r="C108" s="1691">
        <f>C101+4480</f>
        <v/>
      </c>
      <c r="D108" s="1691">
        <f>D101+4480</f>
        <v/>
      </c>
      <c r="E108" s="1691">
        <f>E101+4480</f>
        <v/>
      </c>
      <c r="F108" s="1691">
        <f>F101+4480</f>
        <v/>
      </c>
      <c r="G108" s="1691">
        <f>G101+4480</f>
        <v/>
      </c>
      <c r="H108" s="1691">
        <f>H101+4480</f>
        <v/>
      </c>
      <c r="I108" s="1691">
        <f>I101+4480</f>
        <v/>
      </c>
      <c r="J108" s="1691">
        <f>J101+4480</f>
        <v/>
      </c>
      <c r="K108" s="1692">
        <f>IFERROR(IF(AND(ISNUMBER(C108),ISNUMBER(J108),C108&gt;0),(J108/C108)^(1/7)-1,""),"")</f>
        <v/>
      </c>
      <c r="L108" s="421" t="inlineStr">
        <is>
          <t>EE43</t>
        </is>
      </c>
    </row>
    <row r="109">
      <c r="A109" s="61" t="inlineStr">
        <is>
          <t>JSW Steel - EBITDA per tonne</t>
        </is>
      </c>
      <c r="B109" s="69" t="inlineStr">
        <is>
          <t>Rs/t</t>
        </is>
      </c>
      <c r="C109" s="1691">
        <f>C101+(-566)</f>
        <v/>
      </c>
      <c r="D109" s="1691">
        <f>D101+(-566)</f>
        <v/>
      </c>
      <c r="E109" s="1691">
        <f>E101+(-566)</f>
        <v/>
      </c>
      <c r="F109" s="1691">
        <f>F101+(-566)</f>
        <v/>
      </c>
      <c r="G109" s="1691">
        <f>G101+(-566)</f>
        <v/>
      </c>
      <c r="H109" s="1691">
        <f>H101+(-566)</f>
        <v/>
      </c>
      <c r="I109" s="1691">
        <f>I101+(-566)</f>
        <v/>
      </c>
      <c r="J109" s="1691">
        <f>J101+(-566)</f>
        <v/>
      </c>
      <c r="K109" s="1692">
        <f>IFERROR(IF(AND(ISNUMBER(C109),ISNUMBER(J109),C109&gt;0),(J109/C109)^(1/7)-1,""),"")</f>
        <v/>
      </c>
      <c r="L109" s="421" t="inlineStr">
        <is>
          <t>EE44</t>
        </is>
      </c>
    </row>
    <row r="110">
      <c r="A110" s="61" t="inlineStr">
        <is>
          <t>SAIL - EBITDA per tonne</t>
        </is>
      </c>
      <c r="B110" s="69" t="inlineStr">
        <is>
          <t>Rs/t</t>
        </is>
      </c>
      <c r="C110" s="1691">
        <f>C101+(-4137)</f>
        <v/>
      </c>
      <c r="D110" s="1691">
        <f>D101+(-4137)</f>
        <v/>
      </c>
      <c r="E110" s="1691">
        <f>E101+(-4137)</f>
        <v/>
      </c>
      <c r="F110" s="1691">
        <f>F101+(-4137)</f>
        <v/>
      </c>
      <c r="G110" s="1691">
        <f>G101+(-4137)</f>
        <v/>
      </c>
      <c r="H110" s="1691">
        <f>H101+(-4137)</f>
        <v/>
      </c>
      <c r="I110" s="1691">
        <f>I101+(-4137)</f>
        <v/>
      </c>
      <c r="J110" s="1691">
        <f>J101+(-4137)</f>
        <v/>
      </c>
      <c r="K110" s="1692">
        <f>IFERROR(IF(AND(ISNUMBER(C110),ISNUMBER(J110),C110&gt;0),(J110/C110)^(1/7)-1,""),"")</f>
        <v/>
      </c>
      <c r="L110" s="421" t="inlineStr">
        <is>
          <t>EE45</t>
        </is>
      </c>
    </row>
    <row r="111">
      <c r="A111" s="61" t="inlineStr">
        <is>
          <t>Jindal Steel - EBITDA per tonne</t>
        </is>
      </c>
      <c r="B111" s="69" t="inlineStr">
        <is>
          <t>Rs/t</t>
        </is>
      </c>
      <c r="C111" s="1691">
        <f>C101+(-251)</f>
        <v/>
      </c>
      <c r="D111" s="1691">
        <f>D101+(-251)</f>
        <v/>
      </c>
      <c r="E111" s="1691">
        <f>E101+(-251)</f>
        <v/>
      </c>
      <c r="F111" s="1691">
        <f>F101+(-251)</f>
        <v/>
      </c>
      <c r="G111" s="1691">
        <f>G101+(-251)</f>
        <v/>
      </c>
      <c r="H111" s="1691">
        <f>H101+(-251)</f>
        <v/>
      </c>
      <c r="I111" s="1691">
        <f>I101+(-251)</f>
        <v/>
      </c>
      <c r="J111" s="1691">
        <f>J101+(-251)</f>
        <v/>
      </c>
      <c r="K111" s="1692">
        <f>IFERROR(IF(AND(ISNUMBER(C111),ISNUMBER(J111),C111&gt;0),(J111/C111)^(1/7)-1,""),"")</f>
        <v/>
      </c>
      <c r="L111" s="421" t="inlineStr">
        <is>
          <t>EE46</t>
        </is>
      </c>
    </row>
    <row r="112">
      <c r="A112" s="61" t="inlineStr">
        <is>
          <t>Jindal Stainless - EBITDA per tonne</t>
        </is>
      </c>
      <c r="B112" s="69" t="inlineStr">
        <is>
          <t>Rs/t</t>
        </is>
      </c>
      <c r="C112" s="1691">
        <f>C101+10901</f>
        <v/>
      </c>
      <c r="D112" s="1691">
        <f>D101+10901</f>
        <v/>
      </c>
      <c r="E112" s="1691">
        <f>E101+10901</f>
        <v/>
      </c>
      <c r="F112" s="1691">
        <f>F101+10901</f>
        <v/>
      </c>
      <c r="G112" s="1691">
        <f>G101+10901</f>
        <v/>
      </c>
      <c r="H112" s="1691">
        <f>H101+10901</f>
        <v/>
      </c>
      <c r="I112" s="1691">
        <f>I101+10901</f>
        <v/>
      </c>
      <c r="J112" s="1691">
        <f>J101+10901</f>
        <v/>
      </c>
      <c r="K112" s="1692">
        <f>IFERROR(IF(AND(ISNUMBER(C112),ISNUMBER(J112),C112&gt;0),(J112/C112)^(1/7)-1,""),"")</f>
        <v/>
      </c>
      <c r="L112" s="421" t="inlineStr">
        <is>
          <t>EE47</t>
        </is>
      </c>
    </row>
    <row r="114" ht="15" customHeight="1" thickBot="1">
      <c r="A114" s="1166" t="inlineStr">
        <is>
          <t>COMPANY EBITDA</t>
        </is>
      </c>
    </row>
    <row r="115">
      <c r="A115" s="56" t="inlineStr">
        <is>
          <t>Line item</t>
        </is>
      </c>
      <c r="B115" s="58" t="inlineStr">
        <is>
          <t>Unit</t>
        </is>
      </c>
      <c r="C115" s="71" t="inlineStr">
        <is>
          <t>FY2026A</t>
        </is>
      </c>
      <c r="D115" s="71" t="inlineStr">
        <is>
          <t>FY2027E</t>
        </is>
      </c>
      <c r="E115" s="71" t="inlineStr">
        <is>
          <t>FY2028E</t>
        </is>
      </c>
      <c r="F115" s="71" t="inlineStr">
        <is>
          <t>FY2029E</t>
        </is>
      </c>
      <c r="G115" s="71" t="inlineStr">
        <is>
          <t>FY2030E</t>
        </is>
      </c>
      <c r="H115" s="71" t="inlineStr">
        <is>
          <t>FY2031E</t>
        </is>
      </c>
      <c r="I115" s="71" t="inlineStr">
        <is>
          <t>FY2032E</t>
        </is>
      </c>
      <c r="J115" s="71" t="inlineStr">
        <is>
          <t>FY2033E</t>
        </is>
      </c>
      <c r="K115" s="58" t="inlineStr">
        <is>
          <t>CAGR</t>
        </is>
      </c>
      <c r="L115" s="269" t="inlineStr">
        <is>
          <t>Audit Code</t>
        </is>
      </c>
    </row>
    <row r="116">
      <c r="A116" s="61" t="inlineStr">
        <is>
          <t>Tata Steel - EBITDA</t>
        </is>
      </c>
      <c r="B116" s="69" t="inlineStr">
        <is>
          <t>Rs cr</t>
        </is>
      </c>
      <c r="C116" s="1691">
        <f>C108*'Revenue Forecast'!C100/10</f>
        <v/>
      </c>
      <c r="D116" s="1691">
        <f>D108*'Revenue Forecast'!D100/10</f>
        <v/>
      </c>
      <c r="E116" s="1691">
        <f>E108*'Revenue Forecast'!E100/10</f>
        <v/>
      </c>
      <c r="F116" s="1691">
        <f>F108*'Revenue Forecast'!F100/10</f>
        <v/>
      </c>
      <c r="G116" s="1691">
        <f>G108*'Revenue Forecast'!G100/10</f>
        <v/>
      </c>
      <c r="H116" s="1691">
        <f>H108*'Revenue Forecast'!H100/10</f>
        <v/>
      </c>
      <c r="I116" s="1691">
        <f>I108*'Revenue Forecast'!I100/10</f>
        <v/>
      </c>
      <c r="J116" s="1691">
        <f>J108*'Revenue Forecast'!J100/10</f>
        <v/>
      </c>
      <c r="K116" s="1692">
        <f>IFERROR(IF(AND(ISNUMBER(C116),ISNUMBER(J116),C116&gt;0),(J116/C116)^(1/7)-1,""),"")</f>
        <v/>
      </c>
      <c r="L116" s="477" t="n"/>
    </row>
    <row r="117">
      <c r="A117" s="61" t="inlineStr">
        <is>
          <t>JSW Steel - EBITDA</t>
        </is>
      </c>
      <c r="B117" s="69" t="inlineStr">
        <is>
          <t>Rs cr</t>
        </is>
      </c>
      <c r="C117" s="1691">
        <f>C109*'Revenue Forecast'!C101/10</f>
        <v/>
      </c>
      <c r="D117" s="1691">
        <f>D109*'Revenue Forecast'!D101/10</f>
        <v/>
      </c>
      <c r="E117" s="1691">
        <f>E109*'Revenue Forecast'!E101/10</f>
        <v/>
      </c>
      <c r="F117" s="1691">
        <f>F109*'Revenue Forecast'!F101/10</f>
        <v/>
      </c>
      <c r="G117" s="1691">
        <f>G109*'Revenue Forecast'!G101/10</f>
        <v/>
      </c>
      <c r="H117" s="1691">
        <f>H109*'Revenue Forecast'!H101/10</f>
        <v/>
      </c>
      <c r="I117" s="1691">
        <f>I109*'Revenue Forecast'!I101/10</f>
        <v/>
      </c>
      <c r="J117" s="1691">
        <f>J109*'Revenue Forecast'!J101/10</f>
        <v/>
      </c>
      <c r="K117" s="1692">
        <f>IFERROR(IF(AND(ISNUMBER(C117),ISNUMBER(J117),C117&gt;0),(J117/C117)^(1/7)-1,""),"")</f>
        <v/>
      </c>
      <c r="L117" s="477" t="n"/>
    </row>
    <row r="118">
      <c r="A118" s="61" t="inlineStr">
        <is>
          <t>SAIL - EBITDA</t>
        </is>
      </c>
      <c r="B118" s="69" t="inlineStr">
        <is>
          <t>Rs cr</t>
        </is>
      </c>
      <c r="C118" s="1691">
        <f>C110*'Revenue Forecast'!C102/10</f>
        <v/>
      </c>
      <c r="D118" s="1691">
        <f>D110*'Revenue Forecast'!D102/10</f>
        <v/>
      </c>
      <c r="E118" s="1691">
        <f>E110*'Revenue Forecast'!E102/10</f>
        <v/>
      </c>
      <c r="F118" s="1691">
        <f>F110*'Revenue Forecast'!F102/10</f>
        <v/>
      </c>
      <c r="G118" s="1691">
        <f>G110*'Revenue Forecast'!G102/10</f>
        <v/>
      </c>
      <c r="H118" s="1691">
        <f>H110*'Revenue Forecast'!H102/10</f>
        <v/>
      </c>
      <c r="I118" s="1691">
        <f>I110*'Revenue Forecast'!I102/10</f>
        <v/>
      </c>
      <c r="J118" s="1691">
        <f>J110*'Revenue Forecast'!J102/10</f>
        <v/>
      </c>
      <c r="K118" s="1692">
        <f>IFERROR(IF(AND(ISNUMBER(C118),ISNUMBER(J118),C118&gt;0),(J118/C118)^(1/7)-1,""),"")</f>
        <v/>
      </c>
      <c r="L118" s="477" t="n"/>
    </row>
    <row r="119">
      <c r="A119" s="61" t="inlineStr">
        <is>
          <t>Jindal Steel - EBITDA</t>
        </is>
      </c>
      <c r="B119" s="69" t="inlineStr">
        <is>
          <t>Rs cr</t>
        </is>
      </c>
      <c r="C119" s="1691">
        <f>C111*'Revenue Forecast'!C103/10</f>
        <v/>
      </c>
      <c r="D119" s="1691">
        <f>D111*'Revenue Forecast'!D103/10</f>
        <v/>
      </c>
      <c r="E119" s="1691">
        <f>E111*'Revenue Forecast'!E103/10</f>
        <v/>
      </c>
      <c r="F119" s="1691">
        <f>F111*'Revenue Forecast'!F103/10</f>
        <v/>
      </c>
      <c r="G119" s="1691">
        <f>G111*'Revenue Forecast'!G103/10</f>
        <v/>
      </c>
      <c r="H119" s="1691">
        <f>H111*'Revenue Forecast'!H103/10</f>
        <v/>
      </c>
      <c r="I119" s="1691">
        <f>I111*'Revenue Forecast'!I103/10</f>
        <v/>
      </c>
      <c r="J119" s="1691">
        <f>J111*'Revenue Forecast'!J103/10</f>
        <v/>
      </c>
      <c r="K119" s="1692">
        <f>IFERROR(IF(AND(ISNUMBER(C119),ISNUMBER(J119),C119&gt;0),(J119/C119)^(1/7)-1,""),"")</f>
        <v/>
      </c>
      <c r="L119" s="477" t="n"/>
    </row>
    <row r="120">
      <c r="A120" s="61" t="inlineStr">
        <is>
          <t>Jindal Stainless - EBITDA</t>
        </is>
      </c>
      <c r="B120" s="69" t="inlineStr">
        <is>
          <t>Rs cr</t>
        </is>
      </c>
      <c r="C120" s="1691">
        <f>C112*'Revenue Forecast'!C104/10</f>
        <v/>
      </c>
      <c r="D120" s="1691">
        <f>D112*'Revenue Forecast'!D104/10</f>
        <v/>
      </c>
      <c r="E120" s="1691">
        <f>E112*'Revenue Forecast'!E104/10</f>
        <v/>
      </c>
      <c r="F120" s="1691">
        <f>F112*'Revenue Forecast'!F104/10</f>
        <v/>
      </c>
      <c r="G120" s="1691">
        <f>G112*'Revenue Forecast'!G104/10</f>
        <v/>
      </c>
      <c r="H120" s="1691">
        <f>H112*'Revenue Forecast'!H104/10</f>
        <v/>
      </c>
      <c r="I120" s="1691">
        <f>I112*'Revenue Forecast'!I104/10</f>
        <v/>
      </c>
      <c r="J120" s="1691">
        <f>J112*'Revenue Forecast'!J104/10</f>
        <v/>
      </c>
      <c r="K120" s="1692">
        <f>IFERROR(IF(AND(ISNUMBER(C120),ISNUMBER(J120),C120&gt;0),(J120/C120)^(1/7)-1,""),"")</f>
        <v/>
      </c>
      <c r="L120" s="477" t="n"/>
    </row>
    <row r="122">
      <c r="A122" s="1132" t="inlineStr">
        <is>
          <t>SAIL's EBITDA is on a STANDALONE basis while its revenue is consolidated - database Conflict C09. Never pair a consolidated enterprise value with SAIL's EBITDA headline without adjusting.</t>
        </is>
      </c>
    </row>
  </sheetData>
  <mergeCells count="14">
    <mergeCell ref="A122:K122"/>
    <mergeCell ref="A7:I7"/>
    <mergeCell ref="A58:D58"/>
    <mergeCell ref="A2:E2"/>
    <mergeCell ref="A87:H87"/>
    <mergeCell ref="A1:L1"/>
    <mergeCell ref="A45:I45"/>
    <mergeCell ref="A29:D29"/>
    <mergeCell ref="A17:I17"/>
    <mergeCell ref="A79:H79"/>
    <mergeCell ref="A5:K5"/>
    <mergeCell ref="A70:E70"/>
    <mergeCell ref="K3:L3"/>
    <mergeCell ref="I3:J3"/>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codeName="Sheet19">
    <tabColor rgb="FF002060"/>
    <outlinePr summaryBelow="1" summaryRight="1"/>
    <pageSetUpPr/>
  </sheetPr>
  <dimension ref="A1:L92"/>
  <sheetViews>
    <sheetView showGridLines="0" topLeftCell="A61" workbookViewId="0">
      <selection activeCell="A77" sqref="A77"/>
    </sheetView>
  </sheetViews>
  <sheetFormatPr baseColWidth="8" defaultRowHeight="14.4"/>
  <cols>
    <col width="41" customWidth="1" min="1" max="1"/>
    <col width="13.33203125" customWidth="1" min="2" max="2"/>
    <col width="13.77734375" customWidth="1" min="3" max="9"/>
    <col width="14" customWidth="1" min="10" max="11"/>
  </cols>
  <sheetData>
    <row r="1" ht="25.8" customHeight="1">
      <c r="A1" s="1150" t="inlineStr">
        <is>
          <t>MARGIN ANALYSIS</t>
        </is>
      </c>
    </row>
    <row r="2" ht="15" customHeight="1" thickBot="1">
      <c r="A2" s="1159" t="inlineStr">
        <is>
          <t>Industry Financial Model  |  Indian Steel Industry  |  Horizon FY2027E-FY2033E  |  Base year FY2026A</t>
        </is>
      </c>
    </row>
    <row r="3" ht="16.2" customHeight="1" thickBot="1">
      <c r="A3" s="1149" t="n"/>
      <c r="I3" s="1407" t="inlineStr">
        <is>
          <t>Active Scenario</t>
        </is>
      </c>
      <c r="J3" s="1401" t="n"/>
      <c r="K3" s="760">
        <f>'Control Panel'!$E$17</f>
        <v/>
      </c>
      <c r="L3" s="1354" t="n"/>
    </row>
    <row r="4">
      <c r="A4" s="1254" t="inlineStr">
        <is>
          <t>OBJECTIVE</t>
        </is>
      </c>
    </row>
    <row r="5">
      <c r="A5" s="1217" t="inlineStr">
        <is>
          <t>Analyze historical and forecast profitability by examining margins, cost drivers, operating leverage, and sensitivity to key variables.</t>
        </is>
      </c>
    </row>
    <row r="6">
      <c r="A6" s="1217" t="n"/>
      <c r="B6" s="1217" t="n"/>
      <c r="C6" s="1217" t="n"/>
      <c r="D6" s="1217" t="n"/>
      <c r="E6" s="1217" t="n"/>
      <c r="F6" s="1217" t="n"/>
      <c r="G6" s="1217" t="n"/>
      <c r="H6" s="1217" t="n"/>
      <c r="I6" s="1217" t="n"/>
      <c r="J6" s="1217" t="n"/>
    </row>
    <row r="7" ht="15.6" customHeight="1">
      <c r="A7" s="1137" t="inlineStr">
        <is>
          <t>Executive Summary</t>
        </is>
      </c>
      <c r="J7" s="1217" t="n"/>
    </row>
    <row r="8">
      <c r="A8" s="1188" t="inlineStr">
        <is>
          <t>KPI</t>
        </is>
      </c>
      <c r="B8" s="485" t="inlineStr">
        <is>
          <t>FY26A</t>
        </is>
      </c>
      <c r="C8" s="485" t="inlineStr">
        <is>
          <t>FY27E</t>
        </is>
      </c>
      <c r="D8" s="485" t="inlineStr">
        <is>
          <t>FY28E</t>
        </is>
      </c>
      <c r="E8" s="485" t="inlineStr">
        <is>
          <t>FY29E</t>
        </is>
      </c>
      <c r="F8" s="485" t="inlineStr">
        <is>
          <t>FY30E</t>
        </is>
      </c>
      <c r="G8" s="485" t="inlineStr">
        <is>
          <t>FY31E</t>
        </is>
      </c>
      <c r="H8" s="485" t="inlineStr">
        <is>
          <t>FY32E</t>
        </is>
      </c>
      <c r="I8" s="485" t="inlineStr">
        <is>
          <t>FY33E</t>
        </is>
      </c>
      <c r="J8" s="1217" t="n"/>
    </row>
    <row r="9">
      <c r="A9" s="1199" t="inlineStr">
        <is>
          <t>Gross Margin (%)</t>
        </is>
      </c>
      <c r="B9" s="1624">
        <f>1-('Cost Curve'!C65*'Cost Curve'!C62)/'Revenue Forecast'!C94</f>
        <v/>
      </c>
      <c r="C9" s="1624">
        <f>1-('Cost Curve'!D65*'Cost Curve'!D62)/'Revenue Forecast'!D94</f>
        <v/>
      </c>
      <c r="D9" s="1624">
        <f>1-('Cost Curve'!E65*'Cost Curve'!E62)/'Revenue Forecast'!E94</f>
        <v/>
      </c>
      <c r="E9" s="1624">
        <f>1-('Cost Curve'!F65*'Cost Curve'!F62)/'Revenue Forecast'!F94</f>
        <v/>
      </c>
      <c r="F9" s="1624">
        <f>1-('Cost Curve'!G65*'Cost Curve'!G62)/'Revenue Forecast'!G94</f>
        <v/>
      </c>
      <c r="G9" s="1624">
        <f>1-('Cost Curve'!H65*'Cost Curve'!H62)/'Revenue Forecast'!H94</f>
        <v/>
      </c>
      <c r="H9" s="1624">
        <f>1-('Cost Curve'!I65*'Cost Curve'!I62)/'Revenue Forecast'!I94</f>
        <v/>
      </c>
      <c r="I9" s="1624">
        <f>1-('Cost Curve'!J65*'Cost Curve'!J62)/'Revenue Forecast'!J94</f>
        <v/>
      </c>
      <c r="J9" s="1217" t="n"/>
    </row>
    <row r="10">
      <c r="A10" s="1199" t="inlineStr">
        <is>
          <t>EBITDA Margin (%)</t>
        </is>
      </c>
      <c r="B10" s="1693">
        <f>C81</f>
        <v/>
      </c>
      <c r="C10" s="1693">
        <f>D81</f>
        <v/>
      </c>
      <c r="D10" s="1693">
        <f>E81</f>
        <v/>
      </c>
      <c r="E10" s="1693">
        <f>F81</f>
        <v/>
      </c>
      <c r="F10" s="1693">
        <f>G81</f>
        <v/>
      </c>
      <c r="G10" s="1693">
        <f>H81</f>
        <v/>
      </c>
      <c r="H10" s="1693">
        <f>I81</f>
        <v/>
      </c>
      <c r="I10" s="1693">
        <f>J81</f>
        <v/>
      </c>
      <c r="J10" s="1217" t="n"/>
    </row>
    <row r="11">
      <c r="A11" s="1199" t="inlineStr">
        <is>
          <t>Operating Margin (%)</t>
        </is>
      </c>
      <c r="B11" s="1624">
        <f>'Cash Flow Model'!C94/'Cash Flow Model'!C91</f>
        <v/>
      </c>
      <c r="C11" s="1624">
        <f>'Cash Flow Model'!D94/'Cash Flow Model'!D91</f>
        <v/>
      </c>
      <c r="D11" s="1624">
        <f>'Cash Flow Model'!E94/'Cash Flow Model'!E91</f>
        <v/>
      </c>
      <c r="E11" s="1624">
        <f>'Cash Flow Model'!F94/'Cash Flow Model'!F91</f>
        <v/>
      </c>
      <c r="F11" s="1624">
        <f>'Cash Flow Model'!G94/'Cash Flow Model'!G91</f>
        <v/>
      </c>
      <c r="G11" s="1624">
        <f>'Cash Flow Model'!H94/'Cash Flow Model'!H91</f>
        <v/>
      </c>
      <c r="H11" s="1624">
        <f>'Cash Flow Model'!I94/'Cash Flow Model'!I91</f>
        <v/>
      </c>
      <c r="I11" s="1624">
        <f>'Cash Flow Model'!J94/'Cash Flow Model'!J91</f>
        <v/>
      </c>
      <c r="J11" s="1217" t="n"/>
    </row>
    <row r="12">
      <c r="A12" s="1199" t="inlineStr">
        <is>
          <t>Cash Margin (%)</t>
        </is>
      </c>
      <c r="B12" s="933">
        <f>('Cash Flow Model'!C94-'Cash Flow Model'!C96)/'Cash Flow Model'!C91</f>
        <v/>
      </c>
      <c r="C12" s="933">
        <f>('Cash Flow Model'!D94-'Cash Flow Model'!D96)/'Cash Flow Model'!D91</f>
        <v/>
      </c>
      <c r="D12" s="933">
        <f>('Cash Flow Model'!E94-'Cash Flow Model'!E96)/'Cash Flow Model'!E91</f>
        <v/>
      </c>
      <c r="E12" s="933">
        <f>('Cash Flow Model'!F94-'Cash Flow Model'!F96)/'Cash Flow Model'!F91</f>
        <v/>
      </c>
      <c r="F12" s="933">
        <f>('Cash Flow Model'!G94-'Cash Flow Model'!G96)/'Cash Flow Model'!G91</f>
        <v/>
      </c>
      <c r="G12" s="933">
        <f>('Cash Flow Model'!H94-'Cash Flow Model'!H96)/'Cash Flow Model'!H91</f>
        <v/>
      </c>
      <c r="H12" s="933">
        <f>('Cash Flow Model'!I94-'Cash Flow Model'!I96)/'Cash Flow Model'!I91</f>
        <v/>
      </c>
      <c r="I12" s="933">
        <f>('Cash Flow Model'!J94-'Cash Flow Model'!J96)/'Cash Flow Model'!J91</f>
        <v/>
      </c>
      <c r="J12" s="1217" t="n"/>
    </row>
    <row r="13">
      <c r="A13" s="1199" t="inlineStr">
        <is>
          <t>EBITDA/t (₹/t)</t>
        </is>
      </c>
      <c r="B13" s="1614">
        <f>C80</f>
        <v/>
      </c>
      <c r="C13" s="1614">
        <f>D80</f>
        <v/>
      </c>
      <c r="D13" s="1614">
        <f>E80</f>
        <v/>
      </c>
      <c r="E13" s="1614">
        <f>F80</f>
        <v/>
      </c>
      <c r="F13" s="1614">
        <f>G80</f>
        <v/>
      </c>
      <c r="G13" s="1614">
        <f>H80</f>
        <v/>
      </c>
      <c r="H13" s="1614">
        <f>I80</f>
        <v/>
      </c>
      <c r="I13" s="1614">
        <f>J80</f>
        <v/>
      </c>
      <c r="J13" s="1217" t="n"/>
    </row>
    <row r="14">
      <c r="A14" s="1199" t="inlineStr">
        <is>
          <t>Cost/Revenue (%)</t>
        </is>
      </c>
      <c r="B14" s="1694">
        <f>'Cost Curve'!C65/'Margin Analysis'!C78</f>
        <v/>
      </c>
      <c r="C14" s="1694">
        <f>'Cost Curve'!D65/'Margin Analysis'!D78</f>
        <v/>
      </c>
      <c r="D14" s="1694">
        <f>'Cost Curve'!E65/'Margin Analysis'!E78</f>
        <v/>
      </c>
      <c r="E14" s="1694">
        <f>'Cost Curve'!F65/'Margin Analysis'!F78</f>
        <v/>
      </c>
      <c r="F14" s="1694">
        <f>'Cost Curve'!G65/'Margin Analysis'!G78</f>
        <v/>
      </c>
      <c r="G14" s="1694">
        <f>'Cost Curve'!H65/'Margin Analysis'!H78</f>
        <v/>
      </c>
      <c r="H14" s="1694">
        <f>'Cost Curve'!I65/'Margin Analysis'!I78</f>
        <v/>
      </c>
      <c r="I14" s="1694">
        <f>'Cost Curve'!J65/'Margin Analysis'!J78</f>
        <v/>
      </c>
      <c r="J14" s="1217" t="n"/>
    </row>
    <row r="15">
      <c r="A15" s="1217" t="n"/>
      <c r="B15" s="952" t="n"/>
      <c r="C15" s="1217" t="n"/>
      <c r="D15" s="1217" t="n"/>
      <c r="E15" s="1217" t="n"/>
      <c r="F15" s="1217" t="n"/>
      <c r="G15" s="1217" t="n"/>
      <c r="H15" s="1217" t="n"/>
      <c r="I15" s="1217" t="n"/>
      <c r="J15" s="1217" t="n"/>
    </row>
    <row r="16">
      <c r="A16" s="1217" t="n"/>
      <c r="B16" s="1695" t="n"/>
      <c r="C16" s="1217" t="n"/>
      <c r="D16" s="1217" t="n"/>
      <c r="E16" s="1217" t="n"/>
      <c r="F16" s="1217" t="n"/>
      <c r="G16" s="1217" t="n"/>
      <c r="H16" s="1217" t="n"/>
      <c r="I16" s="1217" t="n"/>
      <c r="J16" s="1217" t="n"/>
    </row>
    <row r="17" ht="15.6" customHeight="1">
      <c r="A17" s="1137" t="inlineStr">
        <is>
          <t>Margin Trend</t>
        </is>
      </c>
      <c r="J17" s="1217" t="n"/>
    </row>
    <row r="18" ht="27.6" customHeight="1">
      <c r="A18" s="1188" t="inlineStr">
        <is>
          <t>Year</t>
        </is>
      </c>
      <c r="B18" s="485" t="inlineStr">
        <is>
          <t>Revenue</t>
        </is>
      </c>
      <c r="C18" s="485" t="inlineStr">
        <is>
          <t>EBITDA</t>
        </is>
      </c>
      <c r="D18" s="485" t="inlineStr">
        <is>
          <t>EBITDA Margin</t>
        </is>
      </c>
      <c r="E18" s="485" t="inlineStr">
        <is>
          <t>Operating Margin</t>
        </is>
      </c>
      <c r="F18" s="485" t="inlineStr">
        <is>
          <t>Gross Margin</t>
        </is>
      </c>
      <c r="G18" s="1217" t="n"/>
      <c r="H18" s="1217" t="n"/>
      <c r="I18" s="1217" t="n"/>
      <c r="J18" s="1217" t="n"/>
    </row>
    <row r="19">
      <c r="A19" s="1199" t="inlineStr">
        <is>
          <t>FY26A</t>
        </is>
      </c>
      <c r="B19" s="1609">
        <f>'Revenue Forecast'!C95</f>
        <v/>
      </c>
      <c r="C19" s="1609">
        <f>'EBITDA Model'!C103</f>
        <v/>
      </c>
      <c r="D19" s="1696">
        <f>C19/B19</f>
        <v/>
      </c>
      <c r="E19" s="1697">
        <f>B11</f>
        <v/>
      </c>
      <c r="F19" s="1697">
        <f>B9</f>
        <v/>
      </c>
      <c r="K19" s="262" t="n"/>
    </row>
    <row r="20">
      <c r="A20" s="1199" t="inlineStr">
        <is>
          <t>FY27E</t>
        </is>
      </c>
      <c r="B20" s="1609">
        <f>'Revenue Forecast'!D95</f>
        <v/>
      </c>
      <c r="C20" s="1609">
        <f>'EBITDA Model'!D103</f>
        <v/>
      </c>
      <c r="D20" s="1696">
        <f>C20/B20</f>
        <v/>
      </c>
      <c r="E20" s="1678">
        <f>C11</f>
        <v/>
      </c>
      <c r="F20" s="1678">
        <f>C9</f>
        <v/>
      </c>
      <c r="G20" s="1217" t="n"/>
      <c r="H20" s="1217" t="n"/>
      <c r="I20" s="1217" t="n"/>
      <c r="J20" s="1217" t="n"/>
    </row>
    <row r="21">
      <c r="A21" s="1199" t="inlineStr">
        <is>
          <t>FY28E</t>
        </is>
      </c>
      <c r="B21" s="1609">
        <f>'Revenue Forecast'!E95</f>
        <v/>
      </c>
      <c r="C21" s="1609">
        <f>'EBITDA Model'!E103</f>
        <v/>
      </c>
      <c r="D21" s="1696">
        <f>C21/B21</f>
        <v/>
      </c>
      <c r="E21" s="1678">
        <f>D11</f>
        <v/>
      </c>
      <c r="F21" s="1678">
        <f>D9</f>
        <v/>
      </c>
      <c r="G21" s="1217" t="n"/>
      <c r="H21" s="1217" t="n"/>
      <c r="I21" s="1217" t="n"/>
      <c r="J21" s="1217" t="n"/>
    </row>
    <row r="22">
      <c r="A22" s="1199" t="inlineStr">
        <is>
          <t>FY29E</t>
        </is>
      </c>
      <c r="B22" s="1609">
        <f>'Revenue Forecast'!F95</f>
        <v/>
      </c>
      <c r="C22" s="1609">
        <f>'EBITDA Model'!F103</f>
        <v/>
      </c>
      <c r="D22" s="1696">
        <f>C22/B22</f>
        <v/>
      </c>
      <c r="E22" s="1678">
        <f>E11</f>
        <v/>
      </c>
      <c r="F22" s="1678">
        <f>E9</f>
        <v/>
      </c>
      <c r="G22" s="1217" t="n"/>
      <c r="H22" s="1217" t="n"/>
      <c r="I22" s="1217" t="n"/>
      <c r="J22" s="1217" t="n"/>
    </row>
    <row r="23">
      <c r="A23" s="1199" t="inlineStr">
        <is>
          <t>FY30E</t>
        </is>
      </c>
      <c r="B23" s="1609">
        <f>'Revenue Forecast'!G95</f>
        <v/>
      </c>
      <c r="C23" s="1609">
        <f>'EBITDA Model'!G103</f>
        <v/>
      </c>
      <c r="D23" s="1696">
        <f>C23/B23</f>
        <v/>
      </c>
      <c r="E23" s="1678">
        <f>F11</f>
        <v/>
      </c>
      <c r="F23" s="1678">
        <f>F9</f>
        <v/>
      </c>
      <c r="G23" s="1217" t="n"/>
      <c r="H23" s="1217" t="n"/>
      <c r="I23" s="1217" t="n"/>
      <c r="J23" s="1217" t="n"/>
    </row>
    <row r="24">
      <c r="A24" s="1199" t="inlineStr">
        <is>
          <t>FY31E</t>
        </is>
      </c>
      <c r="B24" s="1609">
        <f>'Revenue Forecast'!H95</f>
        <v/>
      </c>
      <c r="C24" s="1609">
        <f>'EBITDA Model'!H103</f>
        <v/>
      </c>
      <c r="D24" s="1696">
        <f>C24/B24</f>
        <v/>
      </c>
      <c r="E24" s="1678">
        <f>G11</f>
        <v/>
      </c>
      <c r="F24" s="1678">
        <f>G9</f>
        <v/>
      </c>
      <c r="G24" s="1217" t="n"/>
      <c r="H24" s="1217" t="n"/>
      <c r="I24" s="1217" t="n"/>
      <c r="J24" s="1217" t="n"/>
    </row>
    <row r="25">
      <c r="A25" s="1199" t="inlineStr">
        <is>
          <t>FY32E</t>
        </is>
      </c>
      <c r="B25" s="1609">
        <f>'Revenue Forecast'!I95</f>
        <v/>
      </c>
      <c r="C25" s="1609">
        <f>'EBITDA Model'!I103</f>
        <v/>
      </c>
      <c r="D25" s="1696">
        <f>C25/B25</f>
        <v/>
      </c>
      <c r="E25" s="1678">
        <f>H11</f>
        <v/>
      </c>
      <c r="F25" s="1678">
        <f>H9</f>
        <v/>
      </c>
      <c r="G25" s="1217" t="n"/>
      <c r="H25" s="1217" t="n"/>
      <c r="I25" s="1217" t="n"/>
      <c r="J25" s="1217" t="n"/>
    </row>
    <row r="26">
      <c r="A26" s="1199" t="inlineStr">
        <is>
          <t>FY33E</t>
        </is>
      </c>
      <c r="B26" s="1609">
        <f>'Revenue Forecast'!J95</f>
        <v/>
      </c>
      <c r="C26" s="1609">
        <f>'EBITDA Model'!J103</f>
        <v/>
      </c>
      <c r="D26" s="1696">
        <f>C26/B26</f>
        <v/>
      </c>
      <c r="E26" s="1678">
        <f>I11</f>
        <v/>
      </c>
      <c r="F26" s="1678">
        <f>I9</f>
        <v/>
      </c>
      <c r="G26" s="1217" t="n"/>
      <c r="H26" s="1217" t="n"/>
      <c r="I26" s="1217" t="n"/>
      <c r="J26" s="1217" t="n"/>
    </row>
    <row r="27">
      <c r="A27" s="1217" t="n"/>
      <c r="B27" s="1217" t="n"/>
      <c r="C27" s="1217" t="n"/>
      <c r="D27" s="1217" t="n"/>
      <c r="E27" s="1217" t="n"/>
      <c r="F27" s="1217" t="n"/>
      <c r="G27" s="1217" t="n"/>
      <c r="H27" s="1217" t="n"/>
      <c r="I27" s="1217" t="n"/>
      <c r="J27" s="1217" t="n"/>
    </row>
    <row r="28">
      <c r="A28" s="1217" t="n"/>
      <c r="B28" s="1217" t="n"/>
      <c r="C28" s="1217" t="n"/>
      <c r="D28" s="1217" t="n"/>
      <c r="E28" s="1217" t="n"/>
      <c r="F28" s="1217" t="n"/>
      <c r="G28" s="1217" t="n"/>
      <c r="H28" s="1217" t="n"/>
      <c r="I28" s="1217" t="n"/>
      <c r="J28" s="1217" t="n"/>
    </row>
    <row r="29" ht="15.6" customHeight="1">
      <c r="A29" s="1137" t="inlineStr">
        <is>
          <t>Margin Bridge</t>
        </is>
      </c>
      <c r="J29" s="1217" t="n"/>
    </row>
    <row r="30">
      <c r="A30" s="1188" t="inlineStr">
        <is>
          <t>Driver</t>
        </is>
      </c>
      <c r="B30" s="1188" t="inlineStr">
        <is>
          <t>FY27E</t>
        </is>
      </c>
      <c r="C30" s="1188" t="inlineStr">
        <is>
          <t>FY28E</t>
        </is>
      </c>
      <c r="D30" s="1188" t="inlineStr">
        <is>
          <t>FY29E</t>
        </is>
      </c>
      <c r="E30" s="1188" t="inlineStr">
        <is>
          <t>FY30E</t>
        </is>
      </c>
      <c r="F30" s="1188" t="inlineStr">
        <is>
          <t>FY31E</t>
        </is>
      </c>
      <c r="G30" s="1188" t="inlineStr">
        <is>
          <t>FY32E</t>
        </is>
      </c>
      <c r="H30" s="1188" t="inlineStr">
        <is>
          <t>FY33E</t>
        </is>
      </c>
      <c r="I30" s="1217" t="n"/>
      <c r="J30" s="1217" t="n"/>
    </row>
    <row r="31">
      <c r="A31" s="1199" t="inlineStr">
        <is>
          <t>Previous Margin</t>
        </is>
      </c>
      <c r="B31" s="1408">
        <f>C81</f>
        <v/>
      </c>
      <c r="C31" s="1408">
        <f>D81</f>
        <v/>
      </c>
      <c r="D31" s="1408">
        <f>E81</f>
        <v/>
      </c>
      <c r="E31" s="1408">
        <f>F81</f>
        <v/>
      </c>
      <c r="F31" s="1408">
        <f>G81</f>
        <v/>
      </c>
      <c r="G31" s="1408">
        <f>H81</f>
        <v/>
      </c>
      <c r="H31" s="1408">
        <f>I81</f>
        <v/>
      </c>
      <c r="I31" s="1217" t="n"/>
      <c r="J31" s="1217" t="n"/>
    </row>
    <row r="32">
      <c r="A32" s="1199" t="inlineStr">
        <is>
          <t>Steel Price Effect</t>
        </is>
      </c>
      <c r="B32" s="1624">
        <f>'Cost Curve'!C65*(D78-C78)/(C78*D78)</f>
        <v/>
      </c>
      <c r="C32" s="1624">
        <f>'Cost Curve'!D65*(E78-D78)/(D78*E78)</f>
        <v/>
      </c>
      <c r="D32" s="1624">
        <f>'Cost Curve'!E65*(F78-E78)/(E78*F78)</f>
        <v/>
      </c>
      <c r="E32" s="1624">
        <f>'Cost Curve'!F65*(G78-F78)/(F78*G78)</f>
        <v/>
      </c>
      <c r="F32" s="1624">
        <f>'Cost Curve'!G65*(H78-G78)/(G78*H78)</f>
        <v/>
      </c>
      <c r="G32" s="1624">
        <f>'Cost Curve'!H65*(I78-H78)/(H78*I78)</f>
        <v/>
      </c>
      <c r="H32" s="1624">
        <f>'Cost Curve'!I65*(J78-I78)/(I78*J78)</f>
        <v/>
      </c>
      <c r="I32" s="1217" t="n"/>
      <c r="J32" s="1217" t="n"/>
    </row>
    <row r="33">
      <c r="A33" s="1199" t="inlineStr">
        <is>
          <t>Raw Material Effect</t>
        </is>
      </c>
      <c r="B33" s="1624">
        <f>('Cost Curve'!C65*'Model Assumptions'!D$20-'Cost Curve'!D65*'Model Assumptions'!E$20)/D78</f>
        <v/>
      </c>
      <c r="C33" s="1624">
        <f>('Cost Curve'!D65*'Model Assumptions'!E$20-'Cost Curve'!E65*'Model Assumptions'!F$20)/E78</f>
        <v/>
      </c>
      <c r="D33" s="1624">
        <f>('Cost Curve'!E65*'Model Assumptions'!F$20-'Cost Curve'!F65*'Model Assumptions'!G$20)/F78</f>
        <v/>
      </c>
      <c r="E33" s="1624">
        <f>('Cost Curve'!F65*'Model Assumptions'!G$20-'Cost Curve'!G65*'Model Assumptions'!H$20)/G78</f>
        <v/>
      </c>
      <c r="F33" s="1624">
        <f>('Cost Curve'!G65*'Model Assumptions'!H$20-'Cost Curve'!H65*'Model Assumptions'!I$20)/H78</f>
        <v/>
      </c>
      <c r="G33" s="1624">
        <f>('Cost Curve'!H65*'Model Assumptions'!I$20-'Cost Curve'!I65*'Model Assumptions'!J$20)/I78</f>
        <v/>
      </c>
      <c r="H33" s="1624">
        <f>('Cost Curve'!I65*'Model Assumptions'!J$20-'Cost Curve'!J65*'Model Assumptions'!K$20)/J78</f>
        <v/>
      </c>
      <c r="I33" s="1217" t="n"/>
      <c r="J33" s="1217" t="n"/>
    </row>
    <row r="34">
      <c r="A34" s="1199" t="inlineStr">
        <is>
          <t>Volume Effect</t>
        </is>
      </c>
      <c r="B34" s="1698" t="n">
        <v>0</v>
      </c>
      <c r="C34" s="1698" t="n">
        <v>0</v>
      </c>
      <c r="D34" s="1698" t="n">
        <v>0</v>
      </c>
      <c r="E34" s="1698" t="n">
        <v>0</v>
      </c>
      <c r="F34" s="1698" t="n">
        <v>0</v>
      </c>
      <c r="G34" s="1698" t="n">
        <v>0</v>
      </c>
      <c r="H34" s="1698" t="n">
        <v>0</v>
      </c>
      <c r="I34" s="1217" t="n"/>
      <c r="J34" s="1217" t="n"/>
    </row>
    <row r="35">
      <c r="A35" s="1199" t="inlineStr">
        <is>
          <t>Product Mix Effect</t>
        </is>
      </c>
      <c r="B35" s="1698" t="n">
        <v>0</v>
      </c>
      <c r="C35" s="1698" t="n">
        <v>0</v>
      </c>
      <c r="D35" s="1698" t="n">
        <v>0</v>
      </c>
      <c r="E35" s="1698" t="n">
        <v>0</v>
      </c>
      <c r="F35" s="1698" t="n">
        <v>0</v>
      </c>
      <c r="G35" s="1698" t="n">
        <v>0</v>
      </c>
      <c r="H35" s="1698" t="n">
        <v>0</v>
      </c>
      <c r="I35" s="1217" t="n"/>
      <c r="J35" s="1217" t="n"/>
    </row>
    <row r="36">
      <c r="A36" s="1199" t="inlineStr">
        <is>
          <t>Operating Leverage</t>
        </is>
      </c>
      <c r="B36" s="1624">
        <f>('Cost Curve'!C65*(1-'Model Assumptions'!D$20)-'Cost Curve'!D65*(1-'Model Assumptions'!E$20))/D78</f>
        <v/>
      </c>
      <c r="C36" s="1624">
        <f>('Cost Curve'!D65*(1-'Model Assumptions'!E$20)-'Cost Curve'!E65*(1-'Model Assumptions'!F$20))/E78</f>
        <v/>
      </c>
      <c r="D36" s="1624">
        <f>('Cost Curve'!E65*(1-'Model Assumptions'!F$20)-'Cost Curve'!F65*(1-'Model Assumptions'!G$20))/F78</f>
        <v/>
      </c>
      <c r="E36" s="1624">
        <f>('Cost Curve'!F65*(1-'Model Assumptions'!G$20)-'Cost Curve'!G65*(1-'Model Assumptions'!H$20))/G78</f>
        <v/>
      </c>
      <c r="F36" s="1624">
        <f>('Cost Curve'!G65*(1-'Model Assumptions'!H$20)-'Cost Curve'!H65*(1-'Model Assumptions'!I$20))/H78</f>
        <v/>
      </c>
      <c r="G36" s="1624">
        <f>('Cost Curve'!H65*(1-'Model Assumptions'!I$20)-'Cost Curve'!I65*(1-'Model Assumptions'!J$20))/I78</f>
        <v/>
      </c>
      <c r="H36" s="1624">
        <f>('Cost Curve'!I65*(1-'Model Assumptions'!J$20)-'Cost Curve'!J65*(1-'Model Assumptions'!K$20))/J78</f>
        <v/>
      </c>
      <c r="I36" s="1217" t="n"/>
      <c r="J36" s="1217" t="n"/>
    </row>
    <row r="37">
      <c r="A37" s="1199" t="inlineStr">
        <is>
          <t>Logistics</t>
        </is>
      </c>
      <c r="B37" s="1624" t="n"/>
      <c r="C37" s="1624" t="n"/>
      <c r="D37" s="1624" t="n"/>
      <c r="E37" s="1624" t="n"/>
      <c r="F37" s="1624" t="n"/>
      <c r="G37" s="1624" t="n"/>
      <c r="H37" s="1624" t="n"/>
      <c r="I37" s="1217" t="n"/>
      <c r="J37" s="1217" t="n"/>
    </row>
    <row r="38">
      <c r="A38" s="1199" t="inlineStr">
        <is>
          <t>Energy</t>
        </is>
      </c>
      <c r="B38" s="1624" t="n"/>
      <c r="C38" s="1624" t="n"/>
      <c r="D38" s="1624" t="n"/>
      <c r="E38" s="1624" t="n"/>
      <c r="F38" s="1624" t="n"/>
      <c r="G38" s="1624" t="n"/>
      <c r="H38" s="1624" t="n"/>
      <c r="I38" s="1217" t="n"/>
      <c r="J38" s="1217" t="n"/>
    </row>
    <row r="39">
      <c r="A39" s="1199" t="inlineStr">
        <is>
          <t>FX</t>
        </is>
      </c>
      <c r="B39" s="1624" t="n"/>
      <c r="C39" s="1624" t="n"/>
      <c r="D39" s="1624" t="n"/>
      <c r="E39" s="1624" t="n"/>
      <c r="F39" s="1624" t="n"/>
      <c r="G39" s="1624" t="n"/>
      <c r="H39" s="1624" t="n"/>
      <c r="I39" s="1217" t="n"/>
      <c r="J39" s="1217" t="n"/>
    </row>
    <row r="40">
      <c r="A40" s="264" t="inlineStr">
        <is>
          <t>Final Margin</t>
        </is>
      </c>
      <c r="B40" s="1680">
        <f>SUM(B31:B39)</f>
        <v/>
      </c>
      <c r="C40" s="1680">
        <f>SUM(C31:C39)</f>
        <v/>
      </c>
      <c r="D40" s="1680">
        <f>SUM(D31:D39)</f>
        <v/>
      </c>
      <c r="E40" s="1680">
        <f>SUM(E31:E39)</f>
        <v/>
      </c>
      <c r="F40" s="1680">
        <f>SUM(F31:F39)</f>
        <v/>
      </c>
      <c r="G40" s="1680">
        <f>SUM(G31:G39)</f>
        <v/>
      </c>
      <c r="H40" s="1680">
        <f>SUM(H31:H39)</f>
        <v/>
      </c>
      <c r="I40" s="1217" t="n"/>
      <c r="J40" s="1217" t="n"/>
    </row>
    <row r="41">
      <c r="A41" s="1217" t="n"/>
      <c r="B41" s="1217" t="n"/>
      <c r="C41" s="1217" t="n"/>
      <c r="D41" s="1217" t="n"/>
      <c r="E41" s="1217" t="n"/>
      <c r="F41" s="1217" t="n"/>
      <c r="G41" s="1217" t="n"/>
      <c r="H41" s="1217" t="n"/>
      <c r="I41" s="1217" t="n"/>
      <c r="J41" s="1217" t="n"/>
    </row>
    <row r="42">
      <c r="A42" s="1217" t="n"/>
      <c r="B42" s="1217" t="n"/>
      <c r="C42" s="1217" t="n"/>
      <c r="D42" s="1217" t="n"/>
      <c r="E42" s="1217" t="n"/>
      <c r="F42" s="1217" t="n"/>
      <c r="G42" s="1217" t="n"/>
      <c r="H42" s="1217" t="n"/>
      <c r="I42" s="1217" t="n"/>
      <c r="J42" s="1217" t="n"/>
    </row>
    <row r="43" ht="15.6" customHeight="1">
      <c r="A43" s="1137" t="inlineStr">
        <is>
          <t>Cost Ratio Analysis</t>
        </is>
      </c>
      <c r="J43" s="1217" t="n"/>
    </row>
    <row r="44">
      <c r="A44" s="1188" t="inlineStr">
        <is>
          <t>Cost Head</t>
        </is>
      </c>
      <c r="B44" s="485" t="inlineStr">
        <is>
          <t>₹ Cr</t>
        </is>
      </c>
      <c r="C44" s="485" t="inlineStr">
        <is>
          <t>% Cash Cost</t>
        </is>
      </c>
      <c r="D44" s="485" t="inlineStr">
        <is>
          <t>% Revenue</t>
        </is>
      </c>
      <c r="E44" s="269" t="inlineStr">
        <is>
          <t>Audit Code</t>
        </is>
      </c>
      <c r="F44" s="1217" t="n"/>
      <c r="G44" s="1217" t="n"/>
      <c r="H44" s="1217" t="n"/>
      <c r="I44" s="1217" t="n"/>
      <c r="J44" s="1217" t="n"/>
    </row>
    <row r="45">
      <c r="A45" s="1199" t="inlineStr">
        <is>
          <t>Raw Materials</t>
        </is>
      </c>
      <c r="B45" s="1583">
        <f>SUM('EBITDA Model'!B31:B35)</f>
        <v/>
      </c>
      <c r="C45" s="1696">
        <f>B45/('Cost Curve'!$C$65*'Steel Supply Model'!$C$88/10)</f>
        <v/>
      </c>
      <c r="D45" s="1699">
        <f>B45/'Revenue Forecast'!$C$95</f>
        <v/>
      </c>
      <c r="E45" s="656" t="n"/>
      <c r="F45" s="1217" t="n"/>
      <c r="G45" s="1217" t="n"/>
      <c r="H45" s="1217" t="n"/>
      <c r="I45" s="1217" t="n"/>
      <c r="J45" s="1217" t="n"/>
    </row>
    <row r="46">
      <c r="A46" s="1199" t="inlineStr">
        <is>
          <t>Energy</t>
        </is>
      </c>
      <c r="B46" s="1583">
        <f>'EBITDA Model'!B36</f>
        <v/>
      </c>
      <c r="C46" s="1696">
        <f>B46/('Cost Curve'!$C$65*'Steel Supply Model'!$C$88/10)</f>
        <v/>
      </c>
      <c r="D46" s="1699">
        <f>B46/'Revenue Forecast'!$C$95</f>
        <v/>
      </c>
      <c r="E46" s="656" t="n"/>
      <c r="F46" s="1217" t="n"/>
      <c r="G46" s="1217" t="n"/>
      <c r="H46" s="1217" t="n"/>
      <c r="I46" s="1217" t="n"/>
      <c r="J46" s="1217" t="n"/>
    </row>
    <row r="47">
      <c r="A47" s="1199" t="inlineStr">
        <is>
          <t>Logistics</t>
        </is>
      </c>
      <c r="B47" s="1583">
        <f>'EBITDA Model'!B39</f>
        <v/>
      </c>
      <c r="C47" s="1696">
        <f>B47/('Cost Curve'!$C$65*'Steel Supply Model'!$C$88/10)</f>
        <v/>
      </c>
      <c r="D47" s="1699">
        <f>B47/'Revenue Forecast'!$C$95</f>
        <v/>
      </c>
      <c r="E47" s="656" t="n"/>
      <c r="F47" s="1217" t="n"/>
      <c r="G47" s="1217" t="n"/>
      <c r="H47" s="1217" t="n"/>
      <c r="I47" s="1217" t="n"/>
      <c r="J47" s="1217" t="n"/>
    </row>
    <row r="48">
      <c r="A48" s="1199" t="inlineStr">
        <is>
          <t>Labour</t>
        </is>
      </c>
      <c r="B48" s="1583">
        <f>'EBITDA Model'!B37</f>
        <v/>
      </c>
      <c r="C48" s="1696">
        <f>B48/('Cost Curve'!$C$65*'Steel Supply Model'!$C$88/10)</f>
        <v/>
      </c>
      <c r="D48" s="1699">
        <f>B48/'Revenue Forecast'!$C$95</f>
        <v/>
      </c>
      <c r="E48" s="656" t="n"/>
      <c r="F48" s="1217" t="n"/>
      <c r="G48" s="1217" t="n"/>
      <c r="H48" s="1217" t="n"/>
      <c r="I48" s="1217" t="n"/>
      <c r="J48" s="1217" t="n"/>
    </row>
    <row r="49">
      <c r="A49" s="1199" t="inlineStr">
        <is>
          <t>SG&amp;A</t>
        </is>
      </c>
      <c r="B49" s="1583">
        <f>'EBITDA Model'!B40</f>
        <v/>
      </c>
      <c r="C49" s="1696">
        <f>B49/('Cost Curve'!$C$65*'Steel Supply Model'!$C$88/10)</f>
        <v/>
      </c>
      <c r="D49" s="1699">
        <f>B49/'Revenue Forecast'!$C$95</f>
        <v/>
      </c>
      <c r="E49" s="656" t="n"/>
      <c r="F49" s="1217" t="n"/>
      <c r="G49" s="1217" t="n"/>
      <c r="H49" s="1217" t="n"/>
      <c r="I49" s="1217" t="n"/>
      <c r="J49" s="1217" t="n"/>
    </row>
    <row r="50">
      <c r="A50" s="1199" t="inlineStr">
        <is>
          <t>Other Opex</t>
        </is>
      </c>
      <c r="B50" s="1583">
        <f>SUM('EBITDA Model'!B41,'EBITDA Model'!B38)</f>
        <v/>
      </c>
      <c r="C50" s="1696">
        <f>C51-SUM(C45:C49)</f>
        <v/>
      </c>
      <c r="D50" s="1699">
        <f>B50/'Revenue Forecast'!$C$95</f>
        <v/>
      </c>
      <c r="E50" s="656" t="n"/>
      <c r="F50" s="1217" t="n"/>
      <c r="G50" s="1217" t="n"/>
      <c r="H50" s="1217" t="n"/>
      <c r="I50" s="1217" t="n"/>
      <c r="J50" s="1217" t="n"/>
    </row>
    <row r="51">
      <c r="A51" s="264" t="inlineStr">
        <is>
          <t>Total Opex</t>
        </is>
      </c>
      <c r="B51" s="1679">
        <f>SUM(B45:B50)</f>
        <v/>
      </c>
      <c r="C51" s="1700" t="n">
        <v>1</v>
      </c>
      <c r="D51" s="1700">
        <f>SUM(D45:D50)</f>
        <v/>
      </c>
      <c r="E51" s="656" t="n"/>
      <c r="F51" s="1695" t="n"/>
      <c r="G51" s="1217" t="n"/>
      <c r="H51" s="1217" t="n"/>
      <c r="I51" s="1217" t="n"/>
      <c r="J51" s="1217" t="n"/>
    </row>
    <row r="52">
      <c r="A52" s="1217" t="n"/>
      <c r="B52" s="1217" t="n"/>
      <c r="C52" s="1217" t="n"/>
      <c r="D52" s="1217" t="n"/>
      <c r="E52" s="1217" t="n"/>
      <c r="F52" s="1217" t="n"/>
      <c r="G52" s="1217" t="n"/>
      <c r="H52" s="1217" t="n"/>
      <c r="I52" s="1217" t="n"/>
      <c r="J52" s="1217" t="n"/>
    </row>
    <row r="53">
      <c r="A53" s="1217" t="n"/>
      <c r="B53" s="1217" t="n"/>
      <c r="C53" s="1217" t="n"/>
      <c r="D53" s="1217" t="n"/>
      <c r="E53" s="1217" t="n"/>
      <c r="F53" s="1217" t="n"/>
      <c r="G53" s="1217" t="n"/>
      <c r="H53" s="1217" t="n"/>
      <c r="I53" s="1217" t="n"/>
      <c r="J53" s="1217" t="n"/>
    </row>
    <row r="54" ht="15.6" customHeight="1">
      <c r="A54" s="1137" t="inlineStr">
        <is>
          <t>Margin Sensitivity</t>
        </is>
      </c>
      <c r="J54" s="1217" t="n"/>
    </row>
    <row r="55">
      <c r="A55" s="1188" t="inlineStr">
        <is>
          <t>Variable</t>
        </is>
      </c>
      <c r="B55" s="485" t="inlineStr">
        <is>
          <t>Change</t>
        </is>
      </c>
      <c r="C55" s="1285" t="inlineStr">
        <is>
          <t>EBITDA Margin Impact</t>
        </is>
      </c>
      <c r="E55" s="1217" t="n"/>
      <c r="F55" s="1217" t="n"/>
      <c r="G55" s="1217" t="n"/>
      <c r="H55" s="1217" t="n"/>
      <c r="I55" s="1217" t="n"/>
      <c r="J55" s="1217" t="n"/>
    </row>
    <row r="56">
      <c r="A56" s="1199" t="inlineStr">
        <is>
          <t>Steel Price</t>
        </is>
      </c>
      <c r="B56" s="874" t="n">
        <v>0.05</v>
      </c>
      <c r="C56" s="1287" t="n"/>
      <c r="D56" s="1360" t="n"/>
      <c r="E56" s="1217" t="n"/>
      <c r="F56" s="1217" t="n"/>
      <c r="G56" s="1217" t="n"/>
      <c r="H56" s="1217" t="n"/>
      <c r="I56" s="1217" t="n"/>
      <c r="J56" s="1217" t="n"/>
    </row>
    <row r="57">
      <c r="A57" s="1199" t="inlineStr">
        <is>
          <t>Steel Price</t>
        </is>
      </c>
      <c r="B57" s="874" t="n">
        <v>-0.05</v>
      </c>
      <c r="C57" s="1287" t="n"/>
      <c r="D57" s="1360" t="n"/>
      <c r="E57" s="1217" t="n"/>
      <c r="F57" s="1217" t="n"/>
      <c r="G57" s="1217" t="n"/>
      <c r="H57" s="1217" t="n"/>
      <c r="I57" s="1217" t="n"/>
      <c r="J57" s="1217" t="n"/>
    </row>
    <row r="58">
      <c r="A58" s="1199" t="inlineStr">
        <is>
          <t>Iron Ore</t>
        </is>
      </c>
      <c r="B58" s="874" t="n">
        <v>0.1</v>
      </c>
      <c r="C58" s="1287" t="n"/>
      <c r="D58" s="1360" t="n"/>
      <c r="E58" s="1217" t="n"/>
      <c r="F58" s="1217" t="n"/>
      <c r="G58" s="1217" t="n"/>
      <c r="H58" s="1217" t="n"/>
      <c r="I58" s="1217" t="n"/>
      <c r="J58" s="1217" t="n"/>
    </row>
    <row r="59">
      <c r="A59" s="1199" t="inlineStr">
        <is>
          <t>HCC Coal</t>
        </is>
      </c>
      <c r="B59" s="874" t="n">
        <v>0.1</v>
      </c>
      <c r="C59" s="1287" t="n"/>
      <c r="D59" s="1360" t="n"/>
      <c r="E59" s="1217" t="n"/>
      <c r="F59" s="1217" t="n"/>
      <c r="G59" s="1217" t="n"/>
      <c r="H59" s="1217" t="n"/>
      <c r="I59" s="1217" t="n"/>
      <c r="J59" s="1217" t="n"/>
    </row>
    <row r="60">
      <c r="A60" s="1199" t="inlineStr">
        <is>
          <t>Volume</t>
        </is>
      </c>
      <c r="B60" s="874" t="n">
        <v>0.05</v>
      </c>
      <c r="C60" s="1287" t="n"/>
      <c r="D60" s="1360" t="n"/>
      <c r="E60" s="1217" t="n"/>
      <c r="F60" s="1217" t="n"/>
      <c r="G60" s="1217" t="n"/>
      <c r="H60" s="1217" t="n"/>
      <c r="I60" s="1217" t="n"/>
      <c r="J60" s="1217" t="n"/>
    </row>
    <row r="61">
      <c r="A61" s="1199" t="inlineStr">
        <is>
          <t>Volume</t>
        </is>
      </c>
      <c r="B61" s="874" t="n">
        <v>-0.05</v>
      </c>
      <c r="C61" s="1287" t="n"/>
      <c r="D61" s="1360" t="n"/>
      <c r="E61" s="1217" t="n"/>
      <c r="F61" s="1217" t="n"/>
      <c r="G61" s="1217" t="n"/>
      <c r="H61" s="1217" t="n"/>
      <c r="I61" s="1217" t="n"/>
      <c r="J61" s="1217" t="n"/>
    </row>
    <row r="62">
      <c r="A62" s="1199" t="inlineStr">
        <is>
          <t>USD/INR</t>
        </is>
      </c>
      <c r="B62" s="874" t="n">
        <v>0.05</v>
      </c>
      <c r="C62" s="1287" t="n"/>
      <c r="D62" s="1360" t="n"/>
      <c r="E62" s="1217" t="n"/>
      <c r="F62" s="1217" t="n"/>
      <c r="G62" s="1217" t="n"/>
      <c r="H62" s="1217" t="n"/>
      <c r="I62" s="1217" t="n"/>
      <c r="J62" s="1217" t="n"/>
    </row>
    <row r="63">
      <c r="A63" s="1217" t="n"/>
      <c r="B63" s="1217" t="n"/>
      <c r="C63" s="1217" t="n"/>
      <c r="D63" s="1217" t="n"/>
      <c r="E63" s="1217" t="n"/>
      <c r="F63" s="1217" t="n"/>
      <c r="G63" s="1217" t="n"/>
      <c r="H63" s="1217" t="n"/>
      <c r="I63" s="1217" t="n"/>
      <c r="J63" s="1217" t="n"/>
    </row>
    <row r="64">
      <c r="A64" s="1217" t="n"/>
      <c r="B64" s="1217" t="n"/>
      <c r="C64" s="1217" t="n"/>
      <c r="D64" s="1217" t="n"/>
      <c r="E64" s="1217" t="n"/>
      <c r="F64" s="1217" t="n"/>
      <c r="G64" s="1217" t="n"/>
      <c r="H64" s="1217" t="n"/>
      <c r="I64" s="1217" t="n"/>
      <c r="J64" s="1217" t="n"/>
    </row>
    <row r="65" ht="15.6" customHeight="1">
      <c r="A65" s="1137" t="inlineStr">
        <is>
          <t>Scenario Analysis</t>
        </is>
      </c>
      <c r="J65" s="1217" t="n"/>
    </row>
    <row r="66">
      <c r="A66" s="1188" t="inlineStr">
        <is>
          <t>Year</t>
        </is>
      </c>
      <c r="B66" s="1188" t="inlineStr">
        <is>
          <t>Base</t>
        </is>
      </c>
      <c r="C66" s="1188" t="inlineStr">
        <is>
          <t>Bull</t>
        </is>
      </c>
      <c r="D66" s="1188" t="inlineStr">
        <is>
          <t>Bear</t>
        </is>
      </c>
      <c r="E66" s="1188" t="inlineStr">
        <is>
          <t>Stress</t>
        </is>
      </c>
      <c r="F66" s="1217" t="n"/>
      <c r="G66" s="1217" t="n"/>
      <c r="H66" s="1217" t="n"/>
      <c r="I66" s="1217" t="n"/>
      <c r="J66" s="1217" t="n"/>
    </row>
    <row r="67">
      <c r="A67" s="1199" t="inlineStr">
        <is>
          <t>FY27</t>
        </is>
      </c>
      <c r="B67" s="1287" t="n"/>
      <c r="C67" s="1287" t="n"/>
      <c r="D67" s="1287" t="n"/>
      <c r="E67" s="1287" t="n"/>
      <c r="F67" s="1217" t="n"/>
      <c r="G67" s="1217" t="n"/>
      <c r="H67" s="1217" t="n"/>
      <c r="I67" s="1217" t="n"/>
      <c r="J67" s="1217" t="n"/>
    </row>
    <row r="68">
      <c r="A68" s="1199" t="inlineStr">
        <is>
          <t>FY28</t>
        </is>
      </c>
      <c r="B68" s="1287" t="n"/>
      <c r="C68" s="1287" t="n"/>
      <c r="D68" s="1287" t="n"/>
      <c r="E68" s="1287" t="n"/>
      <c r="F68" s="1217" t="n"/>
      <c r="G68" s="1217" t="n"/>
      <c r="H68" s="1217" t="n"/>
      <c r="I68" s="1217" t="n"/>
      <c r="J68" s="1217" t="n"/>
    </row>
    <row r="69">
      <c r="A69" s="1199" t="inlineStr">
        <is>
          <t>FY29</t>
        </is>
      </c>
      <c r="B69" s="1287" t="n"/>
      <c r="C69" s="1287" t="n"/>
      <c r="D69" s="1287" t="n"/>
      <c r="E69" s="1287" t="n"/>
      <c r="F69" s="1217" t="n"/>
      <c r="G69" s="1217" t="n"/>
      <c r="H69" s="1217" t="n"/>
      <c r="I69" s="1217" t="n"/>
      <c r="J69" s="1217" t="n"/>
    </row>
    <row r="70">
      <c r="A70" s="1199" t="inlineStr">
        <is>
          <t>FY30</t>
        </is>
      </c>
      <c r="B70" s="1287" t="n"/>
      <c r="C70" s="1287" t="n"/>
      <c r="D70" s="1287" t="n"/>
      <c r="E70" s="1287" t="n"/>
      <c r="F70" s="1217" t="n"/>
      <c r="G70" s="1217" t="n"/>
      <c r="H70" s="1217" t="n"/>
      <c r="I70" s="1217" t="n"/>
      <c r="J70" s="1217" t="n"/>
    </row>
    <row r="71">
      <c r="A71" s="1199" t="inlineStr">
        <is>
          <t>FY31</t>
        </is>
      </c>
      <c r="B71" s="1287" t="n"/>
      <c r="C71" s="1287" t="n"/>
      <c r="D71" s="1287" t="n"/>
      <c r="E71" s="1287" t="n"/>
      <c r="F71" s="1217" t="n"/>
      <c r="G71" s="1217" t="n"/>
      <c r="H71" s="1217" t="n"/>
      <c r="I71" s="1217" t="n"/>
      <c r="J71" s="1217" t="n"/>
    </row>
    <row r="72">
      <c r="A72" s="1199" t="inlineStr">
        <is>
          <t>FY32</t>
        </is>
      </c>
      <c r="B72" s="1287" t="n"/>
      <c r="C72" s="1287" t="n"/>
      <c r="D72" s="1287" t="n"/>
      <c r="E72" s="1287" t="n"/>
      <c r="F72" s="1217" t="n"/>
      <c r="G72" s="1217" t="n"/>
      <c r="H72" s="1217" t="n"/>
      <c r="I72" s="1217" t="n"/>
      <c r="J72" s="1217" t="n"/>
    </row>
    <row r="73">
      <c r="A73" s="1199" t="inlineStr">
        <is>
          <t>FY33</t>
        </is>
      </c>
      <c r="B73" s="1287" t="n"/>
      <c r="C73" s="1287" t="n"/>
      <c r="D73" s="1287" t="n"/>
      <c r="E73" s="1287" t="n"/>
      <c r="F73" s="1217" t="n"/>
      <c r="G73" s="1217" t="n"/>
      <c r="H73" s="1217" t="n"/>
      <c r="I73" s="1217" t="n"/>
      <c r="J73" s="1217" t="n"/>
    </row>
    <row r="74">
      <c r="A74" s="1217" t="n"/>
      <c r="B74" s="1217" t="n"/>
      <c r="C74" s="1217" t="n"/>
      <c r="D74" s="1217" t="n"/>
      <c r="E74" s="1217" t="n"/>
      <c r="F74" s="1217" t="n"/>
      <c r="G74" s="1217" t="n"/>
      <c r="H74" s="1217" t="n"/>
      <c r="I74" s="1217" t="n"/>
      <c r="J74" s="1217" t="n"/>
    </row>
    <row r="75">
      <c r="A75" s="1217" t="n"/>
      <c r="B75" s="1217" t="n"/>
      <c r="C75" s="1217" t="n"/>
      <c r="D75" s="1217" t="n"/>
      <c r="E75" s="1217" t="n"/>
      <c r="F75" s="1217" t="n"/>
      <c r="G75" s="1217" t="n"/>
      <c r="H75" s="1217" t="n"/>
      <c r="I75" s="1217" t="n"/>
      <c r="J75" s="1217" t="n"/>
    </row>
    <row r="76" ht="16.2" customHeight="1" thickBot="1">
      <c r="A76" s="1137" t="inlineStr">
        <is>
          <t>Workbook</t>
        </is>
      </c>
    </row>
    <row r="77">
      <c r="A77" s="56" t="inlineStr">
        <is>
          <t>Line item</t>
        </is>
      </c>
      <c r="B77" s="58" t="inlineStr">
        <is>
          <t>Unit</t>
        </is>
      </c>
      <c r="C77" s="71" t="inlineStr">
        <is>
          <t>FY2026A</t>
        </is>
      </c>
      <c r="D77" s="71" t="inlineStr">
        <is>
          <t>FY2027E</t>
        </is>
      </c>
      <c r="E77" s="71" t="inlineStr">
        <is>
          <t>FY2028E</t>
        </is>
      </c>
      <c r="F77" s="71" t="inlineStr">
        <is>
          <t>FY2029E</t>
        </is>
      </c>
      <c r="G77" s="71" t="inlineStr">
        <is>
          <t>FY2030E</t>
        </is>
      </c>
      <c r="H77" s="71" t="inlineStr">
        <is>
          <t>FY2031E</t>
        </is>
      </c>
      <c r="I77" s="71" t="inlineStr">
        <is>
          <t>FY2032E</t>
        </is>
      </c>
      <c r="J77" s="913" t="inlineStr">
        <is>
          <t>FY2033E</t>
        </is>
      </c>
      <c r="K77" s="269" t="inlineStr">
        <is>
          <t>Audit Code</t>
        </is>
      </c>
    </row>
    <row r="78">
      <c r="A78" s="61" t="inlineStr">
        <is>
          <t>Realisation</t>
        </is>
      </c>
      <c r="B78" s="69" t="inlineStr">
        <is>
          <t>Rs/t</t>
        </is>
      </c>
      <c r="C78" s="1686">
        <f>'Steel Price Forecast'!C$72</f>
        <v/>
      </c>
      <c r="D78" s="1686">
        <f>'Steel Price Forecast'!D$72</f>
        <v/>
      </c>
      <c r="E78" s="1686">
        <f>'Steel Price Forecast'!E$72</f>
        <v/>
      </c>
      <c r="F78" s="1686">
        <f>'Steel Price Forecast'!F$72</f>
        <v/>
      </c>
      <c r="G78" s="1686">
        <f>'Steel Price Forecast'!G$72</f>
        <v/>
      </c>
      <c r="H78" s="1686">
        <f>'Steel Price Forecast'!H$72</f>
        <v/>
      </c>
      <c r="I78" s="1686">
        <f>'Steel Price Forecast'!I$72</f>
        <v/>
      </c>
      <c r="J78" s="1701">
        <f>'Steel Price Forecast'!J$72</f>
        <v/>
      </c>
      <c r="K78" s="261" t="n"/>
    </row>
    <row r="79">
      <c r="A79" s="61" t="inlineStr">
        <is>
          <t>Cash cost</t>
        </is>
      </c>
      <c r="B79" s="69" t="inlineStr">
        <is>
          <t>Rs/t</t>
        </is>
      </c>
      <c r="C79" s="1686">
        <f>'Cost Curve'!C$65</f>
        <v/>
      </c>
      <c r="D79" s="1686">
        <f>'Cost Curve'!D$65</f>
        <v/>
      </c>
      <c r="E79" s="1686">
        <f>'Cost Curve'!E$65</f>
        <v/>
      </c>
      <c r="F79" s="1686">
        <f>'Cost Curve'!F$65</f>
        <v/>
      </c>
      <c r="G79" s="1686">
        <f>'Cost Curve'!G$65</f>
        <v/>
      </c>
      <c r="H79" s="1686">
        <f>'Cost Curve'!H$65</f>
        <v/>
      </c>
      <c r="I79" s="1686">
        <f>'Cost Curve'!I$65</f>
        <v/>
      </c>
      <c r="J79" s="1701">
        <f>'Cost Curve'!J$65</f>
        <v/>
      </c>
      <c r="K79" s="261" t="n"/>
    </row>
    <row r="80">
      <c r="A80" s="61" t="inlineStr">
        <is>
          <t>EBITDA per tonne</t>
        </is>
      </c>
      <c r="B80" s="69" t="inlineStr">
        <is>
          <t>Rs/t</t>
        </is>
      </c>
      <c r="C80" s="1686">
        <f>'EBITDA Model'!C$101</f>
        <v/>
      </c>
      <c r="D80" s="1686">
        <f>'EBITDA Model'!D$101</f>
        <v/>
      </c>
      <c r="E80" s="1686">
        <f>'EBITDA Model'!E$101</f>
        <v/>
      </c>
      <c r="F80" s="1686">
        <f>'EBITDA Model'!F$101</f>
        <v/>
      </c>
      <c r="G80" s="1686">
        <f>'EBITDA Model'!G$101</f>
        <v/>
      </c>
      <c r="H80" s="1686">
        <f>'EBITDA Model'!H$101</f>
        <v/>
      </c>
      <c r="I80" s="1686">
        <f>'EBITDA Model'!I$101</f>
        <v/>
      </c>
      <c r="J80" s="1701">
        <f>'EBITDA Model'!J$101</f>
        <v/>
      </c>
      <c r="K80" s="261" t="n"/>
    </row>
    <row r="81">
      <c r="A81" s="68" t="inlineStr">
        <is>
          <t>INDUSTRY EBITDA MARGIN</t>
        </is>
      </c>
      <c r="B81" s="69" t="inlineStr">
        <is>
          <t>%</t>
        </is>
      </c>
      <c r="C81" s="1702">
        <f>C80/C78</f>
        <v/>
      </c>
      <c r="D81" s="1702">
        <f>D80/D78</f>
        <v/>
      </c>
      <c r="E81" s="1702">
        <f>E80/E78</f>
        <v/>
      </c>
      <c r="F81" s="1702">
        <f>F80/F78</f>
        <v/>
      </c>
      <c r="G81" s="1702">
        <f>G80/G78</f>
        <v/>
      </c>
      <c r="H81" s="1702">
        <f>H80/H78</f>
        <v/>
      </c>
      <c r="I81" s="1702">
        <f>I80/I78</f>
        <v/>
      </c>
      <c r="J81" s="1703">
        <f>J80/J78</f>
        <v/>
      </c>
      <c r="K81" s="261" t="n"/>
    </row>
    <row r="82">
      <c r="A82" s="1704" t="inlineStr">
        <is>
          <t>MARGIN BRIDGE - CHANGE VS FY2026A</t>
        </is>
      </c>
      <c r="K82" s="1705" t="n"/>
    </row>
    <row r="83">
      <c r="A83" s="61" t="inlineStr">
        <is>
          <t>Realisation change vs FY2026A</t>
        </is>
      </c>
      <c r="B83" s="69" t="inlineStr">
        <is>
          <t>Rs/t</t>
        </is>
      </c>
      <c r="C83" s="72" t="n"/>
      <c r="D83" s="1691">
        <f>D78-$C$78</f>
        <v/>
      </c>
      <c r="E83" s="1691">
        <f>E78-$C$78</f>
        <v/>
      </c>
      <c r="F83" s="1691">
        <f>F78-$C$78</f>
        <v/>
      </c>
      <c r="G83" s="1691">
        <f>G78-$C$78</f>
        <v/>
      </c>
      <c r="H83" s="1691">
        <f>H78-$C$78</f>
        <v/>
      </c>
      <c r="I83" s="1691">
        <f>I78-$C$78</f>
        <v/>
      </c>
      <c r="J83" s="1706">
        <f>J78-$C$78</f>
        <v/>
      </c>
      <c r="K83" s="261" t="n"/>
    </row>
    <row r="84">
      <c r="A84" s="61" t="inlineStr">
        <is>
          <t>Cash cost change vs FY2026A</t>
        </is>
      </c>
      <c r="B84" s="69" t="inlineStr">
        <is>
          <t>Rs/t</t>
        </is>
      </c>
      <c r="C84" s="72" t="n"/>
      <c r="D84" s="1691">
        <f>-(D79-$C$79)</f>
        <v/>
      </c>
      <c r="E84" s="1691">
        <f>-(E79-$C$79)</f>
        <v/>
      </c>
      <c r="F84" s="1691">
        <f>-(F79-$C$79)</f>
        <v/>
      </c>
      <c r="G84" s="1691">
        <f>-(G79-$C$79)</f>
        <v/>
      </c>
      <c r="H84" s="1691">
        <f>-(H79-$C$79)</f>
        <v/>
      </c>
      <c r="I84" s="1691">
        <f>-(I79-$C$79)</f>
        <v/>
      </c>
      <c r="J84" s="1706">
        <f>-(J79-$C$79)</f>
        <v/>
      </c>
      <c r="K84" s="261" t="n"/>
    </row>
    <row r="85">
      <c r="A85" s="68" t="inlineStr">
        <is>
          <t>EBITDA per tonne change vs FY2026A</t>
        </is>
      </c>
      <c r="B85" s="69" t="inlineStr">
        <is>
          <t>Rs/t</t>
        </is>
      </c>
      <c r="C85" s="72" t="n"/>
      <c r="D85" s="1707">
        <f>D83+D84</f>
        <v/>
      </c>
      <c r="E85" s="1707">
        <f>E83+E84</f>
        <v/>
      </c>
      <c r="F85" s="1707">
        <f>F83+F84</f>
        <v/>
      </c>
      <c r="G85" s="1707">
        <f>G83+G84</f>
        <v/>
      </c>
      <c r="H85" s="1707">
        <f>H83+H84</f>
        <v/>
      </c>
      <c r="I85" s="1707">
        <f>I83+I84</f>
        <v/>
      </c>
      <c r="J85" s="1708">
        <f>J83+J84</f>
        <v/>
      </c>
      <c r="K85" s="261" t="n"/>
    </row>
    <row r="86">
      <c r="A86" s="1704" t="inlineStr">
        <is>
          <t>CREDIBILITY BENCHMARKS FROM OBSERVED HISTORY (Master Database)</t>
        </is>
      </c>
      <c r="K86" s="1705" t="n"/>
    </row>
    <row r="87">
      <c r="A87" s="61" t="inlineStr">
        <is>
          <t>Observed cycle PEAK margin, FY2022</t>
        </is>
      </c>
      <c r="B87" s="69" t="inlineStr">
        <is>
          <t>%</t>
        </is>
      </c>
      <c r="C87" s="1709" t="n">
        <v>0.26</v>
      </c>
      <c r="D87" s="38" t="n"/>
      <c r="E87" s="38" t="n"/>
      <c r="F87" s="38" t="n"/>
      <c r="G87" s="38" t="n"/>
      <c r="H87" s="38" t="n"/>
      <c r="I87" s="38" t="n"/>
      <c r="J87" s="942" t="n"/>
      <c r="K87" s="261" t="n"/>
    </row>
    <row r="88">
      <c r="A88" s="61" t="inlineStr">
        <is>
          <t>Observed cycle TROUGH margin, FY2024</t>
        </is>
      </c>
      <c r="B88" s="69" t="inlineStr">
        <is>
          <t>%</t>
        </is>
      </c>
      <c r="C88" s="1709" t="n">
        <v>0.13</v>
      </c>
      <c r="D88" s="38" t="n"/>
      <c r="E88" s="38" t="n"/>
      <c r="F88" s="38" t="n"/>
      <c r="G88" s="38" t="n"/>
      <c r="H88" s="38" t="n"/>
      <c r="I88" s="38" t="n"/>
      <c r="J88" s="942" t="n"/>
      <c r="K88" s="261" t="n"/>
    </row>
    <row r="89">
      <c r="A89" s="61" t="inlineStr">
        <is>
          <t>Worst single observation, SAIL FY2016</t>
        </is>
      </c>
      <c r="B89" s="69" t="inlineStr">
        <is>
          <t>%</t>
        </is>
      </c>
      <c r="C89" s="1709" t="n">
        <v>-0.07000000000000001</v>
      </c>
      <c r="D89" s="38" t="n"/>
      <c r="E89" s="38" t="n"/>
      <c r="F89" s="38" t="n"/>
      <c r="G89" s="38" t="n"/>
      <c r="H89" s="38" t="n"/>
      <c r="I89" s="38" t="n"/>
      <c r="J89" s="942" t="n"/>
      <c r="K89" s="261" t="n"/>
    </row>
    <row r="90" ht="15" customHeight="1" thickBot="1">
      <c r="A90" s="64" t="inlineStr">
        <is>
          <t>FY2026A actual industry margin</t>
        </is>
      </c>
      <c r="B90" s="70" t="inlineStr">
        <is>
          <t>%</t>
        </is>
      </c>
      <c r="C90" s="1710" t="n">
        <v>0.1789608830493214</v>
      </c>
      <c r="D90" s="66" t="n"/>
      <c r="E90" s="66" t="n"/>
      <c r="F90" s="66" t="n"/>
      <c r="G90" s="66" t="n"/>
      <c r="H90" s="66" t="n"/>
      <c r="I90" s="66" t="n"/>
      <c r="J90" s="943" t="n"/>
      <c r="K90" s="261" t="n"/>
    </row>
    <row r="92">
      <c r="A92" s="1240" t="inlineStr">
        <is>
          <t>If a scenario produces a margin outside the -7% to +26% observed envelope, 25 Audit Checks flags it. That is a warning, not necessarily an error - but it must be justified.</t>
        </is>
      </c>
    </row>
  </sheetData>
  <mergeCells count="23">
    <mergeCell ref="A7:I7"/>
    <mergeCell ref="A5:J5"/>
    <mergeCell ref="A65:I65"/>
    <mergeCell ref="C62:D62"/>
    <mergeCell ref="A54:I54"/>
    <mergeCell ref="A82:K82"/>
    <mergeCell ref="C58:D58"/>
    <mergeCell ref="A2:F2"/>
    <mergeCell ref="A76:I76"/>
    <mergeCell ref="A92:J92"/>
    <mergeCell ref="C55:D55"/>
    <mergeCell ref="A17:I17"/>
    <mergeCell ref="C56:D56"/>
    <mergeCell ref="C59:D59"/>
    <mergeCell ref="A29:I29"/>
    <mergeCell ref="I3:J3"/>
    <mergeCell ref="A43:I43"/>
    <mergeCell ref="C60:D60"/>
    <mergeCell ref="A86:K86"/>
    <mergeCell ref="C61:D61"/>
    <mergeCell ref="A1:L1"/>
    <mergeCell ref="C57:D57"/>
    <mergeCell ref="K3:L3"/>
  </mergeCells>
  <pageMargins left="0.7" right="0.7" top="0.75" bottom="0.75" header="0.3" footer="0.3"/>
</worksheet>
</file>

<file path=xl/worksheets/sheet20.xml><?xml version="1.0" encoding="utf-8"?>
<worksheet xmlns="http://schemas.openxmlformats.org/spreadsheetml/2006/main">
  <sheetPr codeName="Sheet20">
    <tabColor rgb="FF002060"/>
    <outlinePr summaryBelow="1" summaryRight="1"/>
    <pageSetUpPr/>
  </sheetPr>
  <dimension ref="A1:L75"/>
  <sheetViews>
    <sheetView showGridLines="0" topLeftCell="A51" workbookViewId="0">
      <selection activeCell="I3" sqref="I3:L3"/>
    </sheetView>
  </sheetViews>
  <sheetFormatPr baseColWidth="8" defaultRowHeight="14.4"/>
  <cols>
    <col width="35.109375" customWidth="1" style="1262" min="1" max="1"/>
    <col width="12.6640625" customWidth="1" style="729" min="2" max="9"/>
    <col width="11.88671875" customWidth="1" style="1262" min="10" max="10"/>
    <col width="11" customWidth="1" style="1262" min="11" max="11"/>
    <col width="12.44140625" customWidth="1" style="1262" min="12" max="12"/>
    <col width="8.88671875" customWidth="1" style="1262" min="13" max="16384"/>
  </cols>
  <sheetData>
    <row r="1" ht="25.8" customHeight="1">
      <c r="A1" s="1133" t="inlineStr">
        <is>
          <t>WORKING CAPITAL MODEL</t>
        </is>
      </c>
    </row>
    <row r="2" ht="15" customHeight="1" thickBot="1">
      <c r="A2" s="1136" t="inlineStr">
        <is>
          <t>Industry Financial Model  |  Indian Steel Industry  |  Horizon FY2027E-FY2033E  |  Base year FY2026A</t>
        </is>
      </c>
    </row>
    <row r="3" ht="16.2" customHeight="1" thickBot="1">
      <c r="A3" s="1167" t="n"/>
      <c r="I3" s="1407" t="inlineStr">
        <is>
          <t>Active Scenario</t>
        </is>
      </c>
      <c r="J3" s="1401" t="n"/>
      <c r="K3" s="760">
        <f>'Control Panel'!$E$17</f>
        <v/>
      </c>
      <c r="L3" s="1354" t="n"/>
    </row>
    <row r="4">
      <c r="A4" s="1145" t="inlineStr">
        <is>
          <t>OBJECTIVE</t>
        </is>
      </c>
    </row>
    <row r="5">
      <c r="A5" s="1134" t="inlineStr">
        <is>
          <t>Forecast the industry's working capital by modelling inventory, receivables, payables, and other operating assets and liabilities.</t>
        </is>
      </c>
    </row>
    <row r="6">
      <c r="A6" s="1134" t="n"/>
      <c r="B6" s="928" t="n"/>
      <c r="C6" s="928" t="n"/>
      <c r="D6" s="928" t="n"/>
      <c r="E6" s="928" t="n"/>
      <c r="F6" s="928" t="n"/>
      <c r="G6" s="928" t="n"/>
      <c r="H6" s="928" t="n"/>
      <c r="I6" s="928" t="n"/>
      <c r="J6" s="1134" t="n"/>
      <c r="K6" s="1134" t="n"/>
    </row>
    <row r="7" ht="15.6" customHeight="1">
      <c r="A7" s="1137" t="inlineStr">
        <is>
          <t>Executive Summary</t>
        </is>
      </c>
      <c r="J7" s="1134" t="n"/>
      <c r="K7" s="1134" t="n"/>
    </row>
    <row r="8">
      <c r="A8" s="1188" t="inlineStr">
        <is>
          <t>KPI</t>
        </is>
      </c>
      <c r="B8" s="485" t="inlineStr">
        <is>
          <t>FY26A</t>
        </is>
      </c>
      <c r="C8" s="485" t="inlineStr">
        <is>
          <t>FY27E</t>
        </is>
      </c>
      <c r="D8" s="485" t="inlineStr">
        <is>
          <t>FY28E</t>
        </is>
      </c>
      <c r="E8" s="485" t="inlineStr">
        <is>
          <t>FY29E</t>
        </is>
      </c>
      <c r="F8" s="485" t="inlineStr">
        <is>
          <t>FY30E</t>
        </is>
      </c>
      <c r="G8" s="485" t="inlineStr">
        <is>
          <t>FY31E</t>
        </is>
      </c>
      <c r="H8" s="485" t="inlineStr">
        <is>
          <t>FY32E</t>
        </is>
      </c>
      <c r="I8" s="485" t="inlineStr">
        <is>
          <t>FY33E</t>
        </is>
      </c>
      <c r="J8" s="269" t="inlineStr">
        <is>
          <t>Audit Code</t>
        </is>
      </c>
      <c r="K8" s="1134" t="n"/>
    </row>
    <row r="9">
      <c r="A9" s="1199" t="inlineStr">
        <is>
          <t>Inventory (₹ Cr)</t>
        </is>
      </c>
      <c r="B9" s="1287" t="n"/>
      <c r="C9" s="1287" t="n"/>
      <c r="D9" s="1287" t="n"/>
      <c r="E9" s="1287" t="n"/>
      <c r="F9" s="1287" t="n"/>
      <c r="G9" s="1287" t="n"/>
      <c r="H9" s="1287" t="n"/>
      <c r="I9" s="1287" t="n"/>
      <c r="J9" s="334" t="n"/>
      <c r="K9" s="1134" t="n"/>
    </row>
    <row r="10">
      <c r="A10" s="1199" t="inlineStr">
        <is>
          <t>Receivables (₹ Cr)</t>
        </is>
      </c>
      <c r="B10" s="1287" t="n"/>
      <c r="C10" s="1287" t="n"/>
      <c r="D10" s="1287" t="n"/>
      <c r="E10" s="1287" t="n"/>
      <c r="F10" s="1287" t="n"/>
      <c r="G10" s="1287" t="n"/>
      <c r="H10" s="1287" t="n"/>
      <c r="I10" s="1287" t="n"/>
      <c r="J10" s="334" t="n"/>
      <c r="K10" s="1134" t="n"/>
    </row>
    <row r="11">
      <c r="A11" s="1199" t="inlineStr">
        <is>
          <t>Payables (₹ Cr)</t>
        </is>
      </c>
      <c r="B11" s="1287" t="n"/>
      <c r="C11" s="1287" t="n"/>
      <c r="D11" s="1287" t="n"/>
      <c r="E11" s="1287" t="n"/>
      <c r="F11" s="1287" t="n"/>
      <c r="G11" s="1287" t="n"/>
      <c r="H11" s="1287" t="n"/>
      <c r="I11" s="1287" t="n"/>
      <c r="J11" s="334" t="n"/>
      <c r="K11" s="1134" t="n"/>
    </row>
    <row r="12">
      <c r="A12" s="1199" t="inlineStr">
        <is>
          <t>Net Working Capital (₹ Cr)</t>
        </is>
      </c>
      <c r="B12" s="1614">
        <f>C71</f>
        <v/>
      </c>
      <c r="C12" s="1614">
        <f>D71</f>
        <v/>
      </c>
      <c r="D12" s="1614">
        <f>E71</f>
        <v/>
      </c>
      <c r="E12" s="1614">
        <f>F71</f>
        <v/>
      </c>
      <c r="F12" s="1614">
        <f>G71</f>
        <v/>
      </c>
      <c r="G12" s="1614">
        <f>H71</f>
        <v/>
      </c>
      <c r="H12" s="1614">
        <f>I71</f>
        <v/>
      </c>
      <c r="I12" s="1614">
        <f>J71</f>
        <v/>
      </c>
      <c r="J12" s="334" t="n"/>
      <c r="K12" s="1134" t="n"/>
    </row>
    <row r="13">
      <c r="A13" s="1199" t="inlineStr">
        <is>
          <t>NWC / Revenue (%)</t>
        </is>
      </c>
      <c r="B13" s="1693">
        <f>C73</f>
        <v/>
      </c>
      <c r="C13" s="1693">
        <f>D73</f>
        <v/>
      </c>
      <c r="D13" s="1693">
        <f>E73</f>
        <v/>
      </c>
      <c r="E13" s="1693">
        <f>F73</f>
        <v/>
      </c>
      <c r="F13" s="1693">
        <f>G73</f>
        <v/>
      </c>
      <c r="G13" s="1693">
        <f>H73</f>
        <v/>
      </c>
      <c r="H13" s="1693">
        <f>I73</f>
        <v/>
      </c>
      <c r="I13" s="1693">
        <f>J73</f>
        <v/>
      </c>
      <c r="J13" s="334" t="n"/>
      <c r="K13" s="1134" t="n"/>
    </row>
    <row r="14">
      <c r="A14" s="1199" t="inlineStr">
        <is>
          <t>Cash Conversion Cycle (Days)</t>
        </is>
      </c>
      <c r="B14" s="1711">
        <f>C70</f>
        <v/>
      </c>
      <c r="C14" s="1711">
        <f>D70</f>
        <v/>
      </c>
      <c r="D14" s="1711">
        <f>E70</f>
        <v/>
      </c>
      <c r="E14" s="1711">
        <f>F70</f>
        <v/>
      </c>
      <c r="F14" s="1711">
        <f>G70</f>
        <v/>
      </c>
      <c r="G14" s="1711">
        <f>H70</f>
        <v/>
      </c>
      <c r="H14" s="1711">
        <f>I70</f>
        <v/>
      </c>
      <c r="I14" s="1711">
        <f>J70</f>
        <v/>
      </c>
      <c r="J14" s="334" t="n"/>
      <c r="K14" s="1134" t="n"/>
    </row>
    <row r="15">
      <c r="A15" s="1134" t="n"/>
      <c r="B15" s="928" t="n"/>
      <c r="C15" s="928" t="n"/>
      <c r="D15" s="928" t="n"/>
      <c r="E15" s="928" t="n"/>
      <c r="F15" s="928" t="n"/>
      <c r="G15" s="928" t="n"/>
      <c r="H15" s="928" t="n"/>
      <c r="I15" s="928" t="n"/>
      <c r="J15" s="1134" t="n"/>
      <c r="K15" s="1134" t="n"/>
    </row>
    <row r="16">
      <c r="A16" s="1134" t="n"/>
      <c r="B16" s="928" t="n"/>
      <c r="C16" s="928" t="n"/>
      <c r="D16" s="928" t="n"/>
      <c r="E16" s="928" t="n"/>
      <c r="F16" s="928" t="n"/>
      <c r="G16" s="928" t="n"/>
      <c r="H16" s="928" t="n"/>
      <c r="I16" s="928" t="n"/>
      <c r="J16" s="1134" t="n"/>
      <c r="K16" s="1134" t="n"/>
    </row>
    <row r="17" ht="15.6" customHeight="1">
      <c r="A17" s="1137" t="inlineStr">
        <is>
          <t>Working Capital Forecast</t>
        </is>
      </c>
      <c r="J17" s="1134" t="n"/>
      <c r="K17" s="1134" t="n"/>
    </row>
    <row r="18">
      <c r="A18" s="1188" t="inlineStr">
        <is>
          <t>Item</t>
        </is>
      </c>
      <c r="B18" s="485" t="inlineStr">
        <is>
          <t>FY26A</t>
        </is>
      </c>
      <c r="C18" s="485" t="inlineStr">
        <is>
          <t>FY27E</t>
        </is>
      </c>
      <c r="D18" s="485" t="inlineStr">
        <is>
          <t>FY28E</t>
        </is>
      </c>
      <c r="E18" s="485" t="inlineStr">
        <is>
          <t>FY29E</t>
        </is>
      </c>
      <c r="F18" s="485" t="inlineStr">
        <is>
          <t>FY30E</t>
        </is>
      </c>
      <c r="G18" s="485" t="inlineStr">
        <is>
          <t>FY31E</t>
        </is>
      </c>
      <c r="H18" s="485" t="inlineStr">
        <is>
          <t>FY32E</t>
        </is>
      </c>
      <c r="I18" s="485" t="inlineStr">
        <is>
          <t>FY33E</t>
        </is>
      </c>
      <c r="J18" s="1134" t="n"/>
      <c r="K18" s="1134" t="n"/>
    </row>
    <row r="19">
      <c r="A19" s="1199" t="inlineStr">
        <is>
          <t>Inventory</t>
        </is>
      </c>
      <c r="B19" s="1287" t="n"/>
      <c r="C19" s="1287" t="n"/>
      <c r="D19" s="1287" t="n"/>
      <c r="E19" s="1287" t="n"/>
      <c r="F19" s="1287" t="n"/>
      <c r="G19" s="1287" t="n"/>
      <c r="H19" s="1287" t="n"/>
      <c r="I19" s="1287" t="n"/>
      <c r="J19" s="1134" t="n"/>
      <c r="K19" s="1134" t="n"/>
    </row>
    <row r="20">
      <c r="A20" s="1199" t="inlineStr">
        <is>
          <t>Trade Receivables</t>
        </is>
      </c>
      <c r="B20" s="1287" t="n"/>
      <c r="C20" s="1287" t="n"/>
      <c r="D20" s="1287" t="n"/>
      <c r="E20" s="1287" t="n"/>
      <c r="F20" s="1287" t="n"/>
      <c r="G20" s="1287" t="n"/>
      <c r="H20" s="1287" t="n"/>
      <c r="I20" s="1287" t="n"/>
      <c r="J20" s="1134" t="n"/>
      <c r="K20" s="1134" t="n"/>
    </row>
    <row r="21">
      <c r="A21" s="1199" t="inlineStr">
        <is>
          <t>Other Receivables</t>
        </is>
      </c>
      <c r="B21" s="1287" t="n"/>
      <c r="C21" s="1287" t="n"/>
      <c r="D21" s="1287" t="n"/>
      <c r="E21" s="1287" t="n"/>
      <c r="F21" s="1287" t="n"/>
      <c r="G21" s="1287" t="n"/>
      <c r="H21" s="1287" t="n"/>
      <c r="I21" s="1287" t="n"/>
      <c r="J21" s="1134" t="n"/>
      <c r="K21" s="1134" t="n"/>
    </row>
    <row r="22">
      <c r="A22" s="1199" t="inlineStr">
        <is>
          <t>Trade Payables</t>
        </is>
      </c>
      <c r="B22" s="1287" t="n"/>
      <c r="C22" s="1287" t="n"/>
      <c r="D22" s="1287" t="n"/>
      <c r="E22" s="1287" t="n"/>
      <c r="F22" s="1287" t="n"/>
      <c r="G22" s="1287" t="n"/>
      <c r="H22" s="1287" t="n"/>
      <c r="I22" s="1287" t="n"/>
      <c r="J22" s="1134" t="n"/>
      <c r="K22" s="1134" t="n"/>
    </row>
    <row r="23">
      <c r="A23" s="1199" t="inlineStr">
        <is>
          <t>Other Current Liabilities</t>
        </is>
      </c>
      <c r="B23" s="1287" t="n"/>
      <c r="C23" s="1287" t="n"/>
      <c r="D23" s="1287" t="n"/>
      <c r="E23" s="1287" t="n"/>
      <c r="F23" s="1287" t="n"/>
      <c r="G23" s="1287" t="n"/>
      <c r="H23" s="1287" t="n"/>
      <c r="I23" s="1287" t="n"/>
      <c r="J23" s="1134" t="n"/>
      <c r="K23" s="1134" t="n"/>
    </row>
    <row r="24">
      <c r="A24" s="264" t="inlineStr">
        <is>
          <t>Net Working Capital</t>
        </is>
      </c>
      <c r="B24" s="1287" t="n"/>
      <c r="C24" s="1287" t="n"/>
      <c r="D24" s="1287" t="n"/>
      <c r="E24" s="1287" t="n"/>
      <c r="F24" s="1287" t="n"/>
      <c r="G24" s="1287" t="n"/>
      <c r="H24" s="1287" t="n"/>
      <c r="I24" s="1287" t="n"/>
      <c r="J24" s="1134" t="n"/>
      <c r="K24" s="1134" t="n"/>
    </row>
    <row r="25">
      <c r="A25" s="1134" t="n"/>
      <c r="B25" s="928" t="n"/>
      <c r="C25" s="928" t="n"/>
      <c r="D25" s="928" t="n"/>
      <c r="E25" s="928" t="n"/>
      <c r="F25" s="928" t="n"/>
      <c r="G25" s="928" t="n"/>
      <c r="H25" s="928" t="n"/>
      <c r="I25" s="928" t="n"/>
      <c r="J25" s="1134" t="n"/>
      <c r="K25" s="1134" t="n"/>
    </row>
    <row r="26">
      <c r="A26" s="1134" t="n"/>
      <c r="B26" s="928" t="n"/>
      <c r="C26" s="928" t="n"/>
      <c r="D26" s="928" t="n"/>
      <c r="E26" s="928" t="n"/>
      <c r="F26" s="928" t="n"/>
      <c r="G26" s="928" t="n"/>
      <c r="H26" s="928" t="n"/>
      <c r="I26" s="928" t="n"/>
      <c r="J26" s="1134" t="n"/>
      <c r="K26" s="1134" t="n"/>
    </row>
    <row r="27" ht="15.6" customHeight="1">
      <c r="A27" s="1137" t="inlineStr">
        <is>
          <t>Working Capital Days</t>
        </is>
      </c>
      <c r="J27" s="1134" t="n"/>
      <c r="K27" s="1134" t="n"/>
    </row>
    <row r="28">
      <c r="A28" s="1188" t="inlineStr">
        <is>
          <t>Metric</t>
        </is>
      </c>
      <c r="B28" s="485" t="inlineStr">
        <is>
          <t>FY26A</t>
        </is>
      </c>
      <c r="C28" s="485" t="inlineStr">
        <is>
          <t>FY27E</t>
        </is>
      </c>
      <c r="D28" s="485" t="inlineStr">
        <is>
          <t>FY28E</t>
        </is>
      </c>
      <c r="E28" s="485" t="inlineStr">
        <is>
          <t>FY29E</t>
        </is>
      </c>
      <c r="F28" s="485" t="inlineStr">
        <is>
          <t>FY30E</t>
        </is>
      </c>
      <c r="G28" s="485" t="inlineStr">
        <is>
          <t>FY31E</t>
        </is>
      </c>
      <c r="H28" s="485" t="inlineStr">
        <is>
          <t>FY32E</t>
        </is>
      </c>
      <c r="I28" s="485" t="inlineStr">
        <is>
          <t>FY33E</t>
        </is>
      </c>
      <c r="J28" s="1134" t="n"/>
      <c r="K28" s="1134" t="n"/>
    </row>
    <row r="29">
      <c r="A29" s="1199" t="inlineStr">
        <is>
          <t>Inventory Days</t>
        </is>
      </c>
      <c r="B29" s="1287" t="n"/>
      <c r="C29" s="1287" t="n"/>
      <c r="D29" s="1287" t="n"/>
      <c r="E29" s="1287" t="n"/>
      <c r="F29" s="1287" t="n"/>
      <c r="G29" s="1287" t="n"/>
      <c r="H29" s="1287" t="n"/>
      <c r="I29" s="1287" t="n"/>
      <c r="J29" s="1134" t="n"/>
      <c r="K29" s="1134" t="n"/>
    </row>
    <row r="30">
      <c r="A30" s="1199" t="inlineStr">
        <is>
          <t>Receivable Days</t>
        </is>
      </c>
      <c r="B30" s="1287" t="n"/>
      <c r="C30" s="1287" t="n"/>
      <c r="D30" s="1287" t="n"/>
      <c r="E30" s="1287" t="n"/>
      <c r="F30" s="1287" t="n"/>
      <c r="G30" s="1287" t="n"/>
      <c r="H30" s="1287" t="n"/>
      <c r="I30" s="1287" t="n"/>
      <c r="J30" s="1134" t="n"/>
      <c r="K30" s="1134" t="n"/>
    </row>
    <row r="31">
      <c r="A31" s="1199" t="inlineStr">
        <is>
          <t>Payable Days</t>
        </is>
      </c>
      <c r="B31" s="1287" t="n"/>
      <c r="C31" s="1287" t="n"/>
      <c r="D31" s="1287" t="n"/>
      <c r="E31" s="1287" t="n"/>
      <c r="F31" s="1287" t="n"/>
      <c r="G31" s="1287" t="n"/>
      <c r="H31" s="1287" t="n"/>
      <c r="I31" s="1287" t="n"/>
      <c r="J31" s="1134" t="n"/>
      <c r="K31" s="1134" t="n"/>
    </row>
    <row r="32">
      <c r="A32" s="1199" t="inlineStr">
        <is>
          <t>Cash Conversion Cycle</t>
        </is>
      </c>
      <c r="B32" s="1287" t="n"/>
      <c r="C32" s="1287" t="n"/>
      <c r="D32" s="1287" t="n"/>
      <c r="E32" s="1287" t="n"/>
      <c r="F32" s="1287" t="n"/>
      <c r="G32" s="1287" t="n"/>
      <c r="H32" s="1287" t="n"/>
      <c r="I32" s="1287" t="n"/>
      <c r="J32" s="1134" t="n"/>
      <c r="K32" s="1134" t="n"/>
    </row>
    <row r="33">
      <c r="A33" s="1134" t="n"/>
      <c r="B33" s="928" t="n"/>
      <c r="C33" s="928" t="n"/>
      <c r="D33" s="928" t="n"/>
      <c r="E33" s="928" t="n"/>
      <c r="F33" s="928" t="n"/>
      <c r="G33" s="928" t="n"/>
      <c r="H33" s="928" t="n"/>
      <c r="I33" s="928" t="n"/>
      <c r="J33" s="1134" t="n"/>
      <c r="K33" s="1134" t="n"/>
    </row>
    <row r="34">
      <c r="A34" s="1134" t="n"/>
      <c r="B34" s="928" t="n"/>
      <c r="C34" s="928" t="n"/>
      <c r="D34" s="928" t="n"/>
      <c r="E34" s="928" t="n"/>
      <c r="F34" s="928" t="n"/>
      <c r="G34" s="928" t="n"/>
      <c r="H34" s="928" t="n"/>
      <c r="I34" s="928" t="n"/>
      <c r="J34" s="1134" t="n"/>
      <c r="K34" s="1134" t="n"/>
    </row>
    <row r="35" ht="15.6" customHeight="1">
      <c r="A35" s="1137" t="inlineStr">
        <is>
          <t>Working Capital Drivers</t>
        </is>
      </c>
      <c r="J35" s="1134" t="n"/>
      <c r="K35" s="1134" t="n"/>
    </row>
    <row r="36">
      <c r="A36" s="1188" t="inlineStr">
        <is>
          <t>Driver</t>
        </is>
      </c>
      <c r="B36" s="485" t="inlineStr">
        <is>
          <t>FY27E</t>
        </is>
      </c>
      <c r="C36" s="485" t="inlineStr">
        <is>
          <t>FY28E</t>
        </is>
      </c>
      <c r="D36" s="485" t="inlineStr">
        <is>
          <t>FY29E</t>
        </is>
      </c>
      <c r="E36" s="485" t="inlineStr">
        <is>
          <t>FY30E</t>
        </is>
      </c>
      <c r="F36" s="485" t="inlineStr">
        <is>
          <t>FY31E</t>
        </is>
      </c>
      <c r="G36" s="485" t="inlineStr">
        <is>
          <t>FY32E</t>
        </is>
      </c>
      <c r="H36" s="485" t="inlineStr">
        <is>
          <t>FY33E</t>
        </is>
      </c>
      <c r="I36" s="928" t="n"/>
      <c r="J36" s="1134" t="n"/>
      <c r="K36" s="1134" t="n"/>
    </row>
    <row r="37">
      <c r="A37" s="1199" t="inlineStr">
        <is>
          <t>Revenue Growth</t>
        </is>
      </c>
      <c r="B37" s="1624">
        <f>(D69-C69)/C69</f>
        <v/>
      </c>
      <c r="C37" s="1624">
        <f>(E69-D69)/D69</f>
        <v/>
      </c>
      <c r="D37" s="1624">
        <f>(F69-E69)/E69</f>
        <v/>
      </c>
      <c r="E37" s="1624">
        <f>(G69-F69)/F69</f>
        <v/>
      </c>
      <c r="F37" s="1624">
        <f>(H69-G69)/G69</f>
        <v/>
      </c>
      <c r="G37" s="1624">
        <f>(I69-H69)/H69</f>
        <v/>
      </c>
      <c r="H37" s="1624">
        <f>(J69-I69)/I69</f>
        <v/>
      </c>
      <c r="I37" s="928" t="n"/>
      <c r="J37" s="1134" t="n"/>
      <c r="K37" s="1134" t="n"/>
    </row>
    <row r="38">
      <c r="A38" s="1199" t="inlineStr">
        <is>
          <t>Production Growth</t>
        </is>
      </c>
      <c r="B38" s="1624">
        <f>('Steel Supply Model'!D88-'Steel Supply Model'!C88)/'Steel Supply Model'!C88</f>
        <v/>
      </c>
      <c r="C38" s="1624">
        <f>('Steel Supply Model'!E88-'Steel Supply Model'!D88)/'Steel Supply Model'!D88</f>
        <v/>
      </c>
      <c r="D38" s="1624">
        <f>('Steel Supply Model'!F88-'Steel Supply Model'!E88)/'Steel Supply Model'!E88</f>
        <v/>
      </c>
      <c r="E38" s="1624">
        <f>('Steel Supply Model'!G88-'Steel Supply Model'!F88)/'Steel Supply Model'!F88</f>
        <v/>
      </c>
      <c r="F38" s="1624">
        <f>('Steel Supply Model'!H88-'Steel Supply Model'!G88)/'Steel Supply Model'!G88</f>
        <v/>
      </c>
      <c r="G38" s="1624">
        <f>('Steel Supply Model'!I88-'Steel Supply Model'!H88)/'Steel Supply Model'!H88</f>
        <v/>
      </c>
      <c r="H38" s="1624">
        <f>('Steel Supply Model'!J88-'Steel Supply Model'!I88)/'Steel Supply Model'!I88</f>
        <v/>
      </c>
      <c r="I38" s="928" t="n"/>
      <c r="J38" s="1134" t="n"/>
      <c r="K38" s="1134" t="n"/>
    </row>
    <row r="39">
      <c r="A39" s="1199" t="inlineStr">
        <is>
          <t>Inventory Days</t>
        </is>
      </c>
      <c r="B39" s="1287" t="n"/>
      <c r="C39" s="1287" t="n"/>
      <c r="D39" s="1287" t="n"/>
      <c r="E39" s="1287" t="n"/>
      <c r="F39" s="1287" t="n"/>
      <c r="G39" s="1287" t="n"/>
      <c r="H39" s="1287" t="n"/>
      <c r="I39" s="928" t="n"/>
      <c r="J39" s="1134" t="n"/>
      <c r="K39" s="1134" t="n"/>
    </row>
    <row r="40">
      <c r="A40" s="1199" t="inlineStr">
        <is>
          <t>Collection Days</t>
        </is>
      </c>
      <c r="B40" s="1287" t="n"/>
      <c r="C40" s="1287" t="n"/>
      <c r="D40" s="1287" t="n"/>
      <c r="E40" s="1287" t="n"/>
      <c r="F40" s="1287" t="n"/>
      <c r="G40" s="1287" t="n"/>
      <c r="H40" s="1287" t="n"/>
      <c r="I40" s="928" t="n"/>
      <c r="J40" s="1134" t="n"/>
      <c r="K40" s="1134" t="n"/>
    </row>
    <row r="41">
      <c r="A41" s="1199" t="inlineStr">
        <is>
          <t>Payment Days</t>
        </is>
      </c>
      <c r="B41" s="1287" t="n"/>
      <c r="C41" s="1287" t="n"/>
      <c r="D41" s="1287" t="n"/>
      <c r="E41" s="1287" t="n"/>
      <c r="F41" s="1287" t="n"/>
      <c r="G41" s="1287" t="n"/>
      <c r="H41" s="1287" t="n"/>
      <c r="I41" s="928" t="n"/>
      <c r="J41" s="1134" t="n"/>
      <c r="K41" s="1134" t="n"/>
    </row>
    <row r="42">
      <c r="A42" s="1199" t="inlineStr">
        <is>
          <t>Change in NWC</t>
        </is>
      </c>
      <c r="B42" s="1614">
        <f>D72</f>
        <v/>
      </c>
      <c r="C42" s="1614">
        <f>E72</f>
        <v/>
      </c>
      <c r="D42" s="1614">
        <f>F72</f>
        <v/>
      </c>
      <c r="E42" s="1614">
        <f>G72</f>
        <v/>
      </c>
      <c r="F42" s="1614">
        <f>H72</f>
        <v/>
      </c>
      <c r="G42" s="1614">
        <f>I72</f>
        <v/>
      </c>
      <c r="H42" s="1614">
        <f>J72</f>
        <v/>
      </c>
      <c r="I42" s="928" t="n"/>
      <c r="J42" s="1134" t="n"/>
      <c r="K42" s="1134" t="n"/>
    </row>
    <row r="43">
      <c r="A43" s="1134" t="n"/>
      <c r="B43" s="928" t="n"/>
      <c r="C43" s="928" t="n"/>
      <c r="D43" s="928" t="n"/>
      <c r="E43" s="928" t="n"/>
      <c r="F43" s="928" t="n"/>
      <c r="G43" s="928" t="n"/>
      <c r="H43" s="928" t="n"/>
      <c r="I43" s="928" t="n"/>
      <c r="J43" s="1134" t="n"/>
      <c r="K43" s="1134" t="n"/>
    </row>
    <row r="44">
      <c r="A44" s="1134" t="n"/>
      <c r="B44" s="928" t="n"/>
      <c r="C44" s="928" t="n"/>
      <c r="D44" s="928" t="n"/>
      <c r="E44" s="928" t="n"/>
      <c r="F44" s="928" t="n"/>
      <c r="G44" s="928" t="n"/>
      <c r="H44" s="928" t="n"/>
      <c r="I44" s="928" t="n"/>
      <c r="J44" s="1134" t="n"/>
      <c r="K44" s="1134" t="n"/>
    </row>
    <row r="45" ht="15.6" customHeight="1">
      <c r="A45" s="1137" t="inlineStr">
        <is>
          <t>Cash Locked in Working Capital</t>
        </is>
      </c>
      <c r="J45" s="1134" t="n"/>
      <c r="K45" s="1134" t="n"/>
    </row>
    <row r="46" ht="27.6" customHeight="1">
      <c r="A46" s="1188" t="inlineStr">
        <is>
          <t>Year</t>
        </is>
      </c>
      <c r="B46" s="485" t="inlineStr">
        <is>
          <t>Opening NWC</t>
        </is>
      </c>
      <c r="C46" s="485" t="inlineStr">
        <is>
          <t>Closing NWC</t>
        </is>
      </c>
      <c r="D46" s="485" t="inlineStr">
        <is>
          <t>Change in NWC</t>
        </is>
      </c>
      <c r="E46" s="928" t="n"/>
      <c r="F46" s="928" t="n"/>
      <c r="G46" s="928" t="n"/>
      <c r="H46" s="928" t="n"/>
      <c r="I46" s="928" t="n"/>
      <c r="J46" s="1134" t="n"/>
      <c r="K46" s="1134" t="n"/>
    </row>
    <row r="47">
      <c r="A47" s="1199" t="inlineStr">
        <is>
          <t>FY27</t>
        </is>
      </c>
      <c r="B47" s="1614">
        <f>C71</f>
        <v/>
      </c>
      <c r="C47" s="1614">
        <f>D71</f>
        <v/>
      </c>
      <c r="D47" s="1614">
        <f>D72</f>
        <v/>
      </c>
      <c r="E47" s="928" t="n"/>
      <c r="F47" s="928" t="n"/>
      <c r="G47" s="928" t="n"/>
      <c r="H47" s="928" t="n"/>
      <c r="I47" s="928" t="n"/>
      <c r="J47" s="1134" t="n"/>
      <c r="K47" s="1134" t="n"/>
    </row>
    <row r="48">
      <c r="A48" s="1199" t="inlineStr">
        <is>
          <t>FY28</t>
        </is>
      </c>
      <c r="B48" s="1614">
        <f>D71</f>
        <v/>
      </c>
      <c r="C48" s="1614">
        <f>E71</f>
        <v/>
      </c>
      <c r="D48" s="1614">
        <f>E72</f>
        <v/>
      </c>
      <c r="E48" s="928" t="n"/>
      <c r="F48" s="928" t="n"/>
      <c r="G48" s="928" t="n"/>
      <c r="H48" s="928" t="n"/>
      <c r="I48" s="928" t="n"/>
      <c r="J48" s="1134" t="n"/>
      <c r="K48" s="1134" t="n"/>
    </row>
    <row r="49">
      <c r="A49" s="1199" t="inlineStr">
        <is>
          <t>FY29</t>
        </is>
      </c>
      <c r="B49" s="1614">
        <f>E71</f>
        <v/>
      </c>
      <c r="C49" s="1614">
        <f>F71</f>
        <v/>
      </c>
      <c r="D49" s="1614">
        <f>F72</f>
        <v/>
      </c>
      <c r="E49" s="928" t="n"/>
      <c r="F49" s="928" t="n"/>
      <c r="G49" s="928" t="n"/>
      <c r="H49" s="928" t="n"/>
      <c r="I49" s="928" t="n"/>
      <c r="J49" s="1134" t="n"/>
      <c r="K49" s="1134" t="n"/>
    </row>
    <row r="50">
      <c r="A50" s="1199" t="inlineStr">
        <is>
          <t>FY30</t>
        </is>
      </c>
      <c r="B50" s="1614">
        <f>F71</f>
        <v/>
      </c>
      <c r="C50" s="1614">
        <f>G71</f>
        <v/>
      </c>
      <c r="D50" s="1614">
        <f>G72</f>
        <v/>
      </c>
      <c r="E50" s="928" t="n"/>
      <c r="F50" s="928" t="n"/>
      <c r="G50" s="928" t="n"/>
      <c r="H50" s="928" t="n"/>
      <c r="I50" s="928" t="n"/>
      <c r="J50" s="1134" t="n"/>
      <c r="K50" s="1134" t="n"/>
    </row>
    <row r="51">
      <c r="A51" s="1199" t="inlineStr">
        <is>
          <t>FY31</t>
        </is>
      </c>
      <c r="B51" s="1614">
        <f>G71</f>
        <v/>
      </c>
      <c r="C51" s="1614">
        <f>H71</f>
        <v/>
      </c>
      <c r="D51" s="1614">
        <f>H72</f>
        <v/>
      </c>
      <c r="E51" s="928" t="n"/>
      <c r="F51" s="928" t="n"/>
      <c r="G51" s="928" t="n"/>
      <c r="H51" s="928" t="n"/>
      <c r="I51" s="928" t="n"/>
      <c r="J51" s="1134" t="n"/>
      <c r="K51" s="1134" t="n"/>
    </row>
    <row r="52">
      <c r="A52" s="1199" t="inlineStr">
        <is>
          <t>FY32</t>
        </is>
      </c>
      <c r="B52" s="1614">
        <f>H71</f>
        <v/>
      </c>
      <c r="C52" s="1614">
        <f>I71</f>
        <v/>
      </c>
      <c r="D52" s="1614">
        <f>I72</f>
        <v/>
      </c>
      <c r="E52" s="928" t="n"/>
      <c r="F52" s="928" t="n"/>
      <c r="G52" s="928" t="n"/>
      <c r="H52" s="928" t="n"/>
      <c r="I52" s="928" t="n"/>
      <c r="J52" s="1134" t="n"/>
      <c r="K52" s="1134" t="n"/>
    </row>
    <row r="53">
      <c r="A53" s="1199" t="inlineStr">
        <is>
          <t>FY33</t>
        </is>
      </c>
      <c r="B53" s="1614">
        <f>I71</f>
        <v/>
      </c>
      <c r="C53" s="1614">
        <f>J71</f>
        <v/>
      </c>
      <c r="D53" s="1614">
        <f>J72</f>
        <v/>
      </c>
      <c r="E53" s="928" t="n"/>
      <c r="F53" s="928" t="n"/>
      <c r="G53" s="928" t="n"/>
      <c r="H53" s="928" t="n"/>
      <c r="I53" s="928" t="n"/>
      <c r="J53" s="1134" t="n"/>
      <c r="K53" s="1134" t="n"/>
    </row>
    <row r="54">
      <c r="A54" s="1134" t="n"/>
      <c r="B54" s="928" t="n"/>
      <c r="C54" s="928" t="n"/>
      <c r="D54" s="928" t="n"/>
      <c r="E54" s="928" t="n"/>
      <c r="F54" s="928" t="n"/>
      <c r="G54" s="928" t="n"/>
      <c r="H54" s="928" t="n"/>
      <c r="I54" s="928" t="n"/>
      <c r="J54" s="1134" t="n"/>
      <c r="K54" s="1134" t="n"/>
    </row>
    <row r="55">
      <c r="A55" s="1134" t="n"/>
      <c r="B55" s="928" t="n"/>
      <c r="C55" s="928" t="n"/>
      <c r="D55" s="928" t="n"/>
      <c r="E55" s="928" t="n"/>
      <c r="F55" s="928" t="n"/>
      <c r="G55" s="928" t="n"/>
      <c r="H55" s="928" t="n"/>
      <c r="I55" s="928" t="n"/>
      <c r="J55" s="1134" t="n"/>
      <c r="K55" s="1134" t="n"/>
    </row>
    <row r="56" ht="15.6" customHeight="1">
      <c r="A56" s="1137" t="inlineStr">
        <is>
          <t>Scenario Analysis</t>
        </is>
      </c>
      <c r="J56" s="1134" t="n"/>
      <c r="K56" s="1134" t="n"/>
    </row>
    <row r="57">
      <c r="A57" s="1188" t="inlineStr">
        <is>
          <t>Year</t>
        </is>
      </c>
      <c r="B57" s="269" t="inlineStr">
        <is>
          <t>Base</t>
        </is>
      </c>
      <c r="C57" s="269" t="inlineStr">
        <is>
          <t>Bull</t>
        </is>
      </c>
      <c r="D57" s="269" t="inlineStr">
        <is>
          <t>Bear</t>
        </is>
      </c>
      <c r="E57" s="269" t="inlineStr">
        <is>
          <t>Stress</t>
        </is>
      </c>
      <c r="F57" s="928" t="n"/>
      <c r="G57" s="928" t="n"/>
      <c r="H57" s="928" t="n"/>
      <c r="I57" s="928" t="n"/>
      <c r="J57" s="1134" t="n"/>
      <c r="K57" s="1134" t="n"/>
    </row>
    <row r="58">
      <c r="A58" s="1199" t="inlineStr">
        <is>
          <t>FY27</t>
        </is>
      </c>
      <c r="B58" s="199" t="n"/>
      <c r="C58" s="199" t="n"/>
      <c r="D58" s="199" t="n"/>
      <c r="E58" s="199" t="n"/>
      <c r="F58" s="928" t="n"/>
      <c r="G58" s="928" t="n"/>
      <c r="H58" s="928" t="n"/>
      <c r="I58" s="928" t="n"/>
      <c r="J58" s="1134" t="n"/>
      <c r="K58" s="1134" t="n"/>
    </row>
    <row r="59">
      <c r="A59" s="1199" t="inlineStr">
        <is>
          <t>FY28</t>
        </is>
      </c>
      <c r="B59" s="199" t="n"/>
      <c r="C59" s="199" t="n"/>
      <c r="D59" s="199" t="n"/>
      <c r="E59" s="199" t="n"/>
      <c r="F59" s="928" t="n"/>
      <c r="G59" s="928" t="n"/>
      <c r="H59" s="928" t="n"/>
      <c r="I59" s="928" t="n"/>
      <c r="J59" s="1134" t="n"/>
      <c r="K59" s="1134" t="n"/>
    </row>
    <row r="60">
      <c r="A60" s="1199" t="inlineStr">
        <is>
          <t>FY29</t>
        </is>
      </c>
      <c r="B60" s="199" t="n"/>
      <c r="C60" s="199" t="n"/>
      <c r="D60" s="199" t="n"/>
      <c r="E60" s="199" t="n"/>
      <c r="F60" s="928" t="n"/>
      <c r="G60" s="928" t="n"/>
      <c r="H60" s="928" t="n"/>
      <c r="I60" s="928" t="n"/>
      <c r="J60" s="1134" t="n"/>
      <c r="K60" s="1134" t="n"/>
    </row>
    <row r="61">
      <c r="A61" s="1199" t="inlineStr">
        <is>
          <t>FY30</t>
        </is>
      </c>
      <c r="B61" s="199" t="n"/>
      <c r="C61" s="199" t="n"/>
      <c r="D61" s="199" t="n"/>
      <c r="E61" s="199" t="n"/>
      <c r="F61" s="928" t="n"/>
      <c r="G61" s="928" t="n"/>
      <c r="H61" s="928" t="n"/>
      <c r="I61" s="928" t="n"/>
      <c r="J61" s="1134" t="n"/>
      <c r="K61" s="1134" t="n"/>
    </row>
    <row r="62">
      <c r="A62" s="1199" t="inlineStr">
        <is>
          <t>FY31</t>
        </is>
      </c>
      <c r="B62" s="199" t="n"/>
      <c r="C62" s="199" t="n"/>
      <c r="D62" s="199" t="n"/>
      <c r="E62" s="199" t="n"/>
      <c r="F62" s="928" t="n"/>
      <c r="G62" s="928" t="n"/>
      <c r="H62" s="928" t="n"/>
      <c r="I62" s="928" t="n"/>
      <c r="J62" s="1134" t="n"/>
      <c r="K62" s="1134" t="n"/>
    </row>
    <row r="63">
      <c r="A63" s="1199" t="inlineStr">
        <is>
          <t>FY32</t>
        </is>
      </c>
      <c r="B63" s="199" t="n"/>
      <c r="C63" s="199" t="n"/>
      <c r="D63" s="199" t="n"/>
      <c r="E63" s="199" t="n"/>
      <c r="F63" s="928" t="n"/>
      <c r="G63" s="928" t="n"/>
      <c r="H63" s="928" t="n"/>
      <c r="I63" s="928" t="n"/>
      <c r="J63" s="1134" t="n"/>
      <c r="K63" s="1134" t="n"/>
    </row>
    <row r="64">
      <c r="A64" s="1199" t="inlineStr">
        <is>
          <t>FY33</t>
        </is>
      </c>
      <c r="B64" s="199" t="n"/>
      <c r="C64" s="199" t="n"/>
      <c r="D64" s="199" t="n"/>
      <c r="E64" s="199" t="n"/>
      <c r="F64" s="928" t="n"/>
      <c r="G64" s="928" t="n"/>
      <c r="H64" s="928" t="n"/>
      <c r="I64" s="928" t="n"/>
      <c r="J64" s="1134" t="n"/>
      <c r="K64" s="1134" t="n"/>
    </row>
    <row r="65">
      <c r="A65" s="177" t="n"/>
      <c r="B65" s="262" t="n"/>
      <c r="C65" s="262" t="n"/>
      <c r="D65" s="262" t="n"/>
      <c r="E65" s="262" t="n"/>
      <c r="F65" s="928" t="n"/>
      <c r="G65" s="928" t="n"/>
      <c r="H65" s="928" t="n"/>
      <c r="I65" s="928" t="n"/>
      <c r="J65" s="1134" t="n"/>
      <c r="K65" s="1134" t="n"/>
    </row>
    <row r="66">
      <c r="A66" s="177" t="n"/>
      <c r="B66" s="262" t="n"/>
      <c r="C66" s="262" t="n"/>
      <c r="D66" s="262" t="n"/>
      <c r="E66" s="262" t="n"/>
      <c r="F66" s="928" t="n"/>
      <c r="G66" s="928" t="n"/>
      <c r="H66" s="928" t="n"/>
      <c r="I66" s="928" t="n"/>
      <c r="J66" s="1134" t="n"/>
      <c r="K66" s="1134" t="n"/>
    </row>
    <row r="67" ht="16.2" customHeight="1" thickBot="1">
      <c r="A67" s="1137" t="inlineStr">
        <is>
          <t>Workbook</t>
        </is>
      </c>
    </row>
    <row r="68">
      <c r="A68" s="56" t="inlineStr">
        <is>
          <t>Line item</t>
        </is>
      </c>
      <c r="B68" s="71" t="inlineStr">
        <is>
          <t>Unit</t>
        </is>
      </c>
      <c r="C68" s="71" t="inlineStr">
        <is>
          <t>FY2026A</t>
        </is>
      </c>
      <c r="D68" s="71" t="inlineStr">
        <is>
          <t>FY2027E</t>
        </is>
      </c>
      <c r="E68" s="71" t="inlineStr">
        <is>
          <t>FY2028E</t>
        </is>
      </c>
      <c r="F68" s="71" t="inlineStr">
        <is>
          <t>FY2029E</t>
        </is>
      </c>
      <c r="G68" s="71" t="inlineStr">
        <is>
          <t>FY2030E</t>
        </is>
      </c>
      <c r="H68" s="71" t="inlineStr">
        <is>
          <t>FY2031E</t>
        </is>
      </c>
      <c r="I68" s="71" t="inlineStr">
        <is>
          <t>FY2032E</t>
        </is>
      </c>
      <c r="J68" s="71" t="inlineStr">
        <is>
          <t>FY2033E</t>
        </is>
      </c>
      <c r="K68" s="71" t="inlineStr">
        <is>
          <t>CAGR</t>
        </is>
      </c>
      <c r="L68" s="269" t="inlineStr">
        <is>
          <t>Audit Code</t>
        </is>
      </c>
    </row>
    <row r="69">
      <c r="A69" s="61" t="inlineStr">
        <is>
          <t>Industry revenue</t>
        </is>
      </c>
      <c r="B69" s="964" t="inlineStr">
        <is>
          <t>Rs cr</t>
        </is>
      </c>
      <c r="C69" s="1686">
        <f>'Revenue Forecast'!C$95</f>
        <v/>
      </c>
      <c r="D69" s="1686">
        <f>'Revenue Forecast'!D$95</f>
        <v/>
      </c>
      <c r="E69" s="1686">
        <f>'Revenue Forecast'!E$95</f>
        <v/>
      </c>
      <c r="F69" s="1686">
        <f>'Revenue Forecast'!F$95</f>
        <v/>
      </c>
      <c r="G69" s="1686">
        <f>'Revenue Forecast'!G$95</f>
        <v/>
      </c>
      <c r="H69" s="1686">
        <f>'Revenue Forecast'!H$95</f>
        <v/>
      </c>
      <c r="I69" s="1686">
        <f>'Revenue Forecast'!I$95</f>
        <v/>
      </c>
      <c r="J69" s="1686">
        <f>'Revenue Forecast'!J$95</f>
        <v/>
      </c>
      <c r="K69" s="1712">
        <f>IFERROR(IF(AND(ISNUMBER(C69),ISNUMBER(J69),C69&gt;0),(J69/C69)^(1/7)-1,""),"")</f>
        <v/>
      </c>
      <c r="L69" s="477" t="n"/>
    </row>
    <row r="70">
      <c r="A70" s="61" t="inlineStr">
        <is>
          <t>Net working capital</t>
        </is>
      </c>
      <c r="B70" s="964" t="inlineStr">
        <is>
          <t>days of revenue</t>
        </is>
      </c>
      <c r="C70" s="1686">
        <f>'Model Assumptions'!D$25</f>
        <v/>
      </c>
      <c r="D70" s="1686">
        <f>'Model Assumptions'!E$25</f>
        <v/>
      </c>
      <c r="E70" s="1686">
        <f>'Model Assumptions'!F$25</f>
        <v/>
      </c>
      <c r="F70" s="1686">
        <f>'Model Assumptions'!G$25</f>
        <v/>
      </c>
      <c r="G70" s="1686">
        <f>'Model Assumptions'!H$25</f>
        <v/>
      </c>
      <c r="H70" s="1686">
        <f>'Model Assumptions'!I$25</f>
        <v/>
      </c>
      <c r="I70" s="1686">
        <f>'Model Assumptions'!J$25</f>
        <v/>
      </c>
      <c r="J70" s="1686">
        <f>'Model Assumptions'!K$25</f>
        <v/>
      </c>
      <c r="K70" s="961" t="n"/>
      <c r="L70" s="477" t="n"/>
    </row>
    <row r="71">
      <c r="A71" s="61" t="inlineStr">
        <is>
          <t>Net working capital</t>
        </is>
      </c>
      <c r="B71" s="964" t="inlineStr">
        <is>
          <t>Rs cr</t>
        </is>
      </c>
      <c r="C71" s="1691">
        <f>C69*C70/365</f>
        <v/>
      </c>
      <c r="D71" s="1691">
        <f>D69*D70/365</f>
        <v/>
      </c>
      <c r="E71" s="1691">
        <f>E69*E70/365</f>
        <v/>
      </c>
      <c r="F71" s="1691">
        <f>F69*F70/365</f>
        <v/>
      </c>
      <c r="G71" s="1691">
        <f>G69*G70/365</f>
        <v/>
      </c>
      <c r="H71" s="1691">
        <f>H69*H70/365</f>
        <v/>
      </c>
      <c r="I71" s="1691">
        <f>I69*I70/365</f>
        <v/>
      </c>
      <c r="J71" s="1691">
        <f>J69*J70/365</f>
        <v/>
      </c>
      <c r="K71" s="1712">
        <f>IFERROR(IF(AND(ISNUMBER(C71),ISNUMBER(J71),C71&gt;0),(J71/C71)^(1/7)-1,""),"")</f>
        <v/>
      </c>
      <c r="L71" s="477" t="n"/>
    </row>
    <row r="72">
      <c r="A72" s="68" t="inlineStr">
        <is>
          <t>Change in net working capital</t>
        </is>
      </c>
      <c r="B72" s="964" t="inlineStr">
        <is>
          <t>Rs cr</t>
        </is>
      </c>
      <c r="C72" s="72" t="n"/>
      <c r="D72" s="1707">
        <f>D71-C71</f>
        <v/>
      </c>
      <c r="E72" s="1707">
        <f>E71-D71</f>
        <v/>
      </c>
      <c r="F72" s="1707">
        <f>F71-E71</f>
        <v/>
      </c>
      <c r="G72" s="1707">
        <f>G71-F71</f>
        <v/>
      </c>
      <c r="H72" s="1707">
        <f>H71-G71</f>
        <v/>
      </c>
      <c r="I72" s="1707">
        <f>I71-H71</f>
        <v/>
      </c>
      <c r="J72" s="1707">
        <f>J71-I71</f>
        <v/>
      </c>
      <c r="K72" s="961" t="n"/>
      <c r="L72" s="477" t="n"/>
    </row>
    <row r="73" ht="15" customHeight="1" thickBot="1">
      <c r="A73" s="64" t="inlineStr">
        <is>
          <t>NWC as % of revenue</t>
        </is>
      </c>
      <c r="B73" s="965" t="inlineStr">
        <is>
          <t>%</t>
        </is>
      </c>
      <c r="C73" s="1713">
        <f>C71/C69</f>
        <v/>
      </c>
      <c r="D73" s="1713">
        <f>D71/D69</f>
        <v/>
      </c>
      <c r="E73" s="1713">
        <f>E71/E69</f>
        <v/>
      </c>
      <c r="F73" s="1713">
        <f>F71/F69</f>
        <v/>
      </c>
      <c r="G73" s="1713">
        <f>G71/G69</f>
        <v/>
      </c>
      <c r="H73" s="1713">
        <f>H71/H69</f>
        <v/>
      </c>
      <c r="I73" s="1713">
        <f>I71/I69</f>
        <v/>
      </c>
      <c r="J73" s="1713">
        <f>J71/J69</f>
        <v/>
      </c>
      <c r="K73" s="962" t="n"/>
      <c r="L73" s="477" t="n"/>
    </row>
    <row r="75">
      <c r="A75" s="1132" t="inlineStr">
        <is>
          <t>ACTION REQUIRED. Derive receivable, inventory and payable days from each company's balance sheet and replace driver D18 before this model is used to support a financing or transaction.</t>
        </is>
      </c>
    </row>
  </sheetData>
  <mergeCells count="13">
    <mergeCell ref="A7:I7"/>
    <mergeCell ref="A2:E2"/>
    <mergeCell ref="A1:L1"/>
    <mergeCell ref="A45:I45"/>
    <mergeCell ref="A17:I17"/>
    <mergeCell ref="A56:I56"/>
    <mergeCell ref="A67:I67"/>
    <mergeCell ref="A27:I27"/>
    <mergeCell ref="A35:I35"/>
    <mergeCell ref="A5:K5"/>
    <mergeCell ref="A75:K75"/>
    <mergeCell ref="K3:L3"/>
    <mergeCell ref="I3:J3"/>
  </mergeCells>
  <pageMargins left="0.7" right="0.7" top="0.75" bottom="0.75" header="0.3" footer="0.3"/>
</worksheet>
</file>

<file path=xl/worksheets/sheet21.xml><?xml version="1.0" encoding="utf-8"?>
<worksheet xmlns="http://schemas.openxmlformats.org/spreadsheetml/2006/main">
  <sheetPr codeName="Sheet21">
    <tabColor rgb="FF002060"/>
    <outlinePr summaryBelow="1" summaryRight="1"/>
    <pageSetUpPr/>
  </sheetPr>
  <dimension ref="A1:K111"/>
  <sheetViews>
    <sheetView showGridLines="0" topLeftCell="A74" zoomScale="101" zoomScaleNormal="100" workbookViewId="0">
      <selection activeCell="B79" sqref="B79"/>
    </sheetView>
  </sheetViews>
  <sheetFormatPr baseColWidth="8" defaultRowHeight="14.4"/>
  <cols>
    <col width="37.6640625" customWidth="1" style="1262" min="1" max="1"/>
    <col width="12.88671875" customWidth="1" style="1262" min="2" max="2"/>
    <col width="12.88671875" customWidth="1" style="729" min="3" max="10"/>
    <col width="10.6640625" customWidth="1" style="1262" min="11" max="11"/>
    <col width="8.88671875" customWidth="1" style="1262" min="12" max="16384"/>
  </cols>
  <sheetData>
    <row r="1" ht="25.8" customHeight="1">
      <c r="A1" s="1133" t="inlineStr">
        <is>
          <t>CASH FLOW MODEL</t>
        </is>
      </c>
    </row>
    <row r="2">
      <c r="A2" s="1136" t="inlineStr">
        <is>
          <t>Industry Financial Model  |  Indian Steel Industry  |  Horizon FY2027E-FY2033E  |  Base year FY2026A</t>
        </is>
      </c>
    </row>
    <row r="3" ht="15" customHeight="1" thickBot="1">
      <c r="A3" s="1167" t="n"/>
    </row>
    <row r="4" ht="16.2" customHeight="1" thickBot="1">
      <c r="A4" s="1145" t="inlineStr">
        <is>
          <t>OBJECTIVE</t>
        </is>
      </c>
      <c r="H4" s="1407" t="inlineStr">
        <is>
          <t>Active Scenario</t>
        </is>
      </c>
      <c r="I4" s="1401" t="n"/>
      <c r="J4" s="760">
        <f>'Control Panel'!$E$17</f>
        <v/>
      </c>
      <c r="K4" s="1354" t="n"/>
    </row>
    <row r="5">
      <c r="A5" s="1134" t="inlineStr">
        <is>
          <t>Forecast the industry's operating cash flow, investing cash flow, financing cash flow, and Free Cash Flow (FCFF).</t>
        </is>
      </c>
    </row>
    <row r="6">
      <c r="A6" s="1134" t="n"/>
      <c r="B6" s="1134" t="n"/>
      <c r="C6" s="928" t="n"/>
      <c r="D6" s="928" t="n"/>
      <c r="E6" s="928" t="n"/>
      <c r="F6" s="928" t="n"/>
      <c r="G6" s="928" t="n"/>
      <c r="H6" s="928" t="n"/>
      <c r="I6" s="928" t="n"/>
      <c r="J6" s="928" t="n"/>
      <c r="K6" s="1134" t="n"/>
    </row>
    <row r="7" ht="15.6" customHeight="1">
      <c r="A7" s="1137" t="inlineStr">
        <is>
          <t>Executive Summary</t>
        </is>
      </c>
      <c r="J7" s="928" t="n"/>
      <c r="K7" s="1134" t="n"/>
    </row>
    <row r="8">
      <c r="A8" s="1193" t="inlineStr">
        <is>
          <t>KPI</t>
        </is>
      </c>
      <c r="B8" s="967" t="inlineStr">
        <is>
          <t>FY26A</t>
        </is>
      </c>
      <c r="C8" s="967" t="inlineStr">
        <is>
          <t>FY27E</t>
        </is>
      </c>
      <c r="D8" s="967" t="inlineStr">
        <is>
          <t>FY28E</t>
        </is>
      </c>
      <c r="E8" s="967" t="inlineStr">
        <is>
          <t>FY29E</t>
        </is>
      </c>
      <c r="F8" s="967" t="inlineStr">
        <is>
          <t>FY30E</t>
        </is>
      </c>
      <c r="G8" s="967" t="inlineStr">
        <is>
          <t>FY31E</t>
        </is>
      </c>
      <c r="H8" s="967" t="inlineStr">
        <is>
          <t>FY32E</t>
        </is>
      </c>
      <c r="I8" s="967" t="inlineStr">
        <is>
          <t>FY33E</t>
        </is>
      </c>
      <c r="J8" s="269" t="inlineStr">
        <is>
          <t>Audit Code</t>
        </is>
      </c>
      <c r="K8" s="1134" t="n"/>
    </row>
    <row r="9">
      <c r="A9" s="1199" t="inlineStr">
        <is>
          <t>EBITDA</t>
        </is>
      </c>
      <c r="B9" s="1614">
        <f>C90</f>
        <v/>
      </c>
      <c r="C9" s="1614">
        <f>D90</f>
        <v/>
      </c>
      <c r="D9" s="1614">
        <f>E90</f>
        <v/>
      </c>
      <c r="E9" s="1614">
        <f>F90</f>
        <v/>
      </c>
      <c r="F9" s="1614">
        <f>G90</f>
        <v/>
      </c>
      <c r="G9" s="1614">
        <f>H90</f>
        <v/>
      </c>
      <c r="H9" s="1614">
        <f>I90</f>
        <v/>
      </c>
      <c r="I9" s="1614">
        <f>J90</f>
        <v/>
      </c>
      <c r="J9" s="860" t="n"/>
      <c r="K9" s="1134" t="n"/>
    </row>
    <row r="10">
      <c r="A10" s="1199" t="inlineStr">
        <is>
          <t>Operating Cash Flow</t>
        </is>
      </c>
      <c r="B10" s="1714">
        <f>C90-C96-C107</f>
        <v/>
      </c>
      <c r="C10" s="1714">
        <f>D90-D96-D107</f>
        <v/>
      </c>
      <c r="D10" s="1714">
        <f>E90-E96-E107</f>
        <v/>
      </c>
      <c r="E10" s="1714">
        <f>F90-F96-F107</f>
        <v/>
      </c>
      <c r="F10" s="1714">
        <f>G90-G96-G107</f>
        <v/>
      </c>
      <c r="G10" s="1714">
        <f>H90-H96-H107</f>
        <v/>
      </c>
      <c r="H10" s="1714">
        <f>I90-I96-I107</f>
        <v/>
      </c>
      <c r="I10" s="1714">
        <f>J90-J96-J107</f>
        <v/>
      </c>
      <c r="J10" s="860" t="n"/>
      <c r="K10" s="1134" t="n"/>
    </row>
    <row r="11">
      <c r="A11" s="1199" t="inlineStr">
        <is>
          <t>Capex</t>
        </is>
      </c>
      <c r="B11" s="1715">
        <f>$C$104</f>
        <v/>
      </c>
      <c r="C11" s="1715">
        <f>$D$104</f>
        <v/>
      </c>
      <c r="D11" s="1715">
        <f>$E$104</f>
        <v/>
      </c>
      <c r="E11" s="1715">
        <f>$F$104</f>
        <v/>
      </c>
      <c r="F11" s="1715">
        <f>$G$104</f>
        <v/>
      </c>
      <c r="G11" s="1715">
        <f>$H$104</f>
        <v/>
      </c>
      <c r="H11" s="1715">
        <f>$I$104</f>
        <v/>
      </c>
      <c r="I11" s="1715">
        <f>$J$104</f>
        <v/>
      </c>
      <c r="J11" s="860" t="n"/>
      <c r="K11" s="1134" t="n"/>
    </row>
    <row r="12">
      <c r="A12" s="1199" t="inlineStr">
        <is>
          <t>Free Cash Flow</t>
        </is>
      </c>
      <c r="B12" s="982" t="n"/>
      <c r="C12" s="1715">
        <f>$D$108</f>
        <v/>
      </c>
      <c r="D12" s="1715">
        <f>$E$108</f>
        <v/>
      </c>
      <c r="E12" s="1715">
        <f>$F$108</f>
        <v/>
      </c>
      <c r="F12" s="1715">
        <f>$G$108</f>
        <v/>
      </c>
      <c r="G12" s="1715">
        <f>$H$108</f>
        <v/>
      </c>
      <c r="H12" s="1715">
        <f>$I$108</f>
        <v/>
      </c>
      <c r="I12" s="1715">
        <f>$J$108</f>
        <v/>
      </c>
      <c r="J12" s="860" t="n"/>
      <c r="K12" s="1134" t="n"/>
    </row>
    <row r="13">
      <c r="A13" s="1199" t="inlineStr">
        <is>
          <t>FCF Margin</t>
        </is>
      </c>
      <c r="B13" s="982" t="n"/>
      <c r="C13" s="1716">
        <f>D108/D91</f>
        <v/>
      </c>
      <c r="D13" s="1716">
        <f>E108/E91</f>
        <v/>
      </c>
      <c r="E13" s="1716">
        <f>F108/F91</f>
        <v/>
      </c>
      <c r="F13" s="1716">
        <f>G108/G91</f>
        <v/>
      </c>
      <c r="G13" s="1716">
        <f>H108/H91</f>
        <v/>
      </c>
      <c r="H13" s="1716">
        <f>I108/I91</f>
        <v/>
      </c>
      <c r="I13" s="1716">
        <f>J108/J91</f>
        <v/>
      </c>
      <c r="J13" s="860" t="n"/>
      <c r="K13" s="1134" t="n"/>
    </row>
    <row r="14">
      <c r="A14" s="1199" t="inlineStr">
        <is>
          <t>Cash Conversion</t>
        </is>
      </c>
      <c r="B14" s="982" t="n"/>
      <c r="C14" s="1717">
        <f>$D$109</f>
        <v/>
      </c>
      <c r="D14" s="1717">
        <f>$E$109</f>
        <v/>
      </c>
      <c r="E14" s="1717">
        <f>$F$109</f>
        <v/>
      </c>
      <c r="F14" s="1717">
        <f>$G$109</f>
        <v/>
      </c>
      <c r="G14" s="1717">
        <f>$H$109</f>
        <v/>
      </c>
      <c r="H14" s="1717">
        <f>$I$109</f>
        <v/>
      </c>
      <c r="I14" s="1717">
        <f>$J$109</f>
        <v/>
      </c>
      <c r="J14" s="860" t="n"/>
      <c r="K14" s="1134" t="n"/>
    </row>
    <row r="15">
      <c r="A15" s="264" t="inlineStr">
        <is>
          <t>Cumulative FCF</t>
        </is>
      </c>
      <c r="B15" s="983" t="n"/>
      <c r="C15" s="1718">
        <f>D108</f>
        <v/>
      </c>
      <c r="D15" s="1718">
        <f>C15+E108</f>
        <v/>
      </c>
      <c r="E15" s="1718">
        <f>D15+F108</f>
        <v/>
      </c>
      <c r="F15" s="1718">
        <f>E15+G108</f>
        <v/>
      </c>
      <c r="G15" s="1718">
        <f>F15+H108</f>
        <v/>
      </c>
      <c r="H15" s="1718">
        <f>G15+I108</f>
        <v/>
      </c>
      <c r="I15" s="1718">
        <f>H15+J108</f>
        <v/>
      </c>
      <c r="J15" s="860" t="n"/>
      <c r="K15" s="1134" t="n"/>
    </row>
    <row r="16">
      <c r="A16" s="1134" t="n"/>
      <c r="B16" s="1134" t="n"/>
      <c r="C16" s="928" t="n"/>
      <c r="D16" s="928" t="n"/>
      <c r="E16" s="928" t="n"/>
      <c r="F16" s="928" t="n"/>
      <c r="G16" s="928" t="n"/>
      <c r="H16" s="928" t="n"/>
      <c r="I16" s="928" t="n"/>
      <c r="J16" s="311" t="n"/>
      <c r="K16" s="1134" t="n"/>
    </row>
    <row r="17">
      <c r="A17" s="1134" t="n"/>
      <c r="B17" s="1134" t="n"/>
      <c r="C17" s="928" t="n"/>
      <c r="D17" s="928" t="n"/>
      <c r="E17" s="928" t="n"/>
      <c r="F17" s="928" t="n"/>
      <c r="G17" s="928" t="n"/>
      <c r="H17" s="928" t="n"/>
      <c r="I17" s="928" t="n"/>
      <c r="J17" s="928" t="n"/>
      <c r="K17" s="1134" t="n"/>
    </row>
    <row r="18" ht="15.6" customHeight="1">
      <c r="A18" s="1137" t="inlineStr">
        <is>
          <t>Cash Flow Build-up</t>
        </is>
      </c>
      <c r="J18" s="928" t="n"/>
      <c r="K18" s="1134" t="n"/>
    </row>
    <row r="19">
      <c r="A19" s="1193" t="inlineStr">
        <is>
          <t>Item</t>
        </is>
      </c>
      <c r="B19" s="967" t="inlineStr">
        <is>
          <t>FY26A</t>
        </is>
      </c>
      <c r="C19" s="967" t="inlineStr">
        <is>
          <t>FY27E</t>
        </is>
      </c>
      <c r="D19" s="967" t="inlineStr">
        <is>
          <t>FY28E</t>
        </is>
      </c>
      <c r="E19" s="967" t="inlineStr">
        <is>
          <t>FY29E</t>
        </is>
      </c>
      <c r="F19" s="967" t="inlineStr">
        <is>
          <t>FY30E</t>
        </is>
      </c>
      <c r="G19" s="967" t="inlineStr">
        <is>
          <t>FY31E</t>
        </is>
      </c>
      <c r="H19" s="967" t="inlineStr">
        <is>
          <t>FY32E</t>
        </is>
      </c>
      <c r="I19" s="967" t="inlineStr">
        <is>
          <t>FY33E</t>
        </is>
      </c>
      <c r="J19" s="269" t="inlineStr">
        <is>
          <t>Audit Code</t>
        </is>
      </c>
      <c r="K19" s="1134" t="n"/>
    </row>
    <row r="20">
      <c r="A20" s="1199" t="inlineStr">
        <is>
          <t>EBITDA</t>
        </is>
      </c>
      <c r="B20" s="1614">
        <f>C90</f>
        <v/>
      </c>
      <c r="C20" s="1614">
        <f>D90</f>
        <v/>
      </c>
      <c r="D20" s="1614">
        <f>E90</f>
        <v/>
      </c>
      <c r="E20" s="1614">
        <f>F90</f>
        <v/>
      </c>
      <c r="F20" s="1614">
        <f>G90</f>
        <v/>
      </c>
      <c r="G20" s="1614">
        <f>H90</f>
        <v/>
      </c>
      <c r="H20" s="1614">
        <f>I90</f>
        <v/>
      </c>
      <c r="I20" s="1614">
        <f>J90</f>
        <v/>
      </c>
      <c r="J20" s="860" t="n"/>
      <c r="K20" s="1134" t="n"/>
    </row>
    <row r="21">
      <c r="A21" s="1199" t="inlineStr">
        <is>
          <t>Less: Cash Taxes</t>
        </is>
      </c>
      <c r="B21" s="1614">
        <f>-C96</f>
        <v/>
      </c>
      <c r="C21" s="1614">
        <f>-D96</f>
        <v/>
      </c>
      <c r="D21" s="1614">
        <f>-E96</f>
        <v/>
      </c>
      <c r="E21" s="1614">
        <f>-F96</f>
        <v/>
      </c>
      <c r="F21" s="1614">
        <f>-G96</f>
        <v/>
      </c>
      <c r="G21" s="1614">
        <f>-H96</f>
        <v/>
      </c>
      <c r="H21" s="1614">
        <f>-I96</f>
        <v/>
      </c>
      <c r="I21" s="1614">
        <f>-J96</f>
        <v/>
      </c>
      <c r="J21" s="860" t="n"/>
      <c r="K21" s="1134" t="n"/>
    </row>
    <row r="22">
      <c r="A22" s="1199" t="inlineStr">
        <is>
          <t>Less: Change in Working Capital</t>
        </is>
      </c>
      <c r="B22" s="1614">
        <f>-C107</f>
        <v/>
      </c>
      <c r="C22" s="1614">
        <f>-D107</f>
        <v/>
      </c>
      <c r="D22" s="1614">
        <f>-E107</f>
        <v/>
      </c>
      <c r="E22" s="1614">
        <f>-F107</f>
        <v/>
      </c>
      <c r="F22" s="1614">
        <f>-G107</f>
        <v/>
      </c>
      <c r="G22" s="1614">
        <f>-H107</f>
        <v/>
      </c>
      <c r="H22" s="1614">
        <f>-I107</f>
        <v/>
      </c>
      <c r="I22" s="1614">
        <f>-J107</f>
        <v/>
      </c>
      <c r="J22" s="860" t="n"/>
      <c r="K22" s="1134" t="n"/>
    </row>
    <row r="23">
      <c r="A23" s="264" t="inlineStr">
        <is>
          <t>Operating Cash Flow (OCF)</t>
        </is>
      </c>
      <c r="B23" s="1719">
        <f>B22+B21+B20</f>
        <v/>
      </c>
      <c r="C23" s="1719">
        <f>C22+C21+C20</f>
        <v/>
      </c>
      <c r="D23" s="1719">
        <f>D22+D21+D20</f>
        <v/>
      </c>
      <c r="E23" s="1719">
        <f>E22+E21+E20</f>
        <v/>
      </c>
      <c r="F23" s="1719">
        <f>F22+F21+F20</f>
        <v/>
      </c>
      <c r="G23" s="1719">
        <f>G22+G21+G20</f>
        <v/>
      </c>
      <c r="H23" s="1719">
        <f>H22+H21+H20</f>
        <v/>
      </c>
      <c r="I23" s="1719">
        <f>I22+I21+I20</f>
        <v/>
      </c>
      <c r="J23" s="860" t="n"/>
      <c r="K23" s="1134" t="n"/>
    </row>
    <row r="24">
      <c r="A24" s="1199" t="inlineStr">
        <is>
          <t>Less: Maintenance Capex</t>
        </is>
      </c>
      <c r="B24" s="1614">
        <f>-C103</f>
        <v/>
      </c>
      <c r="C24" s="1614">
        <f>-D103</f>
        <v/>
      </c>
      <c r="D24" s="1614">
        <f>-E103</f>
        <v/>
      </c>
      <c r="E24" s="1614">
        <f>-F103</f>
        <v/>
      </c>
      <c r="F24" s="1614">
        <f>-G103</f>
        <v/>
      </c>
      <c r="G24" s="1614">
        <f>-H103</f>
        <v/>
      </c>
      <c r="H24" s="1614">
        <f>-I103</f>
        <v/>
      </c>
      <c r="I24" s="1614">
        <f>-J103</f>
        <v/>
      </c>
      <c r="J24" s="860" t="n"/>
      <c r="K24" s="1134" t="n"/>
    </row>
    <row r="25">
      <c r="A25" s="1199" t="inlineStr">
        <is>
          <t>Less: Growth Capex</t>
        </is>
      </c>
      <c r="B25" s="1614">
        <f>-C101</f>
        <v/>
      </c>
      <c r="C25" s="1614">
        <f>-D101</f>
        <v/>
      </c>
      <c r="D25" s="1614">
        <f>-E101</f>
        <v/>
      </c>
      <c r="E25" s="1614">
        <f>-F101</f>
        <v/>
      </c>
      <c r="F25" s="1614">
        <f>-G101</f>
        <v/>
      </c>
      <c r="G25" s="1614">
        <f>-H101</f>
        <v/>
      </c>
      <c r="H25" s="1614">
        <f>-I101</f>
        <v/>
      </c>
      <c r="I25" s="1614">
        <f>-J101</f>
        <v/>
      </c>
      <c r="J25" s="860" t="n"/>
      <c r="K25" s="1134" t="n"/>
    </row>
    <row r="26">
      <c r="A26" s="264" t="inlineStr">
        <is>
          <t>Free Cash Flow (FCFF)</t>
        </is>
      </c>
      <c r="B26" s="1720">
        <f>B23+B24+B25</f>
        <v/>
      </c>
      <c r="C26" s="1720">
        <f>C23+C24+C25</f>
        <v/>
      </c>
      <c r="D26" s="1720">
        <f>D23+D24+D25</f>
        <v/>
      </c>
      <c r="E26" s="1720">
        <f>E23+E24+E25</f>
        <v/>
      </c>
      <c r="F26" s="1720">
        <f>F23+F24+F25</f>
        <v/>
      </c>
      <c r="G26" s="1720">
        <f>G23+G24+G25</f>
        <v/>
      </c>
      <c r="H26" s="1720">
        <f>H23+H24+H25</f>
        <v/>
      </c>
      <c r="I26" s="1720">
        <f>I23+I24+I25</f>
        <v/>
      </c>
      <c r="J26" s="860" t="n"/>
      <c r="K26" s="1134" t="n"/>
    </row>
    <row r="27">
      <c r="A27" s="1134" t="n"/>
      <c r="B27" s="1134" t="n"/>
      <c r="C27" s="928" t="n"/>
      <c r="D27" s="928" t="n"/>
      <c r="E27" s="928" t="n"/>
      <c r="F27" s="928" t="n"/>
      <c r="G27" s="928" t="n"/>
      <c r="H27" s="928" t="n"/>
      <c r="I27" s="928" t="n"/>
      <c r="J27" s="928" t="n"/>
      <c r="K27" s="1134" t="n"/>
    </row>
    <row r="28">
      <c r="A28" s="1134" t="n"/>
      <c r="B28" s="1134" t="n"/>
      <c r="C28" s="928" t="n"/>
      <c r="D28" s="928" t="n"/>
      <c r="E28" s="928" t="n"/>
      <c r="F28" s="928" t="n"/>
      <c r="G28" s="928" t="n"/>
      <c r="H28" s="928" t="n"/>
      <c r="I28" s="928" t="n"/>
      <c r="J28" s="928" t="n"/>
      <c r="K28" s="1134" t="n"/>
    </row>
    <row r="29" ht="15.6" customHeight="1">
      <c r="A29" s="1137" t="inlineStr">
        <is>
          <t>Operating Cash Flow</t>
        </is>
      </c>
      <c r="J29" s="928" t="n"/>
      <c r="K29" s="1134" t="n"/>
    </row>
    <row r="30">
      <c r="A30" s="1193" t="inlineStr">
        <is>
          <t>Item</t>
        </is>
      </c>
      <c r="B30" s="967" t="inlineStr">
        <is>
          <t>FY26A</t>
        </is>
      </c>
      <c r="C30" s="967" t="inlineStr">
        <is>
          <t>FY27E</t>
        </is>
      </c>
      <c r="D30" s="967" t="inlineStr">
        <is>
          <t>FY28E</t>
        </is>
      </c>
      <c r="E30" s="967" t="inlineStr">
        <is>
          <t>FY29E</t>
        </is>
      </c>
      <c r="F30" s="967" t="inlineStr">
        <is>
          <t>FY30E</t>
        </is>
      </c>
      <c r="G30" s="967" t="inlineStr">
        <is>
          <t>FY31E</t>
        </is>
      </c>
      <c r="H30" s="967" t="inlineStr">
        <is>
          <t>FY32E</t>
        </is>
      </c>
      <c r="I30" s="967" t="inlineStr">
        <is>
          <t>FY33E</t>
        </is>
      </c>
      <c r="J30" s="928" t="n"/>
      <c r="K30" s="1134" t="n"/>
    </row>
    <row r="31">
      <c r="A31" s="1199" t="inlineStr">
        <is>
          <t>EBITDA</t>
        </is>
      </c>
      <c r="B31" s="1614">
        <f>C90</f>
        <v/>
      </c>
      <c r="C31" s="1614">
        <f>D90</f>
        <v/>
      </c>
      <c r="D31" s="1614">
        <f>E90</f>
        <v/>
      </c>
      <c r="E31" s="1614">
        <f>F90</f>
        <v/>
      </c>
      <c r="F31" s="1614">
        <f>G90</f>
        <v/>
      </c>
      <c r="G31" s="1614">
        <f>H90</f>
        <v/>
      </c>
      <c r="H31" s="1614">
        <f>I90</f>
        <v/>
      </c>
      <c r="I31" s="1614">
        <f>J90</f>
        <v/>
      </c>
      <c r="J31" s="928" t="n"/>
      <c r="K31" s="1134" t="n"/>
    </row>
    <row r="32">
      <c r="A32" s="1199" t="inlineStr">
        <is>
          <t>Cash Taxes</t>
        </is>
      </c>
      <c r="B32" s="1614">
        <f>-C96</f>
        <v/>
      </c>
      <c r="C32" s="1614">
        <f>-D96</f>
        <v/>
      </c>
      <c r="D32" s="1614">
        <f>-E96</f>
        <v/>
      </c>
      <c r="E32" s="1614">
        <f>-F96</f>
        <v/>
      </c>
      <c r="F32" s="1614">
        <f>-G96</f>
        <v/>
      </c>
      <c r="G32" s="1614">
        <f>-H96</f>
        <v/>
      </c>
      <c r="H32" s="1614">
        <f>-I96</f>
        <v/>
      </c>
      <c r="I32" s="1614">
        <f>-J96</f>
        <v/>
      </c>
      <c r="J32" s="928" t="n"/>
      <c r="K32" s="1134" t="n"/>
    </row>
    <row r="33">
      <c r="A33" s="1199" t="inlineStr">
        <is>
          <t>Working Capital Movement</t>
        </is>
      </c>
      <c r="B33" s="1614">
        <f>-C107</f>
        <v/>
      </c>
      <c r="C33" s="1614">
        <f>-D107</f>
        <v/>
      </c>
      <c r="D33" s="1614">
        <f>-E107</f>
        <v/>
      </c>
      <c r="E33" s="1614">
        <f>-F107</f>
        <v/>
      </c>
      <c r="F33" s="1614">
        <f>-G107</f>
        <v/>
      </c>
      <c r="G33" s="1614">
        <f>-H107</f>
        <v/>
      </c>
      <c r="H33" s="1614">
        <f>-I107</f>
        <v/>
      </c>
      <c r="I33" s="1614">
        <f>-J107</f>
        <v/>
      </c>
      <c r="J33" s="928" t="n"/>
      <c r="K33" s="1134" t="n"/>
    </row>
    <row r="34">
      <c r="A34" s="1199" t="inlineStr">
        <is>
          <t>Other Operating Cash Items</t>
        </is>
      </c>
      <c r="B34" s="981" t="n">
        <v>0</v>
      </c>
      <c r="C34" s="981" t="n">
        <v>0</v>
      </c>
      <c r="D34" s="981" t="n">
        <v>0</v>
      </c>
      <c r="E34" s="981" t="n">
        <v>0</v>
      </c>
      <c r="F34" s="981" t="n">
        <v>0</v>
      </c>
      <c r="G34" s="981" t="n">
        <v>0</v>
      </c>
      <c r="H34" s="981" t="n">
        <v>0</v>
      </c>
      <c r="I34" s="981" t="n">
        <v>0</v>
      </c>
      <c r="J34" s="928" t="n"/>
      <c r="K34" s="1134" t="n"/>
    </row>
    <row r="35">
      <c r="A35" s="264" t="inlineStr">
        <is>
          <t>Operating Cash Flow</t>
        </is>
      </c>
      <c r="B35" s="1720">
        <f>SUM(B31:B34)</f>
        <v/>
      </c>
      <c r="C35" s="1720">
        <f>SUM(C31:C34)</f>
        <v/>
      </c>
      <c r="D35" s="1720">
        <f>SUM(D31:D34)</f>
        <v/>
      </c>
      <c r="E35" s="1720">
        <f>SUM(E31:E34)</f>
        <v/>
      </c>
      <c r="F35" s="1720">
        <f>SUM(F31:F34)</f>
        <v/>
      </c>
      <c r="G35" s="1720">
        <f>SUM(G31:G34)</f>
        <v/>
      </c>
      <c r="H35" s="1720">
        <f>SUM(H31:H34)</f>
        <v/>
      </c>
      <c r="I35" s="1720">
        <f>SUM(I31:I34)</f>
        <v/>
      </c>
      <c r="J35" s="928" t="n"/>
      <c r="K35" s="1134" t="n"/>
    </row>
    <row r="36">
      <c r="A36" s="1134" t="n"/>
      <c r="B36" s="1134" t="n"/>
      <c r="C36" s="928" t="n"/>
      <c r="D36" s="928" t="n"/>
      <c r="E36" s="928" t="n"/>
      <c r="F36" s="928" t="n"/>
      <c r="G36" s="928" t="n"/>
      <c r="H36" s="928" t="n"/>
      <c r="I36" s="928" t="n"/>
      <c r="J36" s="928" t="n"/>
      <c r="K36" s="1134" t="n"/>
    </row>
    <row r="37">
      <c r="A37" s="1134" t="n"/>
      <c r="B37" s="1134" t="n"/>
      <c r="C37" s="928" t="n"/>
      <c r="D37" s="928" t="n"/>
      <c r="E37" s="928" t="n"/>
      <c r="F37" s="928" t="n"/>
      <c r="G37" s="928" t="n"/>
      <c r="H37" s="928" t="n"/>
      <c r="I37" s="928" t="n"/>
      <c r="J37" s="928" t="n"/>
      <c r="K37" s="1134" t="n"/>
    </row>
    <row r="38" ht="15.6" customHeight="1">
      <c r="A38" s="1137" t="inlineStr">
        <is>
          <t>Investing Cash Flow</t>
        </is>
      </c>
      <c r="J38" s="928" t="n"/>
      <c r="K38" s="1134" t="n"/>
    </row>
    <row r="39">
      <c r="A39" s="1193" t="inlineStr">
        <is>
          <t>Item</t>
        </is>
      </c>
      <c r="B39" s="967" t="inlineStr">
        <is>
          <t>FY26A</t>
        </is>
      </c>
      <c r="C39" s="967" t="inlineStr">
        <is>
          <t>FY27E</t>
        </is>
      </c>
      <c r="D39" s="967" t="inlineStr">
        <is>
          <t>FY28E</t>
        </is>
      </c>
      <c r="E39" s="967" t="inlineStr">
        <is>
          <t>FY29E</t>
        </is>
      </c>
      <c r="F39" s="967" t="inlineStr">
        <is>
          <t>FY30E</t>
        </is>
      </c>
      <c r="G39" s="967" t="inlineStr">
        <is>
          <t>FY31E</t>
        </is>
      </c>
      <c r="H39" s="967" t="inlineStr">
        <is>
          <t>FY32E</t>
        </is>
      </c>
      <c r="I39" s="967" t="inlineStr">
        <is>
          <t>FY33E</t>
        </is>
      </c>
      <c r="J39" s="928" t="n"/>
      <c r="K39" s="1134" t="n"/>
    </row>
    <row r="40">
      <c r="A40" s="1199" t="inlineStr">
        <is>
          <t>Maintenance Capex</t>
        </is>
      </c>
      <c r="B40" s="1614">
        <f>-C103</f>
        <v/>
      </c>
      <c r="C40" s="1614">
        <f>-D103</f>
        <v/>
      </c>
      <c r="D40" s="1614">
        <f>-E103</f>
        <v/>
      </c>
      <c r="E40" s="1614">
        <f>-F103</f>
        <v/>
      </c>
      <c r="F40" s="1614">
        <f>-G103</f>
        <v/>
      </c>
      <c r="G40" s="1614">
        <f>-H103</f>
        <v/>
      </c>
      <c r="H40" s="1614">
        <f>-I103</f>
        <v/>
      </c>
      <c r="I40" s="1614">
        <f>-J103</f>
        <v/>
      </c>
      <c r="J40" s="928" t="n"/>
      <c r="K40" s="1134" t="n"/>
    </row>
    <row r="41">
      <c r="A41" s="1199" t="inlineStr">
        <is>
          <t>Expansion Capex</t>
        </is>
      </c>
      <c r="B41" s="1614">
        <f>-C101</f>
        <v/>
      </c>
      <c r="C41" s="1614">
        <f>-D101</f>
        <v/>
      </c>
      <c r="D41" s="1614">
        <f>-E101</f>
        <v/>
      </c>
      <c r="E41" s="1614">
        <f>-F101</f>
        <v/>
      </c>
      <c r="F41" s="1614">
        <f>-G101</f>
        <v/>
      </c>
      <c r="G41" s="1614">
        <f>-H101</f>
        <v/>
      </c>
      <c r="H41" s="1614">
        <f>-I101</f>
        <v/>
      </c>
      <c r="I41" s="1614">
        <f>-J101</f>
        <v/>
      </c>
      <c r="J41" s="928" t="n"/>
      <c r="K41" s="1134" t="n"/>
    </row>
    <row r="42">
      <c r="A42" s="1199" t="inlineStr">
        <is>
          <t>Plant Upgrades</t>
        </is>
      </c>
      <c r="B42" s="981" t="n">
        <v>0</v>
      </c>
      <c r="C42" s="981" t="n">
        <v>0</v>
      </c>
      <c r="D42" s="981" t="n">
        <v>0</v>
      </c>
      <c r="E42" s="981" t="n">
        <v>0</v>
      </c>
      <c r="F42" s="981" t="n">
        <v>0</v>
      </c>
      <c r="G42" s="981" t="n">
        <v>0</v>
      </c>
      <c r="H42" s="981" t="n">
        <v>0</v>
      </c>
      <c r="I42" s="981" t="n">
        <v>0</v>
      </c>
      <c r="J42" s="928" t="n"/>
      <c r="K42" s="1134" t="n"/>
    </row>
    <row r="43">
      <c r="A43" s="1199" t="inlineStr">
        <is>
          <t>Other Investments</t>
        </is>
      </c>
      <c r="B43" s="981" t="n">
        <v>0</v>
      </c>
      <c r="C43" s="981" t="n">
        <v>0</v>
      </c>
      <c r="D43" s="981" t="n">
        <v>0</v>
      </c>
      <c r="E43" s="981" t="n">
        <v>0</v>
      </c>
      <c r="F43" s="981" t="n">
        <v>0</v>
      </c>
      <c r="G43" s="981" t="n">
        <v>0</v>
      </c>
      <c r="H43" s="981" t="n">
        <v>0</v>
      </c>
      <c r="I43" s="981" t="n">
        <v>0</v>
      </c>
      <c r="J43" s="928" t="n"/>
      <c r="K43" s="1134" t="n"/>
    </row>
    <row r="44">
      <c r="A44" s="264" t="inlineStr">
        <is>
          <t>Total Investing Cash Flow</t>
        </is>
      </c>
      <c r="B44" s="1720">
        <f>SUM(B40:B43)</f>
        <v/>
      </c>
      <c r="C44" s="1720">
        <f>SUM(C40:C43)</f>
        <v/>
      </c>
      <c r="D44" s="1720">
        <f>SUM(D40:D43)</f>
        <v/>
      </c>
      <c r="E44" s="1720">
        <f>SUM(E40:E43)</f>
        <v/>
      </c>
      <c r="F44" s="1720">
        <f>SUM(F40:F43)</f>
        <v/>
      </c>
      <c r="G44" s="1720">
        <f>SUM(G40:G43)</f>
        <v/>
      </c>
      <c r="H44" s="1720">
        <f>SUM(H40:H43)</f>
        <v/>
      </c>
      <c r="I44" s="1720">
        <f>SUM(I40:I43)</f>
        <v/>
      </c>
      <c r="J44" s="928" t="n"/>
      <c r="K44" s="1134" t="n"/>
    </row>
    <row r="45">
      <c r="A45" s="1134" t="n"/>
      <c r="B45" s="928" t="n"/>
      <c r="C45" s="928" t="n"/>
      <c r="D45" s="928" t="n"/>
      <c r="E45" s="928" t="n"/>
      <c r="F45" s="928" t="n"/>
      <c r="G45" s="928" t="n"/>
      <c r="H45" s="928" t="n"/>
      <c r="I45" s="928" t="n"/>
      <c r="J45" s="928" t="n"/>
      <c r="K45" s="1134" t="n"/>
    </row>
    <row r="46">
      <c r="A46" s="1134" t="n"/>
      <c r="B46" s="1134" t="n"/>
      <c r="C46" s="928" t="n"/>
      <c r="D46" s="928" t="n"/>
      <c r="E46" s="928" t="n"/>
      <c r="F46" s="928" t="n"/>
      <c r="G46" s="928" t="n"/>
      <c r="H46" s="928" t="n"/>
      <c r="I46" s="928" t="n"/>
      <c r="J46" s="928" t="n"/>
      <c r="K46" s="1134" t="n"/>
    </row>
    <row r="47" ht="15.6" customHeight="1">
      <c r="A47" s="1137" t="inlineStr">
        <is>
          <t>Financing Cash Flow</t>
        </is>
      </c>
      <c r="J47" s="928" t="n"/>
      <c r="K47" s="1134" t="n"/>
    </row>
    <row r="48">
      <c r="A48" s="1193" t="inlineStr">
        <is>
          <t>Item</t>
        </is>
      </c>
      <c r="B48" s="967" t="inlineStr">
        <is>
          <t>FY26A</t>
        </is>
      </c>
      <c r="C48" s="967" t="inlineStr">
        <is>
          <t>FY27E</t>
        </is>
      </c>
      <c r="D48" s="967" t="inlineStr">
        <is>
          <t>FY28E</t>
        </is>
      </c>
      <c r="E48" s="967" t="inlineStr">
        <is>
          <t>FY29E</t>
        </is>
      </c>
      <c r="F48" s="967" t="inlineStr">
        <is>
          <t>FY30E</t>
        </is>
      </c>
      <c r="G48" s="967" t="inlineStr">
        <is>
          <t>FY31E</t>
        </is>
      </c>
      <c r="H48" s="967" t="inlineStr">
        <is>
          <t>FY32E</t>
        </is>
      </c>
      <c r="I48" s="967" t="inlineStr">
        <is>
          <t>FY33E</t>
        </is>
      </c>
      <c r="J48" s="928" t="n"/>
      <c r="K48" s="1134" t="n"/>
    </row>
    <row r="49">
      <c r="A49" s="1199" t="inlineStr">
        <is>
          <t>Debt Raised</t>
        </is>
      </c>
      <c r="B49" s="982" t="n"/>
      <c r="C49" s="982" t="n"/>
      <c r="D49" s="982" t="n"/>
      <c r="E49" s="982" t="n"/>
      <c r="F49" s="982" t="n"/>
      <c r="G49" s="982" t="n"/>
      <c r="H49" s="982" t="n"/>
      <c r="I49" s="982" t="n"/>
      <c r="J49" s="928" t="n"/>
      <c r="K49" s="1134" t="n"/>
    </row>
    <row r="50">
      <c r="A50" s="1199" t="inlineStr">
        <is>
          <t>Debt Repaid</t>
        </is>
      </c>
      <c r="B50" s="982" t="n"/>
      <c r="C50" s="1721">
        <f>'Capital Allocation'!D79-'Capital Allocation'!D76</f>
        <v/>
      </c>
      <c r="D50" s="1721">
        <f>'Capital Allocation'!E79-'Capital Allocation'!E76</f>
        <v/>
      </c>
      <c r="E50" s="1721">
        <f>'Capital Allocation'!F79-'Capital Allocation'!F76</f>
        <v/>
      </c>
      <c r="F50" s="1721">
        <f>'Capital Allocation'!G79-'Capital Allocation'!G76</f>
        <v/>
      </c>
      <c r="G50" s="1721">
        <f>'Capital Allocation'!H79-'Capital Allocation'!H76</f>
        <v/>
      </c>
      <c r="H50" s="1721">
        <f>'Capital Allocation'!I79-'Capital Allocation'!I76</f>
        <v/>
      </c>
      <c r="I50" s="1721">
        <f>'Capital Allocation'!J79-'Capital Allocation'!J76</f>
        <v/>
      </c>
      <c r="J50" s="928" t="n"/>
      <c r="K50" s="1134" t="n"/>
    </row>
    <row r="51">
      <c r="A51" s="1199" t="inlineStr">
        <is>
          <t>Interest Paid</t>
        </is>
      </c>
      <c r="B51" s="1614">
        <f>-'Capital Allocation'!C78</f>
        <v/>
      </c>
      <c r="C51" s="1614">
        <f>-'Capital Allocation'!D78</f>
        <v/>
      </c>
      <c r="D51" s="1614">
        <f>-'Capital Allocation'!E78</f>
        <v/>
      </c>
      <c r="E51" s="1614">
        <f>-'Capital Allocation'!F78</f>
        <v/>
      </c>
      <c r="F51" s="1614">
        <f>-'Capital Allocation'!G78</f>
        <v/>
      </c>
      <c r="G51" s="1614">
        <f>-'Capital Allocation'!H78</f>
        <v/>
      </c>
      <c r="H51" s="1614">
        <f>-'Capital Allocation'!I78</f>
        <v/>
      </c>
      <c r="I51" s="1614">
        <f>-'Capital Allocation'!J78</f>
        <v/>
      </c>
      <c r="J51" s="928" t="n"/>
      <c r="K51" s="1134" t="n"/>
    </row>
    <row r="52">
      <c r="A52" s="1199" t="inlineStr">
        <is>
          <t>Dividends</t>
        </is>
      </c>
      <c r="B52" s="982" t="n"/>
      <c r="C52" s="982" t="n"/>
      <c r="D52" s="982" t="n"/>
      <c r="E52" s="982" t="n"/>
      <c r="F52" s="982" t="n"/>
      <c r="G52" s="982" t="n"/>
      <c r="H52" s="982" t="n"/>
      <c r="I52" s="982" t="n"/>
      <c r="J52" s="928" t="n"/>
      <c r="K52" s="1134" t="n"/>
    </row>
    <row r="53">
      <c r="A53" s="1199" t="inlineStr">
        <is>
          <t>Share Buybacks</t>
        </is>
      </c>
      <c r="B53" s="982" t="n"/>
      <c r="C53" s="982" t="n"/>
      <c r="D53" s="982" t="n"/>
      <c r="E53" s="982" t="n"/>
      <c r="F53" s="982" t="n"/>
      <c r="G53" s="982" t="n"/>
      <c r="H53" s="982" t="n"/>
      <c r="I53" s="982" t="n"/>
      <c r="J53" s="928" t="n"/>
      <c r="K53" s="1134" t="n"/>
    </row>
    <row r="54">
      <c r="A54" s="1199" t="inlineStr">
        <is>
          <t>Equity Raised</t>
        </is>
      </c>
      <c r="B54" s="982" t="n"/>
      <c r="C54" s="982" t="n"/>
      <c r="D54" s="982" t="n"/>
      <c r="E54" s="982" t="n"/>
      <c r="F54" s="982" t="n"/>
      <c r="G54" s="982" t="n"/>
      <c r="H54" s="982" t="n"/>
      <c r="I54" s="982" t="n"/>
      <c r="J54" s="928" t="n"/>
      <c r="K54" s="1134" t="n"/>
    </row>
    <row r="55">
      <c r="A55" s="264" t="inlineStr">
        <is>
          <t>Net Financing Cash Flow</t>
        </is>
      </c>
      <c r="B55" s="1720">
        <f>SUM(B49:B54)</f>
        <v/>
      </c>
      <c r="C55" s="1722">
        <f>SUM(C49:C54)</f>
        <v/>
      </c>
      <c r="D55" s="1722">
        <f>SUM(D49:D54)</f>
        <v/>
      </c>
      <c r="E55" s="1722">
        <f>SUM(E49:E54)</f>
        <v/>
      </c>
      <c r="F55" s="1722">
        <f>SUM(F49:F54)</f>
        <v/>
      </c>
      <c r="G55" s="1722">
        <f>SUM(G49:G54)</f>
        <v/>
      </c>
      <c r="H55" s="1722">
        <f>SUM(H49:H54)</f>
        <v/>
      </c>
      <c r="I55" s="1722">
        <f>SUM(I49:I54)</f>
        <v/>
      </c>
      <c r="J55" s="928" t="n"/>
      <c r="K55" s="1134" t="n"/>
    </row>
    <row r="56">
      <c r="A56" s="179" t="n"/>
      <c r="C56" s="696" t="n"/>
      <c r="D56" s="696" t="n"/>
      <c r="E56" s="696" t="n"/>
      <c r="F56" s="696" t="n"/>
      <c r="G56" s="696" t="n"/>
      <c r="H56" s="696" t="n"/>
      <c r="I56" s="262" t="n"/>
      <c r="J56" s="928" t="n"/>
      <c r="K56" s="1134" t="n"/>
    </row>
    <row r="57">
      <c r="A57" s="179" t="n"/>
      <c r="C57" s="696" t="n"/>
      <c r="D57" s="696" t="n"/>
      <c r="E57" s="696" t="n"/>
      <c r="F57" s="696" t="n"/>
      <c r="G57" s="696" t="n"/>
      <c r="H57" s="696" t="n"/>
      <c r="I57" s="262" t="n"/>
      <c r="J57" s="928" t="n"/>
      <c r="K57" s="1134" t="n"/>
    </row>
    <row r="58" ht="15.6" customHeight="1">
      <c r="A58" s="1137" t="inlineStr">
        <is>
          <t>Free Cash Flow Bridge</t>
        </is>
      </c>
      <c r="J58" s="928" t="n"/>
      <c r="K58" s="1134" t="n"/>
    </row>
    <row r="59">
      <c r="A59" s="1193" t="inlineStr">
        <is>
          <t>Driver</t>
        </is>
      </c>
      <c r="B59" s="967" t="inlineStr">
        <is>
          <t>FY26A</t>
        </is>
      </c>
      <c r="C59" s="967" t="inlineStr">
        <is>
          <t>FY27E</t>
        </is>
      </c>
      <c r="D59" s="967" t="inlineStr">
        <is>
          <t>FY28E</t>
        </is>
      </c>
      <c r="E59" s="967" t="inlineStr">
        <is>
          <t>FY29E</t>
        </is>
      </c>
      <c r="F59" s="967" t="inlineStr">
        <is>
          <t>FY30E</t>
        </is>
      </c>
      <c r="G59" s="967" t="inlineStr">
        <is>
          <t>FY31E</t>
        </is>
      </c>
      <c r="H59" s="967" t="inlineStr">
        <is>
          <t>FY32E</t>
        </is>
      </c>
      <c r="I59" s="967" t="inlineStr">
        <is>
          <t>FY33E</t>
        </is>
      </c>
      <c r="J59" s="928" t="n"/>
      <c r="K59" s="1134" t="n"/>
    </row>
    <row r="60">
      <c r="A60" s="1199" t="inlineStr">
        <is>
          <t>Previous FCF</t>
        </is>
      </c>
      <c r="B60" s="982" t="n"/>
      <c r="C60" s="1614">
        <f>C108</f>
        <v/>
      </c>
      <c r="D60" s="1614">
        <f>D108</f>
        <v/>
      </c>
      <c r="E60" s="1614">
        <f>E108</f>
        <v/>
      </c>
      <c r="F60" s="1614">
        <f>F108</f>
        <v/>
      </c>
      <c r="G60" s="1614">
        <f>G108</f>
        <v/>
      </c>
      <c r="H60" s="1614">
        <f>H108</f>
        <v/>
      </c>
      <c r="I60" s="1614">
        <f>I108</f>
        <v/>
      </c>
      <c r="J60" s="928" t="n"/>
      <c r="K60" s="1134" t="n"/>
    </row>
    <row r="61">
      <c r="A61" s="1199" t="inlineStr">
        <is>
          <t>EBITDA Effect</t>
        </is>
      </c>
      <c r="B61" s="982" t="n"/>
      <c r="C61" s="1685">
        <f>D90-C90</f>
        <v/>
      </c>
      <c r="D61" s="1685">
        <f>E90-D90</f>
        <v/>
      </c>
      <c r="E61" s="1685">
        <f>F90-E90</f>
        <v/>
      </c>
      <c r="F61" s="1685">
        <f>G90-F90</f>
        <v/>
      </c>
      <c r="G61" s="1685">
        <f>H90-G90</f>
        <v/>
      </c>
      <c r="H61" s="1685">
        <f>I90-H90</f>
        <v/>
      </c>
      <c r="I61" s="1685">
        <f>J90-I90</f>
        <v/>
      </c>
      <c r="J61" s="928" t="n"/>
      <c r="K61" s="1134" t="n"/>
    </row>
    <row r="62">
      <c r="A62" s="1199" t="inlineStr">
        <is>
          <t>Working Capital Effect</t>
        </is>
      </c>
      <c r="B62" s="982" t="n"/>
      <c r="C62" s="1685">
        <f>-(D107-C107)</f>
        <v/>
      </c>
      <c r="D62" s="1685">
        <f>-(E107-D107)</f>
        <v/>
      </c>
      <c r="E62" s="1685">
        <f>-(F107-E107)</f>
        <v/>
      </c>
      <c r="F62" s="1685">
        <f>-(G107-F107)</f>
        <v/>
      </c>
      <c r="G62" s="1685">
        <f>-(H107-G107)</f>
        <v/>
      </c>
      <c r="H62" s="1685">
        <f>-(I107-H107)</f>
        <v/>
      </c>
      <c r="I62" s="1685">
        <f>-(J107-I107)</f>
        <v/>
      </c>
      <c r="J62" s="928" t="n"/>
      <c r="K62" s="1134" t="n"/>
    </row>
    <row r="63">
      <c r="A63" s="1199" t="inlineStr">
        <is>
          <t>Capex Effect</t>
        </is>
      </c>
      <c r="B63" s="982" t="n"/>
      <c r="C63" s="1685">
        <f>-(D104-C104)</f>
        <v/>
      </c>
      <c r="D63" s="1685">
        <f>-(E104-D104)</f>
        <v/>
      </c>
      <c r="E63" s="1685">
        <f>-(F104-E104)</f>
        <v/>
      </c>
      <c r="F63" s="1685">
        <f>-(G104-F104)</f>
        <v/>
      </c>
      <c r="G63" s="1685">
        <f>-(H104-G104)</f>
        <v/>
      </c>
      <c r="H63" s="1685">
        <f>-(I104-H104)</f>
        <v/>
      </c>
      <c r="I63" s="1685">
        <f>-(J104-I104)</f>
        <v/>
      </c>
      <c r="J63" s="928" t="n"/>
      <c r="K63" s="1134" t="n"/>
    </row>
    <row r="64">
      <c r="A64" s="1199" t="inlineStr">
        <is>
          <t>Tax Effect</t>
        </is>
      </c>
      <c r="B64" s="982" t="n"/>
      <c r="C64" s="1685">
        <f>-(D96-C96)</f>
        <v/>
      </c>
      <c r="D64" s="1685">
        <f>-(E96-D96)</f>
        <v/>
      </c>
      <c r="E64" s="1685">
        <f>-(F96-E96)</f>
        <v/>
      </c>
      <c r="F64" s="1685">
        <f>-(G96-F96)</f>
        <v/>
      </c>
      <c r="G64" s="1685">
        <f>-(H96-G96)</f>
        <v/>
      </c>
      <c r="H64" s="1685">
        <f>-(I96-H96)</f>
        <v/>
      </c>
      <c r="I64" s="1685">
        <f>-(J96-I96)</f>
        <v/>
      </c>
      <c r="J64" s="928" t="n"/>
      <c r="K64" s="1134" t="n"/>
    </row>
    <row r="65">
      <c r="A65" s="1199" t="inlineStr">
        <is>
          <t>Other</t>
        </is>
      </c>
      <c r="B65" s="981" t="n"/>
      <c r="C65" s="704" t="n">
        <v>0</v>
      </c>
      <c r="D65" s="704" t="n">
        <v>0</v>
      </c>
      <c r="E65" s="704" t="n">
        <v>0</v>
      </c>
      <c r="F65" s="704" t="n">
        <v>0</v>
      </c>
      <c r="G65" s="704" t="n">
        <v>0</v>
      </c>
      <c r="H65" s="704" t="n">
        <v>0</v>
      </c>
      <c r="I65" s="704" t="n">
        <v>0</v>
      </c>
      <c r="J65" s="928" t="n"/>
      <c r="K65" s="1134" t="n"/>
    </row>
    <row r="66">
      <c r="A66" s="264" t="inlineStr">
        <is>
          <t>FCFF</t>
        </is>
      </c>
      <c r="B66" s="983" t="n"/>
      <c r="C66" s="1723">
        <f>SUM(C60:C65)</f>
        <v/>
      </c>
      <c r="D66" s="1723">
        <f>SUM(D60:D65)</f>
        <v/>
      </c>
      <c r="E66" s="1723">
        <f>SUM(E60:E65)</f>
        <v/>
      </c>
      <c r="F66" s="1723">
        <f>SUM(F60:F65)</f>
        <v/>
      </c>
      <c r="G66" s="1723">
        <f>SUM(G60:G65)</f>
        <v/>
      </c>
      <c r="H66" s="1723">
        <f>SUM(H60:H65)</f>
        <v/>
      </c>
      <c r="I66" s="1723">
        <f>SUM(I60:I65)</f>
        <v/>
      </c>
      <c r="J66" s="928" t="n"/>
      <c r="K66" s="1134" t="n"/>
    </row>
    <row r="67">
      <c r="A67" s="179" t="n"/>
      <c r="C67" s="696" t="n"/>
      <c r="D67" s="696" t="n"/>
      <c r="E67" s="696" t="n"/>
      <c r="F67" s="696" t="n"/>
      <c r="G67" s="696" t="n"/>
      <c r="H67" s="696" t="n"/>
      <c r="I67" s="262" t="n"/>
      <c r="J67" s="928" t="n"/>
      <c r="K67" s="1134" t="n"/>
    </row>
    <row r="68">
      <c r="A68" s="179" t="n"/>
      <c r="C68" s="696" t="n"/>
      <c r="D68" s="696" t="n"/>
      <c r="E68" s="696" t="n"/>
      <c r="F68" s="696" t="n"/>
      <c r="G68" s="696" t="n"/>
      <c r="H68" s="696" t="n"/>
      <c r="I68" s="262" t="n"/>
      <c r="J68" s="928" t="n"/>
      <c r="K68" s="1134" t="n"/>
    </row>
    <row r="69" ht="15.6" customHeight="1">
      <c r="A69" s="1137" t="inlineStr">
        <is>
          <t>Cash Generation</t>
        </is>
      </c>
      <c r="J69" s="928" t="n"/>
      <c r="K69" s="1134" t="n"/>
    </row>
    <row r="70">
      <c r="A70" s="1193" t="inlineStr">
        <is>
          <t>Item</t>
        </is>
      </c>
      <c r="B70" s="967" t="inlineStr">
        <is>
          <t>FY26A</t>
        </is>
      </c>
      <c r="C70" s="967" t="inlineStr">
        <is>
          <t>FY27E</t>
        </is>
      </c>
      <c r="D70" s="967" t="inlineStr">
        <is>
          <t>FY28E</t>
        </is>
      </c>
      <c r="E70" s="967" t="inlineStr">
        <is>
          <t>FY29E</t>
        </is>
      </c>
      <c r="F70" s="967" t="inlineStr">
        <is>
          <t>FY30E</t>
        </is>
      </c>
      <c r="G70" s="967" t="inlineStr">
        <is>
          <t>FY31E</t>
        </is>
      </c>
      <c r="H70" s="967" t="inlineStr">
        <is>
          <t>FY32E</t>
        </is>
      </c>
      <c r="I70" s="967" t="inlineStr">
        <is>
          <t>FY33E</t>
        </is>
      </c>
      <c r="J70" s="928" t="n"/>
      <c r="K70" s="1134" t="n"/>
    </row>
    <row r="71">
      <c r="A71" s="1199" t="inlineStr">
        <is>
          <t>EBITDA</t>
        </is>
      </c>
      <c r="B71" s="1614">
        <f>C90</f>
        <v/>
      </c>
      <c r="C71" s="1614">
        <f>D90</f>
        <v/>
      </c>
      <c r="D71" s="1614">
        <f>E90</f>
        <v/>
      </c>
      <c r="E71" s="1614">
        <f>F90</f>
        <v/>
      </c>
      <c r="F71" s="1614">
        <f>G90</f>
        <v/>
      </c>
      <c r="G71" s="1614">
        <f>H90</f>
        <v/>
      </c>
      <c r="H71" s="1614">
        <f>I90</f>
        <v/>
      </c>
      <c r="I71" s="1614">
        <f>J90</f>
        <v/>
      </c>
      <c r="J71" s="928" t="n"/>
      <c r="K71" s="1134" t="n"/>
    </row>
    <row r="72">
      <c r="A72" s="1199" t="inlineStr">
        <is>
          <t>Operating Cash Flow</t>
        </is>
      </c>
      <c r="B72" s="1614">
        <f>B35</f>
        <v/>
      </c>
      <c r="C72" s="1614">
        <f>C35</f>
        <v/>
      </c>
      <c r="D72" s="1614">
        <f>D35</f>
        <v/>
      </c>
      <c r="E72" s="1614">
        <f>E35</f>
        <v/>
      </c>
      <c r="F72" s="1614">
        <f>F35</f>
        <v/>
      </c>
      <c r="G72" s="1614">
        <f>G35</f>
        <v/>
      </c>
      <c r="H72" s="1614">
        <f>H35</f>
        <v/>
      </c>
      <c r="I72" s="1614">
        <f>I35</f>
        <v/>
      </c>
      <c r="J72" s="928" t="n"/>
      <c r="K72" s="1134" t="n"/>
    </row>
    <row r="73">
      <c r="A73" s="1199" t="inlineStr">
        <is>
          <t>OCF / EBITDA</t>
        </is>
      </c>
      <c r="B73" s="1624">
        <f>B72/B71</f>
        <v/>
      </c>
      <c r="C73" s="1624">
        <f>C72/C71</f>
        <v/>
      </c>
      <c r="D73" s="1624">
        <f>D72/D71</f>
        <v/>
      </c>
      <c r="E73" s="1624">
        <f>E72/E71</f>
        <v/>
      </c>
      <c r="F73" s="1624">
        <f>F72/F71</f>
        <v/>
      </c>
      <c r="G73" s="1624">
        <f>G72/G71</f>
        <v/>
      </c>
      <c r="H73" s="1624">
        <f>H72/H71</f>
        <v/>
      </c>
      <c r="I73" s="1624">
        <f>I72/I71</f>
        <v/>
      </c>
      <c r="J73" s="928" t="n"/>
      <c r="K73" s="1134" t="n"/>
    </row>
    <row r="74">
      <c r="A74" s="264" t="inlineStr">
        <is>
          <t>FCFF</t>
        </is>
      </c>
      <c r="B74" s="1724">
        <f>C108</f>
        <v/>
      </c>
      <c r="C74" s="1725">
        <f>D108</f>
        <v/>
      </c>
      <c r="D74" s="1725">
        <f>E108</f>
        <v/>
      </c>
      <c r="E74" s="1725">
        <f>F108</f>
        <v/>
      </c>
      <c r="F74" s="1725">
        <f>G108</f>
        <v/>
      </c>
      <c r="G74" s="1725">
        <f>H108</f>
        <v/>
      </c>
      <c r="H74" s="1725">
        <f>I108</f>
        <v/>
      </c>
      <c r="I74" s="1725">
        <f>J108</f>
        <v/>
      </c>
      <c r="J74" s="928" t="n"/>
      <c r="K74" s="1134" t="n"/>
    </row>
    <row r="75">
      <c r="A75" s="177" t="n"/>
      <c r="B75" s="262" t="n"/>
      <c r="C75" s="262" t="n"/>
      <c r="D75" s="262" t="n"/>
      <c r="E75" s="262" t="n"/>
      <c r="F75" s="696" t="n"/>
      <c r="G75" s="696" t="n"/>
      <c r="H75" s="696" t="n"/>
      <c r="I75" s="262" t="n"/>
      <c r="J75" s="928" t="n"/>
      <c r="K75" s="1134" t="n"/>
    </row>
    <row r="76">
      <c r="A76" s="177" t="n"/>
      <c r="B76" s="262" t="n"/>
      <c r="C76" s="262" t="n"/>
      <c r="D76" s="262" t="n"/>
      <c r="E76" s="262" t="n"/>
      <c r="F76" s="696" t="n"/>
      <c r="G76" s="696" t="n"/>
      <c r="H76" s="696" t="n"/>
      <c r="I76" s="262" t="n"/>
      <c r="J76" s="928" t="n"/>
      <c r="K76" s="1134" t="n"/>
    </row>
    <row r="77" ht="15.6" customHeight="1">
      <c r="A77" s="1137" t="inlineStr">
        <is>
          <t>Scenario Analysis</t>
        </is>
      </c>
      <c r="J77" s="928" t="n"/>
      <c r="K77" s="1134" t="n"/>
    </row>
    <row r="78">
      <c r="A78" s="1188" t="inlineStr">
        <is>
          <t>Year FCFF</t>
        </is>
      </c>
      <c r="B78" s="269" t="inlineStr">
        <is>
          <t>Base</t>
        </is>
      </c>
      <c r="C78" s="269" t="inlineStr">
        <is>
          <t>Bull</t>
        </is>
      </c>
      <c r="D78" s="269" t="inlineStr">
        <is>
          <t>Bear</t>
        </is>
      </c>
      <c r="E78" s="269" t="inlineStr">
        <is>
          <t>Stress</t>
        </is>
      </c>
      <c r="F78" s="928" t="n"/>
      <c r="G78" s="928" t="n"/>
      <c r="H78" s="928" t="n"/>
      <c r="I78" s="928" t="n"/>
      <c r="J78" s="928" t="n"/>
      <c r="K78" s="1134" t="n"/>
    </row>
    <row r="79">
      <c r="A79" s="1199" t="inlineStr">
        <is>
          <t>FY27</t>
        </is>
      </c>
      <c r="B79" s="199" t="n"/>
      <c r="C79" s="199" t="n"/>
      <c r="D79" s="199" t="n"/>
      <c r="E79" s="199" t="n"/>
      <c r="F79" s="928" t="n"/>
      <c r="G79" s="928" t="n"/>
      <c r="H79" s="928" t="n"/>
      <c r="I79" s="928" t="n"/>
      <c r="J79" s="928" t="n"/>
      <c r="K79" s="1134" t="n"/>
    </row>
    <row r="80">
      <c r="A80" s="1199" t="inlineStr">
        <is>
          <t>FY28</t>
        </is>
      </c>
      <c r="B80" s="199" t="n"/>
      <c r="C80" s="199" t="n"/>
      <c r="D80" s="199" t="n"/>
      <c r="E80" s="199" t="n"/>
      <c r="F80" s="928" t="n"/>
      <c r="G80" s="928" t="n"/>
      <c r="H80" s="928" t="n"/>
      <c r="I80" s="928" t="n"/>
      <c r="J80" s="928" t="n"/>
      <c r="K80" s="1134" t="n"/>
    </row>
    <row r="81">
      <c r="A81" s="1199" t="inlineStr">
        <is>
          <t>FY29</t>
        </is>
      </c>
      <c r="B81" s="199" t="n"/>
      <c r="C81" s="199" t="n"/>
      <c r="D81" s="199" t="n"/>
      <c r="E81" s="199" t="n"/>
      <c r="F81" s="928" t="n"/>
      <c r="G81" s="928" t="n"/>
      <c r="H81" s="928" t="n"/>
      <c r="I81" s="928" t="n"/>
      <c r="J81" s="928" t="n"/>
      <c r="K81" s="1134" t="n"/>
    </row>
    <row r="82">
      <c r="A82" s="1199" t="inlineStr">
        <is>
          <t>FY30</t>
        </is>
      </c>
      <c r="B82" s="199" t="n"/>
      <c r="C82" s="199" t="n"/>
      <c r="D82" s="199" t="n"/>
      <c r="E82" s="199" t="n"/>
      <c r="F82" s="928" t="n"/>
      <c r="G82" s="928" t="n"/>
      <c r="H82" s="928" t="n"/>
      <c r="I82" s="928" t="n"/>
      <c r="J82" s="928" t="n"/>
      <c r="K82" s="1134" t="n"/>
    </row>
    <row r="83">
      <c r="A83" s="1199" t="inlineStr">
        <is>
          <t>FY31</t>
        </is>
      </c>
      <c r="B83" s="199" t="n"/>
      <c r="C83" s="199" t="n"/>
      <c r="D83" s="199" t="n"/>
      <c r="E83" s="199" t="n"/>
      <c r="F83" s="928" t="n"/>
      <c r="G83" s="928" t="n"/>
      <c r="H83" s="928" t="n"/>
      <c r="I83" s="928" t="n"/>
      <c r="J83" s="928" t="n"/>
      <c r="K83" s="1134" t="n"/>
    </row>
    <row r="84">
      <c r="A84" s="1199" t="inlineStr">
        <is>
          <t>FY32</t>
        </is>
      </c>
      <c r="B84" s="199" t="n"/>
      <c r="C84" s="199" t="n"/>
      <c r="D84" s="199" t="n"/>
      <c r="E84" s="199" t="n"/>
      <c r="F84" s="928" t="n"/>
      <c r="G84" s="928" t="n"/>
      <c r="H84" s="928" t="n"/>
      <c r="I84" s="928" t="n"/>
      <c r="J84" s="928" t="n"/>
      <c r="K84" s="1134" t="n"/>
    </row>
    <row r="85">
      <c r="A85" s="1199" t="inlineStr">
        <is>
          <t>FY33</t>
        </is>
      </c>
      <c r="B85" s="199" t="n"/>
      <c r="C85" s="199" t="n"/>
      <c r="D85" s="199" t="n"/>
      <c r="E85" s="199" t="n"/>
      <c r="F85" s="928" t="n"/>
      <c r="G85" s="928" t="n"/>
      <c r="H85" s="928" t="n"/>
      <c r="I85" s="928" t="n"/>
      <c r="J85" s="928" t="n"/>
      <c r="K85" s="1134" t="n"/>
    </row>
    <row r="86">
      <c r="A86" s="179" t="n"/>
      <c r="B86" s="250" t="n"/>
      <c r="C86" s="250" t="n"/>
      <c r="D86" s="250" t="n"/>
      <c r="E86" s="250" t="n"/>
      <c r="F86" s="696" t="n"/>
      <c r="G86" s="696" t="n"/>
      <c r="H86" s="696" t="n"/>
      <c r="I86" s="262" t="n"/>
      <c r="J86" s="928" t="n"/>
      <c r="K86" s="1134" t="n"/>
    </row>
    <row r="87">
      <c r="A87" s="1134" t="n"/>
      <c r="B87" s="1134" t="n"/>
      <c r="C87" s="928" t="n"/>
      <c r="D87" s="928" t="n"/>
      <c r="E87" s="928" t="n"/>
      <c r="F87" s="928" t="n"/>
      <c r="G87" s="928" t="n"/>
      <c r="H87" s="928" t="n"/>
      <c r="I87" s="928" t="n"/>
      <c r="J87" s="928" t="n"/>
      <c r="K87" s="1134" t="n"/>
    </row>
    <row r="88" ht="15.6" customHeight="1">
      <c r="A88" s="1131" t="inlineStr">
        <is>
          <t>Workbook</t>
        </is>
      </c>
      <c r="B88" s="1342" t="n"/>
      <c r="C88" s="1342" t="n"/>
      <c r="D88" s="1342" t="n"/>
      <c r="E88" s="1342" t="n"/>
      <c r="F88" s="1342" t="n"/>
      <c r="G88" s="1342" t="n"/>
      <c r="H88" s="1342" t="n"/>
      <c r="I88" s="1342" t="n"/>
      <c r="J88" s="1342" t="n"/>
      <c r="K88" s="1360" t="n"/>
    </row>
    <row r="89">
      <c r="A89" s="1188" t="inlineStr">
        <is>
          <t>Line item</t>
        </is>
      </c>
      <c r="B89" s="269" t="inlineStr">
        <is>
          <t>Unit</t>
        </is>
      </c>
      <c r="C89" s="485" t="inlineStr">
        <is>
          <t>FY2026A</t>
        </is>
      </c>
      <c r="D89" s="485" t="inlineStr">
        <is>
          <t>FY2027E</t>
        </is>
      </c>
      <c r="E89" s="485" t="inlineStr">
        <is>
          <t>FY2028E</t>
        </is>
      </c>
      <c r="F89" s="485" t="inlineStr">
        <is>
          <t>FY2029E</t>
        </is>
      </c>
      <c r="G89" s="485" t="inlineStr">
        <is>
          <t>FY2030E</t>
        </is>
      </c>
      <c r="H89" s="485" t="inlineStr">
        <is>
          <t>FY2031E</t>
        </is>
      </c>
      <c r="I89" s="485" t="inlineStr">
        <is>
          <t>FY2032E</t>
        </is>
      </c>
      <c r="J89" s="485" t="inlineStr">
        <is>
          <t>FY2033E</t>
        </is>
      </c>
      <c r="K89" s="269" t="inlineStr">
        <is>
          <t>Audit Code</t>
        </is>
      </c>
    </row>
    <row r="90">
      <c r="A90" s="422" t="inlineStr">
        <is>
          <t>Industry EBITDA</t>
        </is>
      </c>
      <c r="B90" s="456" t="inlineStr">
        <is>
          <t>Rs cr</t>
        </is>
      </c>
      <c r="C90" s="1587">
        <f>'EBITDA Model'!C$103</f>
        <v/>
      </c>
      <c r="D90" s="1587">
        <f>'EBITDA Model'!D$103</f>
        <v/>
      </c>
      <c r="E90" s="1587">
        <f>'EBITDA Model'!E$103</f>
        <v/>
      </c>
      <c r="F90" s="1587">
        <f>'EBITDA Model'!F$103</f>
        <v/>
      </c>
      <c r="G90" s="1587">
        <f>'EBITDA Model'!G$103</f>
        <v/>
      </c>
      <c r="H90" s="1587">
        <f>'EBITDA Model'!H$103</f>
        <v/>
      </c>
      <c r="I90" s="1587">
        <f>'EBITDA Model'!I$103</f>
        <v/>
      </c>
      <c r="J90" s="1587">
        <f>'EBITDA Model'!J$103</f>
        <v/>
      </c>
      <c r="K90" s="990" t="n"/>
    </row>
    <row r="91">
      <c r="A91" s="1190" t="inlineStr">
        <is>
          <t>Industry revenue</t>
        </is>
      </c>
      <c r="B91" s="456" t="inlineStr">
        <is>
          <t>Rs cr</t>
        </is>
      </c>
      <c r="C91" s="1585">
        <f>'Revenue Forecast'!C$95</f>
        <v/>
      </c>
      <c r="D91" s="1585">
        <f>'Revenue Forecast'!D$95</f>
        <v/>
      </c>
      <c r="E91" s="1585">
        <f>'Revenue Forecast'!E$95</f>
        <v/>
      </c>
      <c r="F91" s="1585">
        <f>'Revenue Forecast'!F$95</f>
        <v/>
      </c>
      <c r="G91" s="1585">
        <f>'Revenue Forecast'!G$95</f>
        <v/>
      </c>
      <c r="H91" s="1585">
        <f>'Revenue Forecast'!H$95</f>
        <v/>
      </c>
      <c r="I91" s="1585">
        <f>'Revenue Forecast'!I$95</f>
        <v/>
      </c>
      <c r="J91" s="1585">
        <f>'Revenue Forecast'!J$95</f>
        <v/>
      </c>
      <c r="K91" s="990" t="n"/>
    </row>
    <row r="92">
      <c r="A92" s="1190" t="inlineStr">
        <is>
          <t>Depreciation and amortisation</t>
        </is>
      </c>
      <c r="B92" s="456" t="inlineStr">
        <is>
          <t>% of revenue</t>
        </is>
      </c>
      <c r="C92" s="1512">
        <f>'Model Assumptions'!E$33</f>
        <v/>
      </c>
      <c r="D92" s="1512">
        <f>'Model Assumptions'!E$33</f>
        <v/>
      </c>
      <c r="E92" s="1512">
        <f>'Model Assumptions'!F$33</f>
        <v/>
      </c>
      <c r="F92" s="1512">
        <f>'Model Assumptions'!G$33</f>
        <v/>
      </c>
      <c r="G92" s="1512">
        <f>'Model Assumptions'!H$33</f>
        <v/>
      </c>
      <c r="H92" s="1512">
        <f>'Model Assumptions'!I$33</f>
        <v/>
      </c>
      <c r="I92" s="1512">
        <f>'Model Assumptions'!J$33</f>
        <v/>
      </c>
      <c r="J92" s="1512">
        <f>'Model Assumptions'!K$33</f>
        <v/>
      </c>
      <c r="K92" s="421" t="n"/>
    </row>
    <row r="93">
      <c r="A93" s="1190" t="inlineStr">
        <is>
          <t>Depreciation and amortisation</t>
        </is>
      </c>
      <c r="B93" s="456" t="inlineStr">
        <is>
          <t>Rs cr</t>
        </is>
      </c>
      <c r="C93" s="1635">
        <f>C91*C92</f>
        <v/>
      </c>
      <c r="D93" s="1635">
        <f>D91*D92</f>
        <v/>
      </c>
      <c r="E93" s="1635">
        <f>E91*E92</f>
        <v/>
      </c>
      <c r="F93" s="1635">
        <f>F91*F92</f>
        <v/>
      </c>
      <c r="G93" s="1635">
        <f>G91*G92</f>
        <v/>
      </c>
      <c r="H93" s="1635">
        <f>H91*H92</f>
        <v/>
      </c>
      <c r="I93" s="1635">
        <f>I91*I92</f>
        <v/>
      </c>
      <c r="J93" s="1635">
        <f>J91*J92</f>
        <v/>
      </c>
      <c r="K93" s="421" t="n"/>
    </row>
    <row r="94">
      <c r="A94" s="1190" t="inlineStr">
        <is>
          <t>EBIT</t>
        </is>
      </c>
      <c r="B94" s="456" t="inlineStr">
        <is>
          <t>Rs cr</t>
        </is>
      </c>
      <c r="C94" s="1635">
        <f>C90-C93</f>
        <v/>
      </c>
      <c r="D94" s="1635">
        <f>D90-D93</f>
        <v/>
      </c>
      <c r="E94" s="1635">
        <f>E90-E93</f>
        <v/>
      </c>
      <c r="F94" s="1635">
        <f>F90-F93</f>
        <v/>
      </c>
      <c r="G94" s="1635">
        <f>G90-G93</f>
        <v/>
      </c>
      <c r="H94" s="1635">
        <f>H90-H93</f>
        <v/>
      </c>
      <c r="I94" s="1635">
        <f>I90-I93</f>
        <v/>
      </c>
      <c r="J94" s="1635">
        <f>J90-J93</f>
        <v/>
      </c>
      <c r="K94" s="990" t="n"/>
    </row>
    <row r="95">
      <c r="A95" s="1190" t="inlineStr">
        <is>
          <t>Effective tax rate</t>
        </is>
      </c>
      <c r="B95" s="456" t="inlineStr">
        <is>
          <t>%</t>
        </is>
      </c>
      <c r="C95" s="1468">
        <f>'Model Assumptions'!D$22</f>
        <v/>
      </c>
      <c r="D95" s="1468">
        <f>'Model Assumptions'!E$22</f>
        <v/>
      </c>
      <c r="E95" s="1468">
        <f>'Model Assumptions'!F$22</f>
        <v/>
      </c>
      <c r="F95" s="1468">
        <f>'Model Assumptions'!G$22</f>
        <v/>
      </c>
      <c r="G95" s="1468">
        <f>'Model Assumptions'!H$22</f>
        <v/>
      </c>
      <c r="H95" s="1468">
        <f>'Model Assumptions'!I$22</f>
        <v/>
      </c>
      <c r="I95" s="1468">
        <f>'Model Assumptions'!J$22</f>
        <v/>
      </c>
      <c r="J95" s="1468">
        <f>'Model Assumptions'!K$22</f>
        <v/>
      </c>
      <c r="K95" s="421" t="n"/>
    </row>
    <row r="96">
      <c r="A96" s="1190" t="inlineStr">
        <is>
          <t>Cash tax</t>
        </is>
      </c>
      <c r="B96" s="456" t="inlineStr">
        <is>
          <t>Rs cr</t>
        </is>
      </c>
      <c r="C96" s="1635">
        <f>MAX(0,C94)*C95</f>
        <v/>
      </c>
      <c r="D96" s="1635">
        <f>MAX(0,D94)*D95</f>
        <v/>
      </c>
      <c r="E96" s="1635">
        <f>MAX(0,E94)*E95</f>
        <v/>
      </c>
      <c r="F96" s="1635">
        <f>MAX(0,F94)*F95</f>
        <v/>
      </c>
      <c r="G96" s="1635">
        <f>MAX(0,G94)*G95</f>
        <v/>
      </c>
      <c r="H96" s="1635">
        <f>MAX(0,H94)*H95</f>
        <v/>
      </c>
      <c r="I96" s="1635">
        <f>MAX(0,I94)*I95</f>
        <v/>
      </c>
      <c r="J96" s="1635">
        <f>MAX(0,J94)*J95</f>
        <v/>
      </c>
      <c r="K96" s="421" t="n"/>
    </row>
    <row r="97">
      <c r="B97" s="107" t="n"/>
      <c r="K97" s="991" t="n"/>
    </row>
    <row r="98">
      <c r="A98" s="1135" t="inlineStr">
        <is>
          <t>CAPITAL EXPENDITURE</t>
        </is>
      </c>
      <c r="B98" s="1342" t="n"/>
      <c r="C98" s="1342" t="n"/>
      <c r="D98" s="1342" t="n"/>
      <c r="E98" s="1342" t="n"/>
      <c r="F98" s="1342" t="n"/>
      <c r="G98" s="1342" t="n"/>
      <c r="H98" s="1342" t="n"/>
      <c r="I98" s="1342" t="n"/>
      <c r="J98" s="1342" t="n"/>
      <c r="K98" s="1360" t="n"/>
    </row>
    <row r="99">
      <c r="A99" s="1190" t="inlineStr">
        <is>
          <t>Capacity added</t>
        </is>
      </c>
      <c r="B99" s="456" t="inlineStr">
        <is>
          <t>Mtpa</t>
        </is>
      </c>
      <c r="C99" s="1472">
        <f>'Capacity Forecast'!C$95</f>
        <v/>
      </c>
      <c r="D99" s="1472">
        <f>'Capacity Forecast'!D$95</f>
        <v/>
      </c>
      <c r="E99" s="1472">
        <f>'Capacity Forecast'!E$95</f>
        <v/>
      </c>
      <c r="F99" s="1472">
        <f>'Capacity Forecast'!F$95</f>
        <v/>
      </c>
      <c r="G99" s="1472">
        <f>'Capacity Forecast'!G$95</f>
        <v/>
      </c>
      <c r="H99" s="1472">
        <f>'Capacity Forecast'!H$95</f>
        <v/>
      </c>
      <c r="I99" s="1472">
        <f>'Capacity Forecast'!I$95</f>
        <v/>
      </c>
      <c r="J99" s="1472">
        <f>'Capacity Forecast'!J$95</f>
        <v/>
      </c>
      <c r="K99" s="421" t="n"/>
    </row>
    <row r="100">
      <c r="A100" s="1190" t="inlineStr">
        <is>
          <t>Capex intensity</t>
        </is>
      </c>
      <c r="B100" s="456" t="inlineStr">
        <is>
          <t>Rs/t of capacity</t>
        </is>
      </c>
      <c r="C100" s="1635">
        <f>'Model Assumptions'!D$23</f>
        <v/>
      </c>
      <c r="D100" s="1635">
        <f>'Model Assumptions'!E$23</f>
        <v/>
      </c>
      <c r="E100" s="1635">
        <f>'Model Assumptions'!F$23</f>
        <v/>
      </c>
      <c r="F100" s="1635">
        <f>'Model Assumptions'!G$23</f>
        <v/>
      </c>
      <c r="G100" s="1635">
        <f>'Model Assumptions'!H$23</f>
        <v/>
      </c>
      <c r="H100" s="1635">
        <f>'Model Assumptions'!I$23</f>
        <v/>
      </c>
      <c r="I100" s="1635">
        <f>'Model Assumptions'!J$23</f>
        <v/>
      </c>
      <c r="J100" s="1635">
        <f>'Model Assumptions'!K$23</f>
        <v/>
      </c>
      <c r="K100" s="421" t="n"/>
    </row>
    <row r="101">
      <c r="A101" s="1190" t="inlineStr">
        <is>
          <t>Growth capex</t>
        </is>
      </c>
      <c r="B101" s="456" t="inlineStr">
        <is>
          <t>Rs cr</t>
        </is>
      </c>
      <c r="C101" s="1635">
        <f>C99*C100/10</f>
        <v/>
      </c>
      <c r="D101" s="1635">
        <f>D99*D100/10</f>
        <v/>
      </c>
      <c r="E101" s="1635">
        <f>E99*E100/10</f>
        <v/>
      </c>
      <c r="F101" s="1635">
        <f>F99*F100/10</f>
        <v/>
      </c>
      <c r="G101" s="1635">
        <f>G99*G100/10</f>
        <v/>
      </c>
      <c r="H101" s="1635">
        <f>H99*H100/10</f>
        <v/>
      </c>
      <c r="I101" s="1635">
        <f>I99*I100/10</f>
        <v/>
      </c>
      <c r="J101" s="1635">
        <f>J99*J100/10</f>
        <v/>
      </c>
      <c r="K101" s="421" t="n"/>
    </row>
    <row r="102">
      <c r="A102" s="1190" t="inlineStr">
        <is>
          <t>Maintenance capex</t>
        </is>
      </c>
      <c r="B102" s="456" t="inlineStr">
        <is>
          <t>% of revenue</t>
        </is>
      </c>
      <c r="C102" s="1468">
        <f>'Model Assumptions'!D$24</f>
        <v/>
      </c>
      <c r="D102" s="1468">
        <f>'Model Assumptions'!E$24</f>
        <v/>
      </c>
      <c r="E102" s="1468">
        <f>'Model Assumptions'!F$24</f>
        <v/>
      </c>
      <c r="F102" s="1468">
        <f>'Model Assumptions'!G$24</f>
        <v/>
      </c>
      <c r="G102" s="1468">
        <f>'Model Assumptions'!H$24</f>
        <v/>
      </c>
      <c r="H102" s="1468">
        <f>'Model Assumptions'!I$24</f>
        <v/>
      </c>
      <c r="I102" s="1468">
        <f>'Model Assumptions'!J$24</f>
        <v/>
      </c>
      <c r="J102" s="1468">
        <f>'Model Assumptions'!K$24</f>
        <v/>
      </c>
      <c r="K102" s="421" t="n"/>
    </row>
    <row r="103">
      <c r="A103" s="1190" t="inlineStr">
        <is>
          <t>Maintenance capex</t>
        </is>
      </c>
      <c r="B103" s="456" t="inlineStr">
        <is>
          <t>Rs cr</t>
        </is>
      </c>
      <c r="C103" s="1635">
        <f>C91*C102</f>
        <v/>
      </c>
      <c r="D103" s="1635">
        <f>D91*D102</f>
        <v/>
      </c>
      <c r="E103" s="1635">
        <f>E91*E102</f>
        <v/>
      </c>
      <c r="F103" s="1635">
        <f>F91*F102</f>
        <v/>
      </c>
      <c r="G103" s="1635">
        <f>G91*G102</f>
        <v/>
      </c>
      <c r="H103" s="1635">
        <f>H91*H102</f>
        <v/>
      </c>
      <c r="I103" s="1635">
        <f>I91*I102</f>
        <v/>
      </c>
      <c r="J103" s="1635">
        <f>J91*J102</f>
        <v/>
      </c>
      <c r="K103" s="421" t="n"/>
    </row>
    <row r="104">
      <c r="A104" s="422" t="inlineStr">
        <is>
          <t>Total capex</t>
        </is>
      </c>
      <c r="B104" s="456" t="inlineStr">
        <is>
          <t>Rs cr</t>
        </is>
      </c>
      <c r="C104" s="1587">
        <f>C101+C103</f>
        <v/>
      </c>
      <c r="D104" s="1587">
        <f>D101+D103</f>
        <v/>
      </c>
      <c r="E104" s="1587">
        <f>E101+E103</f>
        <v/>
      </c>
      <c r="F104" s="1587">
        <f>F101+F103</f>
        <v/>
      </c>
      <c r="G104" s="1587">
        <f>G101+G103</f>
        <v/>
      </c>
      <c r="H104" s="1587">
        <f>H101+H103</f>
        <v/>
      </c>
      <c r="I104" s="1587">
        <f>I101+I103</f>
        <v/>
      </c>
      <c r="J104" s="1587">
        <f>J101+J103</f>
        <v/>
      </c>
      <c r="K104" s="421" t="n"/>
    </row>
    <row r="105">
      <c r="B105" s="107" t="n"/>
      <c r="K105" s="991" t="n"/>
    </row>
    <row r="106">
      <c r="A106" s="1135" t="inlineStr">
        <is>
          <t>FREE CASH FLOW</t>
        </is>
      </c>
      <c r="B106" s="1342" t="n"/>
      <c r="C106" s="1342" t="n"/>
      <c r="D106" s="1342" t="n"/>
      <c r="E106" s="1342" t="n"/>
      <c r="F106" s="1342" t="n"/>
      <c r="G106" s="1342" t="n"/>
      <c r="H106" s="1342" t="n"/>
      <c r="I106" s="1342" t="n"/>
      <c r="J106" s="1342" t="n"/>
      <c r="K106" s="1360" t="n"/>
    </row>
    <row r="107">
      <c r="A107" s="1190" t="inlineStr">
        <is>
          <t>Change in net working capital</t>
        </is>
      </c>
      <c r="B107" s="456" t="inlineStr">
        <is>
          <t>Rs cr</t>
        </is>
      </c>
      <c r="C107" s="1635">
        <f>'Working Capital Model'!C$72</f>
        <v/>
      </c>
      <c r="D107" s="1635">
        <f>'Working Capital Model'!D$72</f>
        <v/>
      </c>
      <c r="E107" s="1635">
        <f>'Working Capital Model'!E$72</f>
        <v/>
      </c>
      <c r="F107" s="1635">
        <f>'Working Capital Model'!F$72</f>
        <v/>
      </c>
      <c r="G107" s="1635">
        <f>'Working Capital Model'!G$72</f>
        <v/>
      </c>
      <c r="H107" s="1635">
        <f>'Working Capital Model'!H$72</f>
        <v/>
      </c>
      <c r="I107" s="1635">
        <f>'Working Capital Model'!I$72</f>
        <v/>
      </c>
      <c r="J107" s="1635">
        <f>'Working Capital Model'!J$72</f>
        <v/>
      </c>
      <c r="K107" s="421" t="n"/>
    </row>
    <row r="108">
      <c r="A108" s="422" t="inlineStr">
        <is>
          <t>UNLEVERED FREE CASH FLOW</t>
        </is>
      </c>
      <c r="B108" s="456" t="inlineStr">
        <is>
          <t>Rs cr</t>
        </is>
      </c>
      <c r="C108" s="1587">
        <f>C90-C96-C104-C107</f>
        <v/>
      </c>
      <c r="D108" s="1587">
        <f>D90-D96-D104-D107</f>
        <v/>
      </c>
      <c r="E108" s="1587">
        <f>E90-E96-E104-E107</f>
        <v/>
      </c>
      <c r="F108" s="1587">
        <f>F90-F96-F104-F107</f>
        <v/>
      </c>
      <c r="G108" s="1587">
        <f>G90-G96-G104-G107</f>
        <v/>
      </c>
      <c r="H108" s="1587">
        <f>H90-H96-H104-H107</f>
        <v/>
      </c>
      <c r="I108" s="1587">
        <f>I90-I96-I104-I107</f>
        <v/>
      </c>
      <c r="J108" s="1587">
        <f>J90-J96-J104-J107</f>
        <v/>
      </c>
      <c r="K108" s="421" t="n"/>
    </row>
    <row r="109">
      <c r="A109" s="1190" t="inlineStr">
        <is>
          <t>FCF conversion</t>
        </is>
      </c>
      <c r="B109" s="456" t="inlineStr">
        <is>
          <t>% of EBITDA</t>
        </is>
      </c>
      <c r="C109" s="1468">
        <f>IFERROR(C108/C90,"")</f>
        <v/>
      </c>
      <c r="D109" s="1468">
        <f>IFERROR(D108/D90,"")</f>
        <v/>
      </c>
      <c r="E109" s="1468">
        <f>IFERROR(E108/E90,"")</f>
        <v/>
      </c>
      <c r="F109" s="1468">
        <f>IFERROR(F108/F90,"")</f>
        <v/>
      </c>
      <c r="G109" s="1468">
        <f>IFERROR(G108/G90,"")</f>
        <v/>
      </c>
      <c r="H109" s="1468">
        <f>IFERROR(H108/H90,"")</f>
        <v/>
      </c>
      <c r="I109" s="1468">
        <f>IFERROR(I108/I90,"")</f>
        <v/>
      </c>
      <c r="J109" s="1468">
        <f>IFERROR(J108/J90,"")</f>
        <v/>
      </c>
      <c r="K109" s="421" t="n"/>
    </row>
    <row r="111">
      <c r="A111" s="1132" t="inlineStr">
        <is>
          <t>This is an INDUSTRY aggregate. For a single-name DCF, substitute that company's volume, realisation spread, cost spread, capex programme and working capital, all of which are already isolated as separate lines in this workbook.</t>
        </is>
      </c>
    </row>
  </sheetData>
  <mergeCells count="17">
    <mergeCell ref="A29:I29"/>
    <mergeCell ref="A7:I7"/>
    <mergeCell ref="A88:K88"/>
    <mergeCell ref="J4:K4"/>
    <mergeCell ref="A47:I47"/>
    <mergeCell ref="A1:K1"/>
    <mergeCell ref="A18:I18"/>
    <mergeCell ref="A2:G2"/>
    <mergeCell ref="A98:K98"/>
    <mergeCell ref="H4:I4"/>
    <mergeCell ref="A77:I77"/>
    <mergeCell ref="A69:I69"/>
    <mergeCell ref="A58:I58"/>
    <mergeCell ref="A5:K5"/>
    <mergeCell ref="A38:I38"/>
    <mergeCell ref="A111:K111"/>
    <mergeCell ref="A106:K106"/>
  </mergeCells>
  <pageMargins left="0.7" right="0.7" top="0.75" bottom="0.75" header="0.3" footer="0.3"/>
</worksheet>
</file>

<file path=xl/worksheets/sheet22.xml><?xml version="1.0" encoding="utf-8"?>
<worksheet xmlns="http://schemas.openxmlformats.org/spreadsheetml/2006/main">
  <sheetPr codeName="Sheet22">
    <tabColor rgb="FF002060"/>
    <outlinePr summaryBelow="1" summaryRight="1"/>
    <pageSetUpPr/>
  </sheetPr>
  <dimension ref="A1:L88"/>
  <sheetViews>
    <sheetView showGridLines="0" topLeftCell="A66" workbookViewId="0">
      <selection activeCell="I3" sqref="I3:L3"/>
    </sheetView>
  </sheetViews>
  <sheetFormatPr baseColWidth="8" defaultRowHeight="14.4"/>
  <cols>
    <col width="38.77734375" customWidth="1" style="1262" min="1" max="1"/>
    <col width="13.33203125" customWidth="1" style="729" min="2" max="9"/>
    <col width="12" customWidth="1" style="729" min="10" max="10"/>
    <col width="11.33203125" customWidth="1" style="1262" min="11" max="11"/>
    <col width="8.88671875" customWidth="1" style="1262" min="12" max="16384"/>
  </cols>
  <sheetData>
    <row r="1" ht="25.8" customHeight="1">
      <c r="A1" s="1133" t="inlineStr">
        <is>
          <t>CAPITAL ALLOCATION</t>
        </is>
      </c>
    </row>
    <row r="2" ht="15" customHeight="1" thickBot="1">
      <c r="A2" s="1136" t="inlineStr">
        <is>
          <t>Industry Financial Model  |  Indian Steel Industry  |  Horizon FY2027E-FY2033E  |  Base year FY2026A</t>
        </is>
      </c>
    </row>
    <row r="3" ht="16.2" customHeight="1" thickBot="1">
      <c r="A3" s="1167" t="n"/>
      <c r="I3" s="1407" t="inlineStr">
        <is>
          <t>Active Scenario</t>
        </is>
      </c>
      <c r="J3" s="1401" t="n"/>
      <c r="K3" s="760">
        <f>'Control Panel'!$E$17</f>
        <v/>
      </c>
      <c r="L3" s="1354" t="n"/>
    </row>
    <row r="4">
      <c r="A4" s="1145" t="inlineStr">
        <is>
          <t>OBJECTIVE</t>
        </is>
      </c>
    </row>
    <row r="5">
      <c r="A5" s="1134" t="inlineStr">
        <is>
          <t>Forecast how the Indian steel industry allocates free cash flow across growth investments, debt reduction, shareholder returns, acquisitions, and liquidity.</t>
        </is>
      </c>
    </row>
    <row r="6">
      <c r="A6" s="1134" t="n"/>
      <c r="B6" s="928" t="n"/>
      <c r="C6" s="928" t="n"/>
      <c r="D6" s="928" t="n"/>
      <c r="E6" s="928" t="n"/>
      <c r="F6" s="928" t="n"/>
      <c r="G6" s="928" t="n"/>
      <c r="H6" s="928" t="n"/>
      <c r="I6" s="928" t="n"/>
      <c r="J6" s="928" t="n"/>
    </row>
    <row r="7" ht="15.6" customHeight="1">
      <c r="A7" s="1137" t="inlineStr">
        <is>
          <t>Executive Summary</t>
        </is>
      </c>
      <c r="J7" s="928" t="n"/>
    </row>
    <row r="8">
      <c r="A8" s="1193" t="inlineStr">
        <is>
          <t>KPI</t>
        </is>
      </c>
      <c r="B8" s="967" t="inlineStr">
        <is>
          <t>FY26A</t>
        </is>
      </c>
      <c r="C8" s="967" t="inlineStr">
        <is>
          <t>FY27E</t>
        </is>
      </c>
      <c r="D8" s="967" t="inlineStr">
        <is>
          <t>FY28E</t>
        </is>
      </c>
      <c r="E8" s="967" t="inlineStr">
        <is>
          <t>FY29E</t>
        </is>
      </c>
      <c r="F8" s="967" t="inlineStr">
        <is>
          <t>FY30E</t>
        </is>
      </c>
      <c r="G8" s="967" t="inlineStr">
        <is>
          <t>FY31E</t>
        </is>
      </c>
      <c r="H8" s="967" t="inlineStr">
        <is>
          <t>FY32E</t>
        </is>
      </c>
      <c r="I8" s="967" t="inlineStr">
        <is>
          <t>FY33E</t>
        </is>
      </c>
      <c r="J8" s="269" t="inlineStr">
        <is>
          <t>Audit Code</t>
        </is>
      </c>
    </row>
    <row r="9">
      <c r="A9" s="1199" t="inlineStr">
        <is>
          <t>Free Cash Flow (₹ Cr)</t>
        </is>
      </c>
      <c r="B9" s="982" t="n"/>
      <c r="C9" s="1609">
        <f>'Cash Flow Model'!D108</f>
        <v/>
      </c>
      <c r="D9" s="1609">
        <f>'Cash Flow Model'!E108</f>
        <v/>
      </c>
      <c r="E9" s="1609">
        <f>'Cash Flow Model'!F108</f>
        <v/>
      </c>
      <c r="F9" s="1609">
        <f>'Cash Flow Model'!G108</f>
        <v/>
      </c>
      <c r="G9" s="1609">
        <f>'Cash Flow Model'!H108</f>
        <v/>
      </c>
      <c r="H9" s="1609">
        <f>'Cash Flow Model'!I108</f>
        <v/>
      </c>
      <c r="I9" s="1609">
        <f>'Cash Flow Model'!J108</f>
        <v/>
      </c>
      <c r="J9" s="860" t="n"/>
    </row>
    <row r="10">
      <c r="A10" s="1199" t="inlineStr">
        <is>
          <t>Growth Capex</t>
        </is>
      </c>
      <c r="B10" s="1609">
        <f>'Cash Flow Model'!C101</f>
        <v/>
      </c>
      <c r="C10" s="1609">
        <f>'Cash Flow Model'!D101</f>
        <v/>
      </c>
      <c r="D10" s="1609">
        <f>'Cash Flow Model'!E101</f>
        <v/>
      </c>
      <c r="E10" s="1609">
        <f>'Cash Flow Model'!F101</f>
        <v/>
      </c>
      <c r="F10" s="1609">
        <f>'Cash Flow Model'!G101</f>
        <v/>
      </c>
      <c r="G10" s="1609">
        <f>'Cash Flow Model'!H101</f>
        <v/>
      </c>
      <c r="H10" s="1609">
        <f>'Cash Flow Model'!I101</f>
        <v/>
      </c>
      <c r="I10" s="1609">
        <f>'Cash Flow Model'!J101</f>
        <v/>
      </c>
      <c r="J10" s="860" t="n"/>
    </row>
    <row r="11">
      <c r="A11" s="1199" t="inlineStr">
        <is>
          <t>Maintenance Capex</t>
        </is>
      </c>
      <c r="B11" s="1609">
        <f>'Cash Flow Model'!C103</f>
        <v/>
      </c>
      <c r="C11" s="1609">
        <f>'Cash Flow Model'!D103</f>
        <v/>
      </c>
      <c r="D11" s="1609">
        <f>'Cash Flow Model'!E103</f>
        <v/>
      </c>
      <c r="E11" s="1609">
        <f>'Cash Flow Model'!F103</f>
        <v/>
      </c>
      <c r="F11" s="1609">
        <f>'Cash Flow Model'!G103</f>
        <v/>
      </c>
      <c r="G11" s="1609">
        <f>'Cash Flow Model'!H103</f>
        <v/>
      </c>
      <c r="H11" s="1609">
        <f>'Cash Flow Model'!I103</f>
        <v/>
      </c>
      <c r="I11" s="1609">
        <f>'Cash Flow Model'!J103</f>
        <v/>
      </c>
      <c r="J11" s="860" t="n"/>
    </row>
    <row r="12">
      <c r="A12" s="1199" t="inlineStr">
        <is>
          <t>Debt Reduction</t>
        </is>
      </c>
      <c r="B12" s="982" t="n"/>
      <c r="C12" s="1685">
        <f>D79-D76</f>
        <v/>
      </c>
      <c r="D12" s="1685">
        <f>E79-E76</f>
        <v/>
      </c>
      <c r="E12" s="1685">
        <f>F79-F76</f>
        <v/>
      </c>
      <c r="F12" s="1685">
        <f>G79-G76</f>
        <v/>
      </c>
      <c r="G12" s="1685">
        <f>H79-H76</f>
        <v/>
      </c>
      <c r="H12" s="1685">
        <f>I79-I76</f>
        <v/>
      </c>
      <c r="I12" s="1685">
        <f>J79-J76</f>
        <v/>
      </c>
      <c r="J12" s="860" t="n"/>
    </row>
    <row r="13">
      <c r="A13" s="1199" t="inlineStr">
        <is>
          <t>Dividends</t>
        </is>
      </c>
      <c r="B13" s="982" t="n"/>
      <c r="C13" s="982" t="n"/>
      <c r="D13" s="982" t="n"/>
      <c r="E13" s="982" t="n"/>
      <c r="F13" s="982" t="n"/>
      <c r="G13" s="982" t="n"/>
      <c r="H13" s="982" t="n"/>
      <c r="I13" s="982" t="n"/>
      <c r="J13" s="860" t="n"/>
    </row>
    <row r="14">
      <c r="A14" s="1199" t="inlineStr">
        <is>
          <t>Share Buybacks</t>
        </is>
      </c>
      <c r="B14" s="982" t="n"/>
      <c r="C14" s="982" t="n"/>
      <c r="D14" s="982" t="n"/>
      <c r="E14" s="982" t="n"/>
      <c r="F14" s="982" t="n"/>
      <c r="G14" s="982" t="n"/>
      <c r="H14" s="982" t="n"/>
      <c r="I14" s="982" t="n"/>
      <c r="J14" s="860" t="n"/>
    </row>
    <row r="15">
      <c r="A15" s="1199" t="inlineStr">
        <is>
          <t>M&amp;A Investment</t>
        </is>
      </c>
      <c r="B15" s="982" t="n"/>
      <c r="C15" s="982" t="n"/>
      <c r="D15" s="982" t="n"/>
      <c r="E15" s="982" t="n"/>
      <c r="F15" s="982" t="n"/>
      <c r="G15" s="982" t="n"/>
      <c r="H15" s="982" t="n"/>
      <c r="I15" s="982" t="n"/>
      <c r="J15" s="860" t="n"/>
    </row>
    <row r="16">
      <c r="A16" s="1199" t="inlineStr">
        <is>
          <t>Cash Retained</t>
        </is>
      </c>
      <c r="B16" s="996" t="n"/>
      <c r="C16" s="1726">
        <f>D78-D77-(D79-D76)</f>
        <v/>
      </c>
      <c r="D16" s="1726">
        <f>E78-E77-(E79-E76)</f>
        <v/>
      </c>
      <c r="E16" s="1726">
        <f>F78-F77-(F79-F76)</f>
        <v/>
      </c>
      <c r="F16" s="1726">
        <f>G78-G77-(G79-G76)</f>
        <v/>
      </c>
      <c r="G16" s="1726">
        <f>H78-H77-(H79-H76)</f>
        <v/>
      </c>
      <c r="H16" s="1726">
        <f>I78-I77-(I79-I76)</f>
        <v/>
      </c>
      <c r="I16" s="1726">
        <f>J78-J77-(J79-J76)</f>
        <v/>
      </c>
      <c r="J16" s="860" t="n"/>
    </row>
    <row r="17">
      <c r="A17" s="1134" t="n"/>
      <c r="B17" s="928" t="n"/>
      <c r="C17" s="928" t="n"/>
      <c r="D17" s="928" t="n"/>
      <c r="E17" s="928" t="n"/>
      <c r="F17" s="928" t="n"/>
      <c r="G17" s="928" t="n"/>
      <c r="H17" s="928" t="n"/>
      <c r="I17" s="928" t="n"/>
      <c r="J17" s="928" t="n"/>
    </row>
    <row r="18">
      <c r="A18" s="1134" t="n"/>
      <c r="B18" s="928" t="n"/>
      <c r="C18" s="928" t="n"/>
      <c r="D18" s="928" t="n"/>
      <c r="E18" s="928" t="n"/>
      <c r="F18" s="928" t="n"/>
      <c r="G18" s="928" t="n"/>
      <c r="H18" s="928" t="n"/>
      <c r="I18" s="928" t="n"/>
      <c r="J18" s="928" t="n"/>
    </row>
    <row r="19" ht="15.6" customHeight="1">
      <c r="A19" s="1137" t="inlineStr">
        <is>
          <t>Capital Allocation Waterfall</t>
        </is>
      </c>
      <c r="J19" s="928" t="n"/>
    </row>
    <row r="20">
      <c r="A20" s="1193" t="inlineStr">
        <is>
          <t>Item</t>
        </is>
      </c>
      <c r="B20" s="967" t="inlineStr">
        <is>
          <t>FY27E</t>
        </is>
      </c>
      <c r="C20" s="967" t="inlineStr">
        <is>
          <t>FY28E</t>
        </is>
      </c>
      <c r="D20" s="967" t="inlineStr">
        <is>
          <t>FY29E</t>
        </is>
      </c>
      <c r="E20" s="967" t="inlineStr">
        <is>
          <t>FY30E</t>
        </is>
      </c>
      <c r="F20" s="967" t="inlineStr">
        <is>
          <t>FY31E</t>
        </is>
      </c>
      <c r="G20" s="967" t="inlineStr">
        <is>
          <t>FY32E</t>
        </is>
      </c>
      <c r="H20" s="967" t="inlineStr">
        <is>
          <t>FY33E</t>
        </is>
      </c>
      <c r="I20" s="928" t="n"/>
      <c r="J20" s="928" t="n"/>
    </row>
    <row r="21">
      <c r="A21" s="1199" t="inlineStr">
        <is>
          <t>Opening Free Cash Flow</t>
        </is>
      </c>
      <c r="B21" s="1583">
        <f>'Cash Flow Model'!D90-'Cash Flow Model'!D96-'Cash Flow Model'!D107</f>
        <v/>
      </c>
      <c r="C21" s="1583">
        <f>'Cash Flow Model'!E90-'Cash Flow Model'!E96-'Cash Flow Model'!E107</f>
        <v/>
      </c>
      <c r="D21" s="1583">
        <f>'Cash Flow Model'!F90-'Cash Flow Model'!F96-'Cash Flow Model'!F107</f>
        <v/>
      </c>
      <c r="E21" s="1583">
        <f>'Cash Flow Model'!G90-'Cash Flow Model'!G96-'Cash Flow Model'!G107</f>
        <v/>
      </c>
      <c r="F21" s="1583">
        <f>'Cash Flow Model'!H90-'Cash Flow Model'!H96-'Cash Flow Model'!H107</f>
        <v/>
      </c>
      <c r="G21" s="1583">
        <f>'Cash Flow Model'!I90-'Cash Flow Model'!I96-'Cash Flow Model'!I107</f>
        <v/>
      </c>
      <c r="H21" s="1583">
        <f>'Cash Flow Model'!J90-'Cash Flow Model'!J96-'Cash Flow Model'!J107</f>
        <v/>
      </c>
      <c r="I21" s="928" t="n"/>
      <c r="J21" s="928" t="n"/>
    </row>
    <row r="22">
      <c r="A22" s="1199" t="inlineStr">
        <is>
          <t>Growth Capex</t>
        </is>
      </c>
      <c r="B22" s="1727">
        <f>-'Cash Flow Model'!D101</f>
        <v/>
      </c>
      <c r="C22" s="1727">
        <f>-'Cash Flow Model'!E101</f>
        <v/>
      </c>
      <c r="D22" s="1727">
        <f>-'Cash Flow Model'!F101</f>
        <v/>
      </c>
      <c r="E22" s="1727">
        <f>-'Cash Flow Model'!G101</f>
        <v/>
      </c>
      <c r="F22" s="1727">
        <f>-'Cash Flow Model'!H101</f>
        <v/>
      </c>
      <c r="G22" s="1727">
        <f>-'Cash Flow Model'!I101</f>
        <v/>
      </c>
      <c r="H22" s="1727">
        <f>-'Cash Flow Model'!J101</f>
        <v/>
      </c>
      <c r="I22" s="928" t="n"/>
      <c r="J22" s="928" t="n"/>
    </row>
    <row r="23">
      <c r="A23" s="1199" t="inlineStr">
        <is>
          <t>Maintenance Capex</t>
        </is>
      </c>
      <c r="B23" s="1727">
        <f>-'Cash Flow Model'!D103</f>
        <v/>
      </c>
      <c r="C23" s="1727">
        <f>-'Cash Flow Model'!E103</f>
        <v/>
      </c>
      <c r="D23" s="1727">
        <f>-'Cash Flow Model'!F103</f>
        <v/>
      </c>
      <c r="E23" s="1727">
        <f>-'Cash Flow Model'!G103</f>
        <v/>
      </c>
      <c r="F23" s="1727">
        <f>-'Cash Flow Model'!H103</f>
        <v/>
      </c>
      <c r="G23" s="1727">
        <f>-'Cash Flow Model'!I103</f>
        <v/>
      </c>
      <c r="H23" s="1727">
        <f>-'Cash Flow Model'!J103</f>
        <v/>
      </c>
      <c r="I23" s="928" t="n"/>
      <c r="J23" s="928" t="n"/>
    </row>
    <row r="24">
      <c r="A24" s="1199" t="inlineStr">
        <is>
          <t>Debt Repayment</t>
        </is>
      </c>
      <c r="B24" s="1685">
        <f>(D79-D76)</f>
        <v/>
      </c>
      <c r="C24" s="1685">
        <f>(E79-E76)</f>
        <v/>
      </c>
      <c r="D24" s="1685">
        <f>(F79-F76)</f>
        <v/>
      </c>
      <c r="E24" s="1685">
        <f>(G79-G76)</f>
        <v/>
      </c>
      <c r="F24" s="1685">
        <f>(H79-H76)</f>
        <v/>
      </c>
      <c r="G24" s="1685">
        <f>(I79-I76)</f>
        <v/>
      </c>
      <c r="H24" s="1685">
        <f>(J79-J76)</f>
        <v/>
      </c>
      <c r="I24" s="928" t="n"/>
      <c r="J24" s="928" t="n"/>
    </row>
    <row r="25">
      <c r="A25" s="1199" t="inlineStr">
        <is>
          <t>Interest Payments</t>
        </is>
      </c>
      <c r="B25" s="1614">
        <f>-D78</f>
        <v/>
      </c>
      <c r="C25" s="1614">
        <f>-E78</f>
        <v/>
      </c>
      <c r="D25" s="1614">
        <f>-F78</f>
        <v/>
      </c>
      <c r="E25" s="1614">
        <f>-G78</f>
        <v/>
      </c>
      <c r="F25" s="1614">
        <f>-H78</f>
        <v/>
      </c>
      <c r="G25" s="1614">
        <f>-I78</f>
        <v/>
      </c>
      <c r="H25" s="1614">
        <f>-J78</f>
        <v/>
      </c>
      <c r="I25" s="928" t="n"/>
      <c r="J25" s="928" t="n"/>
    </row>
    <row r="26">
      <c r="A26" s="1199" t="inlineStr">
        <is>
          <t>Dividends</t>
        </is>
      </c>
      <c r="B26" s="982" t="n"/>
      <c r="C26" s="982" t="n"/>
      <c r="D26" s="982" t="n"/>
      <c r="E26" s="982" t="n"/>
      <c r="F26" s="982" t="n"/>
      <c r="G26" s="982" t="n"/>
      <c r="H26" s="982" t="n"/>
      <c r="I26" s="928" t="n"/>
      <c r="J26" s="928" t="n"/>
    </row>
    <row r="27">
      <c r="A27" s="1199" t="inlineStr">
        <is>
          <t>Share Buybacks</t>
        </is>
      </c>
      <c r="B27" s="982" t="n"/>
      <c r="C27" s="982" t="n"/>
      <c r="D27" s="982" t="n"/>
      <c r="E27" s="982" t="n"/>
      <c r="F27" s="982" t="n"/>
      <c r="G27" s="982" t="n"/>
      <c r="H27" s="982" t="n"/>
      <c r="I27" s="928" t="n"/>
      <c r="J27" s="928" t="n"/>
    </row>
    <row r="28">
      <c r="A28" s="1199" t="inlineStr">
        <is>
          <t>M&amp;A Investment</t>
        </is>
      </c>
      <c r="B28" s="982" t="n"/>
      <c r="C28" s="982" t="n"/>
      <c r="D28" s="982" t="n"/>
      <c r="E28" s="982" t="n"/>
      <c r="F28" s="982" t="n"/>
      <c r="G28" s="982" t="n"/>
      <c r="H28" s="982" t="n"/>
      <c r="I28" s="928" t="n"/>
      <c r="J28" s="928" t="n"/>
    </row>
    <row r="29">
      <c r="A29" s="1199" t="inlineStr">
        <is>
          <t>ESG / Decarbonisation Investment</t>
        </is>
      </c>
      <c r="B29" s="982" t="n"/>
      <c r="C29" s="982" t="n"/>
      <c r="D29" s="982" t="n"/>
      <c r="E29" s="982" t="n"/>
      <c r="F29" s="982" t="n"/>
      <c r="G29" s="982" t="n"/>
      <c r="H29" s="982" t="n"/>
      <c r="I29" s="928" t="n"/>
      <c r="J29" s="928" t="n"/>
    </row>
    <row r="30">
      <c r="A30" s="1199" t="inlineStr">
        <is>
          <t>Cash Retained</t>
        </is>
      </c>
      <c r="B30" s="914">
        <f>SUM(B21:B25)</f>
        <v/>
      </c>
      <c r="C30" s="914">
        <f>SUM(C21:C25)</f>
        <v/>
      </c>
      <c r="D30" s="914">
        <f>SUM(D21:D25)</f>
        <v/>
      </c>
      <c r="E30" s="914">
        <f>SUM(E21:E25)</f>
        <v/>
      </c>
      <c r="F30" s="914">
        <f>SUM(F21:F25)</f>
        <v/>
      </c>
      <c r="G30" s="914">
        <f>SUM(G21:G25)</f>
        <v/>
      </c>
      <c r="H30" s="914">
        <f>SUM(H21:H25)</f>
        <v/>
      </c>
      <c r="I30" s="928" t="n"/>
      <c r="J30" s="928" t="n"/>
    </row>
    <row r="31">
      <c r="A31" s="1199" t="inlineStr">
        <is>
          <t>Closing Cash</t>
        </is>
      </c>
      <c r="B31" s="998">
        <f>B30</f>
        <v/>
      </c>
      <c r="C31" s="998">
        <f>C30</f>
        <v/>
      </c>
      <c r="D31" s="998">
        <f>D30</f>
        <v/>
      </c>
      <c r="E31" s="998">
        <f>E30</f>
        <v/>
      </c>
      <c r="F31" s="998">
        <f>F30</f>
        <v/>
      </c>
      <c r="G31" s="998">
        <f>G30</f>
        <v/>
      </c>
      <c r="H31" s="998">
        <f>H30</f>
        <v/>
      </c>
      <c r="I31" s="928" t="n"/>
      <c r="J31" s="928" t="n"/>
    </row>
    <row r="32">
      <c r="A32" s="1134" t="n"/>
      <c r="B32" s="928" t="n"/>
      <c r="C32" s="928" t="n"/>
      <c r="D32" s="928" t="n"/>
      <c r="E32" s="928" t="n"/>
      <c r="F32" s="928" t="n"/>
      <c r="G32" s="928" t="n"/>
      <c r="H32" s="928" t="n"/>
      <c r="I32" s="928" t="n"/>
      <c r="J32" s="928" t="n"/>
    </row>
    <row r="33">
      <c r="A33" s="1134" t="n"/>
      <c r="B33" s="928" t="n"/>
      <c r="C33" s="928" t="n"/>
      <c r="D33" s="928" t="n"/>
      <c r="E33" s="928" t="n"/>
      <c r="F33" s="928" t="n"/>
      <c r="G33" s="928" t="n"/>
      <c r="H33" s="928" t="n"/>
      <c r="I33" s="928" t="n"/>
      <c r="J33" s="928" t="n"/>
    </row>
    <row r="34" ht="15.6" customHeight="1">
      <c r="A34" s="1137" t="inlineStr">
        <is>
          <t>Capex Allocation</t>
        </is>
      </c>
      <c r="J34" s="928" t="n"/>
    </row>
    <row r="35">
      <c r="A35" s="1193" t="inlineStr">
        <is>
          <t>Category</t>
        </is>
      </c>
      <c r="B35" s="967" t="inlineStr">
        <is>
          <t>FY27E</t>
        </is>
      </c>
      <c r="C35" s="967" t="inlineStr">
        <is>
          <t>FY28E</t>
        </is>
      </c>
      <c r="D35" s="967" t="inlineStr">
        <is>
          <t>FY29E</t>
        </is>
      </c>
      <c r="E35" s="967" t="inlineStr">
        <is>
          <t>FY30E</t>
        </is>
      </c>
      <c r="F35" s="967" t="inlineStr">
        <is>
          <t>FY31E</t>
        </is>
      </c>
      <c r="G35" s="967" t="inlineStr">
        <is>
          <t>FY32E</t>
        </is>
      </c>
      <c r="H35" s="967" t="inlineStr">
        <is>
          <t>FY33E</t>
        </is>
      </c>
      <c r="I35" s="928" t="n"/>
      <c r="J35" s="928" t="n"/>
    </row>
    <row r="36">
      <c r="A36" s="1199" t="inlineStr">
        <is>
          <t>Maintenance</t>
        </is>
      </c>
      <c r="B36" s="1609">
        <f>'Cash Flow Model'!D103</f>
        <v/>
      </c>
      <c r="C36" s="1609">
        <f>'Cash Flow Model'!E103</f>
        <v/>
      </c>
      <c r="D36" s="1609">
        <f>'Cash Flow Model'!F103</f>
        <v/>
      </c>
      <c r="E36" s="1609">
        <f>'Cash Flow Model'!G103</f>
        <v/>
      </c>
      <c r="F36" s="1609">
        <f>'Cash Flow Model'!H103</f>
        <v/>
      </c>
      <c r="G36" s="1609">
        <f>'Cash Flow Model'!I103</f>
        <v/>
      </c>
      <c r="H36" s="1609">
        <f>'Cash Flow Model'!J103</f>
        <v/>
      </c>
      <c r="I36" s="928" t="n"/>
      <c r="J36" s="928" t="n"/>
    </row>
    <row r="37">
      <c r="A37" s="1199" t="inlineStr">
        <is>
          <t>Brownfield Expansion</t>
        </is>
      </c>
      <c r="B37" s="1583">
        <f>'Capacity Forecast'!B48*'Model Assumptions'!E23/10</f>
        <v/>
      </c>
      <c r="C37" s="1583">
        <f>'Capacity Forecast'!C48*'Model Assumptions'!F23/10</f>
        <v/>
      </c>
      <c r="D37" s="1583">
        <f>'Capacity Forecast'!D48*'Model Assumptions'!G23/10</f>
        <v/>
      </c>
      <c r="E37" s="1583">
        <f>'Capacity Forecast'!E48*'Model Assumptions'!H23/10</f>
        <v/>
      </c>
      <c r="F37" s="1583">
        <f>'Capacity Forecast'!F48*'Model Assumptions'!I23/10</f>
        <v/>
      </c>
      <c r="G37" s="1583">
        <f>'Capacity Forecast'!G48*'Model Assumptions'!J23/10</f>
        <v/>
      </c>
      <c r="H37" s="1583">
        <f>'Capacity Forecast'!H48*'Model Assumptions'!K23/10</f>
        <v/>
      </c>
      <c r="I37" s="928" t="n"/>
      <c r="J37" s="928" t="n"/>
    </row>
    <row r="38">
      <c r="A38" s="1199" t="inlineStr">
        <is>
          <t>Greenfield Expansion</t>
        </is>
      </c>
      <c r="B38" s="1583">
        <f>('Capacity Forecast'!B52-'Capacity Forecast'!B48)*'Model Assumptions'!E$23/10</f>
        <v/>
      </c>
      <c r="C38" s="1583">
        <f>('Capacity Forecast'!C52-'Capacity Forecast'!C48)*'Model Assumptions'!F$23/10</f>
        <v/>
      </c>
      <c r="D38" s="1583">
        <f>('Capacity Forecast'!D52-'Capacity Forecast'!D48)*'Model Assumptions'!G$23/10</f>
        <v/>
      </c>
      <c r="E38" s="1583">
        <f>('Capacity Forecast'!E52-'Capacity Forecast'!E48)*'Model Assumptions'!H$23/10</f>
        <v/>
      </c>
      <c r="F38" s="1583">
        <f>('Capacity Forecast'!F52-'Capacity Forecast'!F48)*'Model Assumptions'!I$23/10</f>
        <v/>
      </c>
      <c r="G38" s="1583">
        <f>('Capacity Forecast'!G52-'Capacity Forecast'!G48)*'Model Assumptions'!J$23/10</f>
        <v/>
      </c>
      <c r="H38" s="1583">
        <f>('Capacity Forecast'!H52-'Capacity Forecast'!H48)*'Model Assumptions'!K$23/10</f>
        <v/>
      </c>
      <c r="I38" s="928" t="n"/>
      <c r="J38" s="928" t="n"/>
    </row>
    <row r="39">
      <c r="A39" s="1199" t="inlineStr">
        <is>
          <t>Technology</t>
        </is>
      </c>
      <c r="B39" s="982" t="n"/>
      <c r="C39" s="982" t="n"/>
      <c r="D39" s="982" t="n"/>
      <c r="E39" s="982" t="n"/>
      <c r="F39" s="982" t="n"/>
      <c r="G39" s="982" t="n"/>
      <c r="H39" s="982" t="n"/>
      <c r="I39" s="928" t="n"/>
      <c r="J39" s="928" t="n"/>
    </row>
    <row r="40">
      <c r="A40" s="1199" t="inlineStr">
        <is>
          <t>ESG</t>
        </is>
      </c>
      <c r="B40" s="982" t="n"/>
      <c r="C40" s="982" t="n"/>
      <c r="D40" s="982" t="n"/>
      <c r="E40" s="982" t="n"/>
      <c r="F40" s="982" t="n"/>
      <c r="G40" s="982" t="n"/>
      <c r="H40" s="982" t="n"/>
      <c r="I40" s="928" t="n"/>
      <c r="J40" s="928" t="n"/>
    </row>
    <row r="41">
      <c r="A41" s="1199" t="inlineStr">
        <is>
          <t>Safety</t>
        </is>
      </c>
      <c r="B41" s="982" t="n"/>
      <c r="C41" s="982" t="n"/>
      <c r="D41" s="982" t="n"/>
      <c r="E41" s="982" t="n"/>
      <c r="F41" s="982" t="n"/>
      <c r="G41" s="982" t="n"/>
      <c r="H41" s="982" t="n"/>
      <c r="I41" s="928" t="n"/>
      <c r="J41" s="928" t="n"/>
    </row>
    <row r="42">
      <c r="A42" s="264" t="inlineStr">
        <is>
          <t>Total Capex</t>
        </is>
      </c>
      <c r="B42" s="1728">
        <f>SUM(B36:B41)</f>
        <v/>
      </c>
      <c r="C42" s="1728">
        <f>SUM(C36:C41)</f>
        <v/>
      </c>
      <c r="D42" s="1728">
        <f>SUM(D36:D41)</f>
        <v/>
      </c>
      <c r="E42" s="1728">
        <f>SUM(E36:E41)</f>
        <v/>
      </c>
      <c r="F42" s="1728">
        <f>SUM(F36:F41)</f>
        <v/>
      </c>
      <c r="G42" s="1728">
        <f>SUM(G36:G41)</f>
        <v/>
      </c>
      <c r="H42" s="1728">
        <f>SUM(H36:H41)</f>
        <v/>
      </c>
      <c r="I42" s="928" t="n"/>
      <c r="J42" s="928" t="n"/>
    </row>
    <row r="43">
      <c r="A43" s="1134" t="n"/>
      <c r="B43" s="928" t="n"/>
      <c r="C43" s="928" t="n"/>
      <c r="D43" s="928" t="n"/>
      <c r="E43" s="928" t="n"/>
      <c r="F43" s="928" t="n"/>
      <c r="G43" s="928" t="n"/>
      <c r="H43" s="928" t="n"/>
      <c r="I43" s="928" t="n"/>
      <c r="J43" s="928" t="n"/>
    </row>
    <row r="44">
      <c r="A44" s="1134" t="n"/>
      <c r="B44" s="928" t="n"/>
      <c r="C44" s="928" t="n"/>
      <c r="D44" s="928" t="n"/>
      <c r="E44" s="928" t="n"/>
      <c r="F44" s="928" t="n"/>
      <c r="G44" s="928" t="n"/>
      <c r="H44" s="928" t="n"/>
      <c r="I44" s="928" t="n"/>
      <c r="J44" s="928" t="n"/>
    </row>
    <row r="45" ht="15.6" customHeight="1">
      <c r="A45" s="1137" t="inlineStr">
        <is>
          <t>Debt Allocation</t>
        </is>
      </c>
      <c r="J45" s="928" t="n"/>
    </row>
    <row r="46" ht="28.8" customHeight="1">
      <c r="A46" s="1193" t="inlineStr">
        <is>
          <t>Year</t>
        </is>
      </c>
      <c r="B46" s="967" t="inlineStr">
        <is>
          <t>Opening Debt</t>
        </is>
      </c>
      <c r="C46" s="967" t="inlineStr">
        <is>
          <t>Debt Repaid</t>
        </is>
      </c>
      <c r="D46" s="967" t="inlineStr">
        <is>
          <t>New Debt</t>
        </is>
      </c>
      <c r="E46" s="967" t="inlineStr">
        <is>
          <t>Closing Debt</t>
        </is>
      </c>
      <c r="F46" s="967" t="inlineStr">
        <is>
          <t>Net Debt/EBITDA</t>
        </is>
      </c>
      <c r="G46" s="928" t="n"/>
      <c r="H46" s="928" t="n"/>
      <c r="I46" s="928" t="n"/>
      <c r="J46" s="928" t="n"/>
    </row>
    <row r="47">
      <c r="A47" s="1199" t="inlineStr">
        <is>
          <t>FY27</t>
        </is>
      </c>
      <c r="B47" s="1614">
        <f>D76</f>
        <v/>
      </c>
      <c r="C47" s="1729">
        <f>MAX(0,D76-D79)</f>
        <v/>
      </c>
      <c r="D47" s="1729">
        <f>MAX(0,D79-D76)</f>
        <v/>
      </c>
      <c r="E47" s="1729">
        <f>B47-C47+D47</f>
        <v/>
      </c>
      <c r="F47" s="1730">
        <f>D82</f>
        <v/>
      </c>
    </row>
    <row r="48">
      <c r="A48" s="1199" t="inlineStr">
        <is>
          <t>FY28</t>
        </is>
      </c>
      <c r="B48" s="1614">
        <f>E76</f>
        <v/>
      </c>
      <c r="C48" s="1729">
        <f>MAX(0,E76-E79)</f>
        <v/>
      </c>
      <c r="D48" s="1729">
        <f>MAX(0,E79-E76)</f>
        <v/>
      </c>
      <c r="E48" s="1729">
        <f>B48-C48+D48</f>
        <v/>
      </c>
      <c r="F48" s="1730">
        <f>E82</f>
        <v/>
      </c>
      <c r="G48" s="928" t="n"/>
      <c r="H48" s="928" t="n"/>
      <c r="I48" s="928" t="n"/>
      <c r="J48" s="928" t="n"/>
    </row>
    <row r="49">
      <c r="A49" s="1199" t="inlineStr">
        <is>
          <t>FY29</t>
        </is>
      </c>
      <c r="B49" s="1614">
        <f>F76</f>
        <v/>
      </c>
      <c r="C49" s="1729">
        <f>MAX(0,F76-F79)</f>
        <v/>
      </c>
      <c r="D49" s="1729">
        <f>MAX(0,F79-F76)</f>
        <v/>
      </c>
      <c r="E49" s="1729">
        <f>B49-C49+D49</f>
        <v/>
      </c>
      <c r="F49" s="1730">
        <f>F82</f>
        <v/>
      </c>
      <c r="G49" s="928" t="n"/>
      <c r="H49" s="928" t="n"/>
      <c r="I49" s="928" t="n"/>
      <c r="J49" s="928" t="n"/>
    </row>
    <row r="50">
      <c r="A50" s="1199" t="inlineStr">
        <is>
          <t>FY30</t>
        </is>
      </c>
      <c r="B50" s="1614">
        <f>G76</f>
        <v/>
      </c>
      <c r="C50" s="1729">
        <f>MAX(0,G76-G79)</f>
        <v/>
      </c>
      <c r="D50" s="1729">
        <f>MAX(0,G79-G76)</f>
        <v/>
      </c>
      <c r="E50" s="1729">
        <f>B50-C50+D50</f>
        <v/>
      </c>
      <c r="F50" s="1730">
        <f>G82</f>
        <v/>
      </c>
      <c r="G50" s="928" t="n"/>
      <c r="H50" s="928" t="n"/>
      <c r="I50" s="928" t="n"/>
      <c r="J50" s="928" t="n"/>
    </row>
    <row r="51">
      <c r="A51" s="1199" t="inlineStr">
        <is>
          <t>FY31</t>
        </is>
      </c>
      <c r="B51" s="1614">
        <f>H76</f>
        <v/>
      </c>
      <c r="C51" s="1729">
        <f>MAX(0,H76-H79)</f>
        <v/>
      </c>
      <c r="D51" s="1729">
        <f>MAX(0,H79-H76)</f>
        <v/>
      </c>
      <c r="E51" s="1729">
        <f>B51-C51+D51</f>
        <v/>
      </c>
      <c r="F51" s="1730">
        <f>H82</f>
        <v/>
      </c>
      <c r="G51" s="928" t="n"/>
      <c r="H51" s="928" t="n"/>
      <c r="I51" s="928" t="n"/>
      <c r="J51" s="928" t="n"/>
    </row>
    <row r="52">
      <c r="A52" s="1199" t="inlineStr">
        <is>
          <t>FY32</t>
        </is>
      </c>
      <c r="B52" s="1614">
        <f>I76</f>
        <v/>
      </c>
      <c r="C52" s="1729">
        <f>MAX(0,I76-I79)</f>
        <v/>
      </c>
      <c r="D52" s="1729">
        <f>MAX(0,I79-I76)</f>
        <v/>
      </c>
      <c r="E52" s="1729">
        <f>B52-C52+D52</f>
        <v/>
      </c>
      <c r="F52" s="1730">
        <f>I82</f>
        <v/>
      </c>
      <c r="G52" s="928" t="n"/>
      <c r="H52" s="928" t="n"/>
      <c r="I52" s="928" t="n"/>
      <c r="J52" s="928" t="n"/>
    </row>
    <row r="53">
      <c r="A53" s="1199" t="inlineStr">
        <is>
          <t>FY33</t>
        </is>
      </c>
      <c r="B53" s="1614">
        <f>J76</f>
        <v/>
      </c>
      <c r="C53" s="1729">
        <f>MAX(0,J76-J79)</f>
        <v/>
      </c>
      <c r="D53" s="1729">
        <f>MAX(0,J79-J76)</f>
        <v/>
      </c>
      <c r="E53" s="1729">
        <f>B53-C53+D53</f>
        <v/>
      </c>
      <c r="F53" s="1730">
        <f>J82</f>
        <v/>
      </c>
      <c r="G53" s="928" t="n"/>
      <c r="H53" s="928" t="n"/>
      <c r="I53" s="928" t="n"/>
      <c r="J53" s="928" t="n"/>
    </row>
    <row r="54">
      <c r="A54" s="177" t="n"/>
      <c r="B54" s="262" t="n"/>
      <c r="C54" s="262" t="n"/>
      <c r="D54" s="262" t="n"/>
      <c r="E54" s="262" t="n"/>
      <c r="F54" s="262" t="n"/>
      <c r="G54" s="928" t="n"/>
      <c r="H54" s="928" t="n"/>
      <c r="I54" s="928" t="n"/>
      <c r="J54" s="928" t="n"/>
    </row>
    <row r="55">
      <c r="A55" s="177" t="n"/>
      <c r="B55" s="262" t="n"/>
      <c r="C55" s="262" t="n"/>
      <c r="D55" s="262" t="n"/>
      <c r="E55" s="262" t="n"/>
      <c r="F55" s="262" t="n"/>
      <c r="G55" s="928" t="n"/>
      <c r="H55" s="928" t="n"/>
      <c r="I55" s="928" t="n"/>
      <c r="J55" s="928" t="n"/>
    </row>
    <row r="56" ht="15.6" customHeight="1">
      <c r="A56" s="1137" t="inlineStr">
        <is>
          <t>Strategic Investments</t>
        </is>
      </c>
      <c r="J56" s="928" t="n"/>
    </row>
    <row r="57">
      <c r="A57" s="1193" t="inlineStr">
        <is>
          <t>Category</t>
        </is>
      </c>
      <c r="B57" s="967" t="inlineStr">
        <is>
          <t>FY27E</t>
        </is>
      </c>
      <c r="C57" s="967" t="inlineStr">
        <is>
          <t>FY28E</t>
        </is>
      </c>
      <c r="D57" s="967" t="inlineStr">
        <is>
          <t>FY29E</t>
        </is>
      </c>
      <c r="E57" s="967" t="inlineStr">
        <is>
          <t>FY30E</t>
        </is>
      </c>
      <c r="F57" s="967" t="inlineStr">
        <is>
          <t>FY31E</t>
        </is>
      </c>
      <c r="G57" s="967" t="inlineStr">
        <is>
          <t>FY32E</t>
        </is>
      </c>
      <c r="H57" s="967" t="inlineStr">
        <is>
          <t>FY33E</t>
        </is>
      </c>
      <c r="I57" s="928" t="n"/>
      <c r="J57" s="928" t="n"/>
    </row>
    <row r="58">
      <c r="A58" s="1199" t="inlineStr">
        <is>
          <t>Capacity Expansion</t>
        </is>
      </c>
      <c r="B58" s="1583">
        <f>'Cash Flow Model'!D101</f>
        <v/>
      </c>
      <c r="C58" s="1583">
        <f>'Cash Flow Model'!E101</f>
        <v/>
      </c>
      <c r="D58" s="1583">
        <f>'Cash Flow Model'!F101</f>
        <v/>
      </c>
      <c r="E58" s="1583">
        <f>'Cash Flow Model'!G101</f>
        <v/>
      </c>
      <c r="F58" s="1583">
        <f>'Cash Flow Model'!H101</f>
        <v/>
      </c>
      <c r="G58" s="1583">
        <f>'Cash Flow Model'!I101</f>
        <v/>
      </c>
      <c r="H58" s="1583">
        <f>'Cash Flow Model'!J101</f>
        <v/>
      </c>
      <c r="I58" s="928" t="n"/>
      <c r="J58" s="928" t="n"/>
    </row>
    <row r="59">
      <c r="A59" s="1199" t="inlineStr">
        <is>
          <t>Downstream Products</t>
        </is>
      </c>
      <c r="B59" s="982" t="n"/>
      <c r="C59" s="982" t="n"/>
      <c r="D59" s="982" t="n"/>
      <c r="E59" s="982" t="n"/>
      <c r="F59" s="982" t="n"/>
      <c r="G59" s="982" t="n"/>
      <c r="H59" s="982" t="n"/>
      <c r="I59" s="928" t="n"/>
      <c r="J59" s="928" t="n"/>
    </row>
    <row r="60">
      <c r="A60" s="1199" t="inlineStr">
        <is>
          <t>Renewable Energy</t>
        </is>
      </c>
      <c r="B60" s="982" t="n"/>
      <c r="C60" s="982" t="n"/>
      <c r="D60" s="982" t="n"/>
      <c r="E60" s="982" t="n"/>
      <c r="F60" s="982" t="n"/>
      <c r="G60" s="982" t="n"/>
      <c r="H60" s="982" t="n"/>
      <c r="I60" s="928" t="n"/>
      <c r="J60" s="928" t="n"/>
    </row>
    <row r="61">
      <c r="A61" s="1199" t="inlineStr">
        <is>
          <t>Digital Transformation</t>
        </is>
      </c>
      <c r="B61" s="982" t="n"/>
      <c r="C61" s="982" t="n"/>
      <c r="D61" s="982" t="n"/>
      <c r="E61" s="982" t="n"/>
      <c r="F61" s="982" t="n"/>
      <c r="G61" s="982" t="n"/>
      <c r="H61" s="982" t="n"/>
      <c r="I61" s="928" t="n"/>
      <c r="J61" s="928" t="n"/>
    </row>
    <row r="62">
      <c r="A62" s="1199" t="inlineStr">
        <is>
          <t>Acquisitions</t>
        </is>
      </c>
      <c r="B62" s="982" t="n"/>
      <c r="C62" s="982" t="n"/>
      <c r="D62" s="982" t="n"/>
      <c r="E62" s="982" t="n"/>
      <c r="F62" s="982" t="n"/>
      <c r="G62" s="982" t="n"/>
      <c r="H62" s="982" t="n"/>
      <c r="I62" s="928" t="n"/>
      <c r="J62" s="928" t="n"/>
    </row>
    <row r="63">
      <c r="A63" s="1199" t="inlineStr">
        <is>
          <t>Overseas Expansion</t>
        </is>
      </c>
      <c r="B63" s="996" t="n"/>
      <c r="C63" s="996" t="n"/>
      <c r="D63" s="996" t="n"/>
      <c r="E63" s="996" t="n"/>
      <c r="F63" s="996" t="n"/>
      <c r="G63" s="996" t="n"/>
      <c r="H63" s="996" t="n"/>
      <c r="I63" s="928" t="n"/>
      <c r="J63" s="928" t="n"/>
    </row>
    <row r="64">
      <c r="A64" s="177" t="n"/>
      <c r="B64" s="262" t="n"/>
      <c r="C64" s="262" t="n"/>
      <c r="D64" s="262" t="n"/>
      <c r="E64" s="262" t="n"/>
      <c r="F64" s="262" t="n"/>
      <c r="G64" s="928" t="n"/>
      <c r="H64" s="928" t="n"/>
      <c r="I64" s="928" t="n"/>
      <c r="J64" s="928" t="n"/>
    </row>
    <row r="65">
      <c r="A65" s="177" t="n"/>
      <c r="B65" s="262" t="n"/>
      <c r="C65" s="262" t="n"/>
      <c r="D65" s="262" t="n"/>
      <c r="E65" s="262" t="n"/>
      <c r="F65" s="262" t="n"/>
      <c r="G65" s="928" t="n"/>
      <c r="H65" s="928" t="n"/>
      <c r="I65" s="928" t="n"/>
      <c r="J65" s="928" t="n"/>
    </row>
    <row r="66" ht="15.6" customHeight="1">
      <c r="A66" s="1137" t="inlineStr">
        <is>
          <t>Scenario Analysis</t>
        </is>
      </c>
      <c r="J66" s="928" t="n"/>
    </row>
    <row r="67" ht="14.4" customHeight="1">
      <c r="A67" s="1188" t="inlineStr">
        <is>
          <t>Year FCFF</t>
        </is>
      </c>
      <c r="B67" s="269" t="inlineStr">
        <is>
          <t>Growth Capex</t>
        </is>
      </c>
      <c r="C67" s="269" t="inlineStr">
        <is>
          <t>Debt Reduction</t>
        </is>
      </c>
      <c r="D67" s="269" t="inlineStr">
        <is>
          <t>Dividends</t>
        </is>
      </c>
      <c r="E67" s="269" t="inlineStr">
        <is>
          <t>Cash Retained</t>
        </is>
      </c>
      <c r="F67" s="928" t="n"/>
      <c r="G67" s="928" t="n"/>
      <c r="H67" s="928" t="n"/>
      <c r="I67" s="928" t="n"/>
      <c r="J67" s="928" t="n"/>
    </row>
    <row r="68">
      <c r="A68" s="1199" t="inlineStr">
        <is>
          <t>Base</t>
        </is>
      </c>
      <c r="B68" s="199" t="n"/>
      <c r="C68" s="199" t="n"/>
      <c r="D68" s="199" t="n"/>
      <c r="E68" s="199" t="n"/>
      <c r="F68" s="928" t="n"/>
      <c r="G68" s="928" t="n"/>
      <c r="H68" s="928" t="n"/>
      <c r="I68" s="928" t="n"/>
      <c r="J68" s="928" t="n"/>
    </row>
    <row r="69">
      <c r="A69" s="1199" t="inlineStr">
        <is>
          <t>Bull</t>
        </is>
      </c>
      <c r="B69" s="199" t="n"/>
      <c r="C69" s="199" t="n"/>
      <c r="D69" s="199" t="n"/>
      <c r="E69" s="199" t="n"/>
      <c r="F69" s="928" t="n"/>
      <c r="G69" s="928" t="n"/>
      <c r="H69" s="928" t="n"/>
      <c r="I69" s="928" t="n"/>
      <c r="J69" s="928" t="n"/>
    </row>
    <row r="70">
      <c r="A70" s="1199" t="inlineStr">
        <is>
          <t>Bear</t>
        </is>
      </c>
      <c r="B70" s="199" t="n"/>
      <c r="C70" s="199" t="n"/>
      <c r="D70" s="199" t="n"/>
      <c r="E70" s="199" t="n"/>
      <c r="F70" s="928" t="n"/>
      <c r="G70" s="928" t="n"/>
      <c r="H70" s="928" t="n"/>
      <c r="I70" s="928" t="n"/>
      <c r="J70" s="928" t="n"/>
    </row>
    <row r="71">
      <c r="A71" s="1199" t="inlineStr">
        <is>
          <t>Stress</t>
        </is>
      </c>
      <c r="B71" s="336" t="n"/>
      <c r="C71" s="336" t="n"/>
      <c r="D71" s="336" t="n"/>
      <c r="E71" s="336" t="n"/>
      <c r="F71" s="928" t="n"/>
      <c r="G71" s="928" t="n"/>
      <c r="H71" s="928" t="n"/>
      <c r="I71" s="928" t="n"/>
      <c r="J71" s="928" t="n"/>
    </row>
    <row r="72">
      <c r="A72" s="177" t="n"/>
      <c r="B72" s="262" t="n"/>
      <c r="C72" s="262" t="n"/>
      <c r="D72" s="262" t="n"/>
      <c r="E72" s="262" t="n"/>
      <c r="F72" s="262" t="n"/>
      <c r="G72" s="928" t="n"/>
      <c r="H72" s="928" t="n"/>
      <c r="I72" s="928" t="n"/>
      <c r="J72" s="928" t="n"/>
    </row>
    <row r="73">
      <c r="A73" s="177" t="n"/>
      <c r="B73" s="262" t="n"/>
      <c r="C73" s="262" t="n"/>
      <c r="D73" s="262" t="n"/>
      <c r="E73" s="262" t="n"/>
      <c r="F73" s="262" t="n"/>
      <c r="G73" s="928" t="n"/>
      <c r="H73" s="928" t="n"/>
      <c r="I73" s="928" t="n"/>
      <c r="J73" s="928" t="n"/>
    </row>
    <row r="74" ht="16.2" customHeight="1" thickBot="1">
      <c r="A74" s="1137" t="inlineStr">
        <is>
          <t>Workbook</t>
        </is>
      </c>
    </row>
    <row r="75">
      <c r="A75" s="56" t="inlineStr">
        <is>
          <t>Line item</t>
        </is>
      </c>
      <c r="B75" s="58" t="inlineStr">
        <is>
          <t>Unit</t>
        </is>
      </c>
      <c r="C75" s="71" t="inlineStr">
        <is>
          <t>FY2026A</t>
        </is>
      </c>
      <c r="D75" s="71" t="inlineStr">
        <is>
          <t>FY2027E</t>
        </is>
      </c>
      <c r="E75" s="71" t="inlineStr">
        <is>
          <t>FY2028E</t>
        </is>
      </c>
      <c r="F75" s="71" t="inlineStr">
        <is>
          <t>FY2029E</t>
        </is>
      </c>
      <c r="G75" s="71" t="inlineStr">
        <is>
          <t>FY2030E</t>
        </is>
      </c>
      <c r="H75" s="71" t="inlineStr">
        <is>
          <t>FY2031E</t>
        </is>
      </c>
      <c r="I75" s="71" t="inlineStr">
        <is>
          <t>FY2032E</t>
        </is>
      </c>
      <c r="J75" s="71" t="inlineStr">
        <is>
          <t>FY2033E</t>
        </is>
      </c>
      <c r="K75" s="269" t="inlineStr">
        <is>
          <t>Audit Code</t>
        </is>
      </c>
    </row>
    <row r="76">
      <c r="A76" s="61" t="inlineStr">
        <is>
          <t>Opening net debt</t>
        </is>
      </c>
      <c r="B76" s="69" t="inlineStr">
        <is>
          <t>Rs cr</t>
        </is>
      </c>
      <c r="C76" s="72" t="n"/>
      <c r="D76" s="1691">
        <f>C79</f>
        <v/>
      </c>
      <c r="E76" s="1691">
        <f>D79</f>
        <v/>
      </c>
      <c r="F76" s="1691">
        <f>E79</f>
        <v/>
      </c>
      <c r="G76" s="1691">
        <f>F79</f>
        <v/>
      </c>
      <c r="H76" s="1691">
        <f>G79</f>
        <v/>
      </c>
      <c r="I76" s="1691">
        <f>H79</f>
        <v/>
      </c>
      <c r="J76" s="1706">
        <f>I79</f>
        <v/>
      </c>
      <c r="K76" s="477" t="n"/>
    </row>
    <row r="77">
      <c r="A77" s="61" t="inlineStr">
        <is>
          <t>Unlevered free cash flow</t>
        </is>
      </c>
      <c r="B77" s="69" t="inlineStr">
        <is>
          <t>Rs cr</t>
        </is>
      </c>
      <c r="C77" s="72" t="n"/>
      <c r="D77" s="1691">
        <f>'Cash Flow Model'!D$108</f>
        <v/>
      </c>
      <c r="E77" s="1691">
        <f>'Cash Flow Model'!E$108</f>
        <v/>
      </c>
      <c r="F77" s="1691">
        <f>'Cash Flow Model'!F$108</f>
        <v/>
      </c>
      <c r="G77" s="1691">
        <f>'Cash Flow Model'!G$108</f>
        <v/>
      </c>
      <c r="H77" s="1691">
        <f>'Cash Flow Model'!H$108</f>
        <v/>
      </c>
      <c r="I77" s="1691">
        <f>'Cash Flow Model'!I$108</f>
        <v/>
      </c>
      <c r="J77" s="1706">
        <f>'Cash Flow Model'!J$108</f>
        <v/>
      </c>
      <c r="K77" s="477" t="n"/>
    </row>
    <row r="78">
      <c r="A78" s="61" t="inlineStr">
        <is>
          <t>Interest paid (illustrative)</t>
        </is>
      </c>
      <c r="B78" s="69" t="inlineStr">
        <is>
          <t>Rs cr</t>
        </is>
      </c>
      <c r="C78" s="72" t="n"/>
      <c r="D78" s="1691" t="n">
        <v>13764.0744</v>
      </c>
      <c r="E78" s="1691" t="n">
        <v>10288.37423272782</v>
      </c>
      <c r="F78" s="1691" t="n">
        <v>3094.941340056494</v>
      </c>
      <c r="G78" s="1691" t="n">
        <v>-5304.060151454764</v>
      </c>
      <c r="H78" s="1691" t="n">
        <v>-15883.6003837392</v>
      </c>
      <c r="I78" s="1691" t="n">
        <v>-30507.1708904399</v>
      </c>
      <c r="J78" s="1706" t="n">
        <v>-49138.56103259772</v>
      </c>
      <c r="K78" s="477" t="n"/>
    </row>
    <row r="79">
      <c r="A79" s="68" t="inlineStr">
        <is>
          <t>Closing net debt</t>
        </is>
      </c>
      <c r="B79" s="69" t="inlineStr">
        <is>
          <t>Rs cr</t>
        </is>
      </c>
      <c r="C79" s="1707" t="n">
        <v>185001</v>
      </c>
      <c r="D79" s="1707">
        <f>D76-D77+D78</f>
        <v/>
      </c>
      <c r="E79" s="1707">
        <f>E76-E77+E78</f>
        <v/>
      </c>
      <c r="F79" s="1707">
        <f>F76-F77+F78</f>
        <v/>
      </c>
      <c r="G79" s="1707">
        <f>G76-G77+G78</f>
        <v/>
      </c>
      <c r="H79" s="1707">
        <f>H76-H77+H78</f>
        <v/>
      </c>
      <c r="I79" s="1707">
        <f>I76-I77+I78</f>
        <v/>
      </c>
      <c r="J79" s="1708">
        <f>J76-J77+J78</f>
        <v/>
      </c>
      <c r="K79" s="477" t="n"/>
    </row>
    <row r="80">
      <c r="A80" s="1704" t="inlineStr">
        <is>
          <t>LEVERAGE</t>
        </is>
      </c>
      <c r="K80" s="1705" t="n"/>
    </row>
    <row r="81">
      <c r="A81" s="61" t="inlineStr">
        <is>
          <t>Industry EBITDA</t>
        </is>
      </c>
      <c r="B81" s="69" t="inlineStr">
        <is>
          <t>Rs cr</t>
        </is>
      </c>
      <c r="C81" s="1691" t="n">
        <v>172736.902</v>
      </c>
      <c r="D81" s="1691">
        <f>'EBITDA Model'!D$103</f>
        <v/>
      </c>
      <c r="E81" s="1691">
        <f>'EBITDA Model'!E$103</f>
        <v/>
      </c>
      <c r="F81" s="1691">
        <f>'EBITDA Model'!F$103</f>
        <v/>
      </c>
      <c r="G81" s="1691">
        <f>'EBITDA Model'!G$103</f>
        <v/>
      </c>
      <c r="H81" s="1691">
        <f>'EBITDA Model'!H$103</f>
        <v/>
      </c>
      <c r="I81" s="1691">
        <f>'EBITDA Model'!I$103</f>
        <v/>
      </c>
      <c r="J81" s="1706">
        <f>'EBITDA Model'!J$103</f>
        <v/>
      </c>
      <c r="K81" s="477" t="n"/>
    </row>
    <row r="82">
      <c r="A82" s="68" t="inlineStr">
        <is>
          <t>Net debt / EBITDA</t>
        </is>
      </c>
      <c r="B82" s="69" t="inlineStr">
        <is>
          <t>x</t>
        </is>
      </c>
      <c r="C82" s="1731" t="n">
        <v>1.070998714565345</v>
      </c>
      <c r="D82" s="1731">
        <f>IFERROR(D79/D81,"")</f>
        <v/>
      </c>
      <c r="E82" s="1731">
        <f>IFERROR(E79/E81,"")</f>
        <v/>
      </c>
      <c r="F82" s="1731">
        <f>IFERROR(F79/F81,"")</f>
        <v/>
      </c>
      <c r="G82" s="1731">
        <f>IFERROR(G79/G81,"")</f>
        <v/>
      </c>
      <c r="H82" s="1731">
        <f>IFERROR(H79/H81,"")</f>
        <v/>
      </c>
      <c r="I82" s="1731">
        <f>IFERROR(I79/I81,"")</f>
        <v/>
      </c>
      <c r="J82" s="1732">
        <f>IFERROR(J79/J81,"")</f>
        <v/>
      </c>
      <c r="K82" s="477" t="n"/>
    </row>
    <row r="83">
      <c r="A83" s="61" t="inlineStr">
        <is>
          <t>Leverage covenant headroom vs 3.0x</t>
        </is>
      </c>
      <c r="B83" s="69" t="inlineStr">
        <is>
          <t>x</t>
        </is>
      </c>
      <c r="C83" s="72" t="n"/>
      <c r="D83" s="1733">
        <f>3-D82</f>
        <v/>
      </c>
      <c r="E83" s="1733">
        <f>3-E82</f>
        <v/>
      </c>
      <c r="F83" s="1733">
        <f>3-F82</f>
        <v/>
      </c>
      <c r="G83" s="1733">
        <f>3-G82</f>
        <v/>
      </c>
      <c r="H83" s="1733">
        <f>3-H82</f>
        <v/>
      </c>
      <c r="I83" s="1733">
        <f>3-I82</f>
        <v/>
      </c>
      <c r="J83" s="1734">
        <f>3-J82</f>
        <v/>
      </c>
      <c r="K83" s="477" t="n"/>
    </row>
    <row r="84">
      <c r="A84" s="1704" t="inlineStr">
        <is>
          <t>CUMULATIVE CAPITAL DEPLOYED</t>
        </is>
      </c>
      <c r="K84" s="1705" t="n"/>
    </row>
    <row r="85">
      <c r="A85" s="61" t="inlineStr">
        <is>
          <t>Total capex</t>
        </is>
      </c>
      <c r="B85" s="69" t="inlineStr">
        <is>
          <t>Rs cr</t>
        </is>
      </c>
      <c r="C85" s="72" t="n"/>
      <c r="D85" s="1691">
        <f>'Cash Flow Model'!D$104</f>
        <v/>
      </c>
      <c r="E85" s="1691">
        <f>'Cash Flow Model'!E$104</f>
        <v/>
      </c>
      <c r="F85" s="1691">
        <f>'Cash Flow Model'!F$104</f>
        <v/>
      </c>
      <c r="G85" s="1691">
        <f>'Cash Flow Model'!G$104</f>
        <v/>
      </c>
      <c r="H85" s="1691">
        <f>'Cash Flow Model'!H$104</f>
        <v/>
      </c>
      <c r="I85" s="1691">
        <f>'Cash Flow Model'!I$104</f>
        <v/>
      </c>
      <c r="J85" s="1706">
        <f>'Cash Flow Model'!J$104</f>
        <v/>
      </c>
      <c r="K85" s="477" t="n"/>
    </row>
    <row r="86" ht="15" customHeight="1" thickBot="1">
      <c r="A86" s="86" t="inlineStr">
        <is>
          <t>Cumulative capex FY2027E onwards</t>
        </is>
      </c>
      <c r="B86" s="70" t="inlineStr">
        <is>
          <t>Rs cr</t>
        </is>
      </c>
      <c r="C86" s="1735" t="n">
        <v>0</v>
      </c>
      <c r="D86" s="1689">
        <f>C86+D85</f>
        <v/>
      </c>
      <c r="E86" s="1689">
        <f>D86+E85</f>
        <v/>
      </c>
      <c r="F86" s="1689">
        <f>E86+F85</f>
        <v/>
      </c>
      <c r="G86" s="1689">
        <f>F86+G85</f>
        <v/>
      </c>
      <c r="H86" s="1689">
        <f>G86+H85</f>
        <v/>
      </c>
      <c r="I86" s="1689">
        <f>H86+I85</f>
        <v/>
      </c>
      <c r="J86" s="1736">
        <f>I86+J85</f>
        <v/>
      </c>
      <c r="K86" s="477" t="n"/>
    </row>
    <row r="88">
      <c r="A88" s="1132" t="inlineStr">
        <is>
          <t>No dividend or buyback is modelled at industry level. The database records FY2026 dividends of Rs 4.00 per share at Tata Steel, Rs 7.10 at JSW Steel, Rs 2.35 at SAIL, Rs 2.00 at Jindal Steel and Rs 4.00 at Jindal Stainless; add them in single-name models.</t>
        </is>
      </c>
    </row>
  </sheetData>
  <mergeCells count="15">
    <mergeCell ref="A2:F2"/>
    <mergeCell ref="A5:J5"/>
    <mergeCell ref="A74:K74"/>
    <mergeCell ref="A7:I7"/>
    <mergeCell ref="A19:I19"/>
    <mergeCell ref="A88:J88"/>
    <mergeCell ref="A66:I66"/>
    <mergeCell ref="A1:L1"/>
    <mergeCell ref="A45:I45"/>
    <mergeCell ref="A56:I56"/>
    <mergeCell ref="A84:K84"/>
    <mergeCell ref="A34:I34"/>
    <mergeCell ref="A80:K80"/>
    <mergeCell ref="K3:L3"/>
    <mergeCell ref="I3:J3"/>
  </mergeCells>
  <pageMargins left="0.7" right="0.7" top="0.75" bottom="0.75" header="0.3" footer="0.3"/>
</worksheet>
</file>

<file path=xl/worksheets/sheet23.xml><?xml version="1.0" encoding="utf-8"?>
<worksheet xmlns="http://schemas.openxmlformats.org/spreadsheetml/2006/main">
  <sheetPr codeName="Sheet23">
    <tabColor rgb="FF002060"/>
    <outlinePr summaryBelow="1" summaryRight="1"/>
    <pageSetUpPr/>
  </sheetPr>
  <dimension ref="A1:K98"/>
  <sheetViews>
    <sheetView showGridLines="0" zoomScaleNormal="100" workbookViewId="0">
      <selection activeCell="H3" sqref="H3:K3"/>
    </sheetView>
  </sheetViews>
  <sheetFormatPr baseColWidth="8" defaultRowHeight="14.4"/>
  <cols>
    <col width="28.88671875" customWidth="1" style="1262" min="1" max="1"/>
    <col width="16.44140625" customWidth="1" style="107" min="2" max="10"/>
    <col width="12.33203125" customWidth="1" style="1262" min="11" max="11"/>
    <col width="8.88671875" customWidth="1" style="1262" min="12" max="16384"/>
  </cols>
  <sheetData>
    <row r="1" ht="25.8" customHeight="1">
      <c r="A1" s="1133" t="inlineStr">
        <is>
          <t>INDUSTRY CYCLE MODEL</t>
        </is>
      </c>
    </row>
    <row r="2" ht="15" customHeight="1" thickBot="1">
      <c r="A2" s="1136" t="inlineStr">
        <is>
          <t>Industry Financial Model  |  Indian Steel Industry  |  Horizon FY2027E-FY2033E  |  Base year FY2026A</t>
        </is>
      </c>
    </row>
    <row r="3" ht="16.2" customHeight="1" thickBot="1">
      <c r="A3" s="1167" t="n"/>
      <c r="H3" s="1407" t="inlineStr">
        <is>
          <t>Active Scenario</t>
        </is>
      </c>
      <c r="I3" s="1401" t="n"/>
      <c r="J3" s="760">
        <f>'Control Panel'!$E$17</f>
        <v/>
      </c>
      <c r="K3" s="1354" t="n"/>
    </row>
    <row r="4">
      <c r="A4" s="1145" t="inlineStr">
        <is>
          <t>OBJECTIVE</t>
        </is>
      </c>
      <c r="B4" s="115" t="n"/>
      <c r="C4" s="115" t="n"/>
      <c r="D4" s="115" t="n"/>
      <c r="E4" s="115" t="n"/>
      <c r="F4" s="115" t="n"/>
      <c r="G4" s="115" t="n"/>
      <c r="H4" s="115" t="n"/>
      <c r="I4" s="115" t="n"/>
      <c r="J4" s="115" t="n"/>
    </row>
    <row r="5">
      <c r="A5" s="1134" t="inlineStr">
        <is>
          <t>Identify the current and forecast stage of the Indian steel industry cycle using macroeconomic indicators, demand, supply, pricing, profitability, and investment activity.</t>
        </is>
      </c>
    </row>
    <row r="6">
      <c r="A6" s="1134" t="n"/>
      <c r="B6" s="1134" t="n"/>
      <c r="C6" s="1134" t="n"/>
      <c r="D6" s="1134" t="n"/>
      <c r="E6" s="1134" t="n"/>
      <c r="F6" s="1134" t="n"/>
      <c r="G6" s="1134" t="n"/>
      <c r="H6" s="1134" t="n"/>
      <c r="I6" s="1134" t="n"/>
      <c r="J6" s="1134" t="n"/>
    </row>
    <row r="7" ht="15.6" customHeight="1">
      <c r="A7" s="1137" t="inlineStr">
        <is>
          <t>Executive Summary</t>
        </is>
      </c>
      <c r="J7" s="1134" t="n"/>
    </row>
    <row r="8">
      <c r="A8" s="1193" t="inlineStr">
        <is>
          <t>KPI</t>
        </is>
      </c>
      <c r="B8" s="967" t="inlineStr">
        <is>
          <t>FY26A</t>
        </is>
      </c>
      <c r="C8" s="967" t="inlineStr">
        <is>
          <t>FY27E</t>
        </is>
      </c>
      <c r="D8" s="967" t="inlineStr">
        <is>
          <t>FY28E</t>
        </is>
      </c>
      <c r="E8" s="967" t="inlineStr">
        <is>
          <t>FY29E</t>
        </is>
      </c>
      <c r="F8" s="967" t="inlineStr">
        <is>
          <t>FY30E</t>
        </is>
      </c>
      <c r="G8" s="967" t="inlineStr">
        <is>
          <t>FY31E</t>
        </is>
      </c>
      <c r="H8" s="967" t="inlineStr">
        <is>
          <t>FY32E</t>
        </is>
      </c>
      <c r="I8" s="967" t="inlineStr">
        <is>
          <t>FY33E</t>
        </is>
      </c>
      <c r="J8" s="269" t="inlineStr">
        <is>
          <t>Audit Code</t>
        </is>
      </c>
    </row>
    <row r="9">
      <c r="A9" s="1199" t="inlineStr">
        <is>
          <t>Cycle Phase</t>
        </is>
      </c>
      <c r="B9" s="1005">
        <f>IF(C27&gt;=80,"Overheating",IF(C27&gt;=60,"Peak",IF(C27&gt;=40,"Expansion",IF(C27&gt;=20,"Recovery","Deep Downturn"))))</f>
        <v/>
      </c>
      <c r="C9" s="1005">
        <f>IF(D27&gt;=80,"Overheating",IF(D27&gt;=60,"Peak",IF(D27&gt;=40,"Expansion",IF(D27&gt;=20,"Recovery","Deep Downturn"))))</f>
        <v/>
      </c>
      <c r="D9" s="1005">
        <f>IF(E27&gt;=80,"Overheating",IF(E27&gt;=60,"Peak",IF(E27&gt;=40,"Expansion",IF(E27&gt;=20,"Recovery","Deep Downturn"))))</f>
        <v/>
      </c>
      <c r="E9" s="1005">
        <f>IF(F27&gt;=80,"Overheating",IF(F27&gt;=60,"Peak",IF(F27&gt;=40,"Expansion",IF(F27&gt;=20,"Recovery","Deep Downturn"))))</f>
        <v/>
      </c>
      <c r="F9" s="1005">
        <f>IF(G27&gt;=80,"Overheating",IF(G27&gt;=60,"Peak",IF(G27&gt;=40,"Expansion",IF(G27&gt;=20,"Recovery","Deep Downturn"))))</f>
        <v/>
      </c>
      <c r="G9" s="1005">
        <f>IF(H27&gt;=80,"Overheating",IF(H27&gt;=60,"Peak",IF(H27&gt;=40,"Expansion",IF(H27&gt;=20,"Recovery","Deep Downturn"))))</f>
        <v/>
      </c>
      <c r="H9" s="1005">
        <f>IF(I27&gt;=80,"Overheating",IF(I27&gt;=60,"Peak",IF(I27&gt;=40,"Expansion",IF(I27&gt;=20,"Recovery","Deep Downturn"))))</f>
        <v/>
      </c>
      <c r="I9" s="1005">
        <f>IF(J27&gt;=80,"Overheating",IF(J27&gt;=60,"Peak",IF(J27&gt;=40,"Expansion",IF(J27&gt;=20,"Recovery","Deep Downturn"))))</f>
        <v/>
      </c>
      <c r="J9" s="334" t="n"/>
    </row>
    <row r="10">
      <c r="A10" s="1199" t="inlineStr">
        <is>
          <t>Cycle Score (0–100)</t>
        </is>
      </c>
      <c r="B10" s="1737">
        <f>$C$27</f>
        <v/>
      </c>
      <c r="C10" s="1737">
        <f>$D$27</f>
        <v/>
      </c>
      <c r="D10" s="1737">
        <f>$E$27</f>
        <v/>
      </c>
      <c r="E10" s="1737">
        <f>$F$27</f>
        <v/>
      </c>
      <c r="F10" s="1737">
        <f>$G$27</f>
        <v/>
      </c>
      <c r="G10" s="1737">
        <f>$H$27</f>
        <v/>
      </c>
      <c r="H10" s="1737">
        <f>$I$27</f>
        <v/>
      </c>
      <c r="I10" s="1737">
        <f>$J$27</f>
        <v/>
      </c>
      <c r="J10" s="334" t="n"/>
    </row>
    <row r="11">
      <c r="A11" s="1199" t="inlineStr">
        <is>
          <t>Industry Risk</t>
        </is>
      </c>
      <c r="B11" s="1005">
        <f>IF(C27&gt;=80,"Elevated - late cycle risk",IF(C27&gt;=60,"Moderate",IF(C27&gt;=40,"Balanced",IF(C27&gt;=20,"High","Severe"))))</f>
        <v/>
      </c>
      <c r="C11" s="1005">
        <f>IF(D27&gt;=80,"Elevated - late cycle risk",IF(D27&gt;=60,"Moderate",IF(D27&gt;=40,"Balanced",IF(D27&gt;=20,"High","Severe"))))</f>
        <v/>
      </c>
      <c r="D11" s="1005">
        <f>IF(E27&gt;=80,"Elevated - late cycle risk",IF(E27&gt;=60,"Moderate",IF(E27&gt;=40,"Balanced",IF(E27&gt;=20,"High","Severe"))))</f>
        <v/>
      </c>
      <c r="E11" s="1005">
        <f>IF(F27&gt;=80,"Elevated - late cycle risk",IF(F27&gt;=60,"Moderate",IF(F27&gt;=40,"Balanced",IF(F27&gt;=20,"High","Severe"))))</f>
        <v/>
      </c>
      <c r="F11" s="1005">
        <f>IF(G27&gt;=80,"Elevated - late cycle risk",IF(G27&gt;=60,"Moderate",IF(G27&gt;=40,"Balanced",IF(G27&gt;=20,"High","Severe"))))</f>
        <v/>
      </c>
      <c r="G11" s="1005">
        <f>IF(H27&gt;=80,"Elevated - late cycle risk",IF(H27&gt;=60,"Moderate",IF(H27&gt;=40,"Balanced",IF(H27&gt;=20,"High","Severe"))))</f>
        <v/>
      </c>
      <c r="H11" s="1005">
        <f>IF(I27&gt;=80,"Elevated - late cycle risk",IF(I27&gt;=60,"Moderate",IF(I27&gt;=40,"Balanced",IF(I27&gt;=20,"High","Severe"))))</f>
        <v/>
      </c>
      <c r="I11" s="1005">
        <f>IF(J27&gt;=80,"Elevated - late cycle risk",IF(J27&gt;=60,"Moderate",IF(J27&gt;=40,"Balanced",IF(J27&gt;=20,"High","Severe"))))</f>
        <v/>
      </c>
      <c r="J11" s="334" t="n"/>
    </row>
    <row r="12">
      <c r="A12" s="1199" t="inlineStr">
        <is>
          <t>Pricing Power</t>
        </is>
      </c>
      <c r="B12" s="1021">
        <f>IF('Capacity Utilisation'!C67&gt;0.03,"Strong",IF('Capacity Utilisation'!C67&gt;0,"Improving",IF('Capacity Utilisation'!C67&gt;-0.04,"Limited","Weak")))</f>
        <v/>
      </c>
      <c r="C12" s="1021">
        <f>IF('Capacity Utilisation'!D67&gt;0.03,"Strong",IF('Capacity Utilisation'!D67&gt;0,"Improving",IF('Capacity Utilisation'!D67&gt;-0.04,"Limited","Weak")))</f>
        <v/>
      </c>
      <c r="D12" s="1021">
        <f>IF('Capacity Utilisation'!E67&gt;0.03,"Strong",IF('Capacity Utilisation'!E67&gt;0,"Improving",IF('Capacity Utilisation'!E67&gt;-0.04,"Limited","Weak")))</f>
        <v/>
      </c>
      <c r="E12" s="1021">
        <f>IF('Capacity Utilisation'!F67&gt;0.03,"Strong",IF('Capacity Utilisation'!F67&gt;0,"Improving",IF('Capacity Utilisation'!F67&gt;-0.04,"Limited","Weak")))</f>
        <v/>
      </c>
      <c r="F12" s="1021">
        <f>IF('Capacity Utilisation'!G67&gt;0.03,"Strong",IF('Capacity Utilisation'!G67&gt;0,"Improving",IF('Capacity Utilisation'!G67&gt;-0.04,"Limited","Weak")))</f>
        <v/>
      </c>
      <c r="G12" s="1021">
        <f>IF('Capacity Utilisation'!H67&gt;0.03,"Strong",IF('Capacity Utilisation'!H67&gt;0,"Improving",IF('Capacity Utilisation'!H67&gt;-0.04,"Limited","Weak")))</f>
        <v/>
      </c>
      <c r="H12" s="1021">
        <f>IF('Capacity Utilisation'!I67&gt;0.03,"Strong",IF('Capacity Utilisation'!I67&gt;0,"Improving",IF('Capacity Utilisation'!I67&gt;-0.04,"Limited","Weak")))</f>
        <v/>
      </c>
      <c r="I12" s="1021">
        <f>IF('Capacity Utilisation'!J67&gt;0.03,"Strong",IF('Capacity Utilisation'!J67&gt;0,"Improving",IF('Capacity Utilisation'!J67&gt;-0.04,"Limited","Weak")))</f>
        <v/>
      </c>
      <c r="J12" s="334" t="n"/>
    </row>
    <row r="13">
      <c r="A13" s="1199" t="inlineStr">
        <is>
          <t>Profitability Outlook</t>
        </is>
      </c>
      <c r="B13" s="1021">
        <f>IF('Margin Analysis'!C81&gt;C86+0.04,"Above mid-cycle",IF('Margin Analysis'!C81&gt;C86,"At mid-cycle",IF('Margin Analysis'!C81&gt;C86-0.05,"Below mid-cycle","Trough")))</f>
        <v/>
      </c>
      <c r="C13" s="1021">
        <f>IF('Margin Analysis'!D81&gt;D86+0.04,"Above mid-cycle",IF('Margin Analysis'!D81&gt;D86,"At mid-cycle",IF('Margin Analysis'!D81&gt;D86-0.05,"Below mid-cycle","Trough")))</f>
        <v/>
      </c>
      <c r="D13" s="1021">
        <f>IF('Margin Analysis'!E81&gt;E86+0.04,"Above mid-cycle",IF('Margin Analysis'!E81&gt;E86,"At mid-cycle",IF('Margin Analysis'!E81&gt;E86-0.05,"Below mid-cycle","Trough")))</f>
        <v/>
      </c>
      <c r="E13" s="1021">
        <f>IF('Margin Analysis'!F81&gt;F86+0.04,"Above mid-cycle",IF('Margin Analysis'!F81&gt;F86,"At mid-cycle",IF('Margin Analysis'!F81&gt;F86-0.05,"Below mid-cycle","Trough")))</f>
        <v/>
      </c>
      <c r="F13" s="1021">
        <f>IF('Margin Analysis'!G81&gt;G86+0.04,"Above mid-cycle",IF('Margin Analysis'!G81&gt;G86,"At mid-cycle",IF('Margin Analysis'!G81&gt;G86-0.05,"Below mid-cycle","Trough")))</f>
        <v/>
      </c>
      <c r="G13" s="1021">
        <f>IF('Margin Analysis'!H81&gt;H86+0.04,"Above mid-cycle",IF('Margin Analysis'!H81&gt;H86,"At mid-cycle",IF('Margin Analysis'!H81&gt;H86-0.05,"Below mid-cycle","Trough")))</f>
        <v/>
      </c>
      <c r="H13" s="1021">
        <f>IF('Margin Analysis'!I81&gt;I86+0.04,"Above mid-cycle",IF('Margin Analysis'!I81&gt;I86,"At mid-cycle",IF('Margin Analysis'!I81&gt;I86-0.05,"Below mid-cycle","Trough")))</f>
        <v/>
      </c>
      <c r="I13" s="1021">
        <f>IF('Margin Analysis'!J81&gt;J86+0.04,"Above mid-cycle",IF('Margin Analysis'!J81&gt;J86,"At mid-cycle",IF('Margin Analysis'!J81&gt;J86-0.05,"Below mid-cycle","Trough")))</f>
        <v/>
      </c>
      <c r="J13" s="334" t="n"/>
    </row>
    <row r="14">
      <c r="A14" s="1199" t="inlineStr">
        <is>
          <t>Investment Outlook</t>
        </is>
      </c>
      <c r="B14" s="1007">
        <f>IF(C27&gt;=60,"Late - discipline required",IF(C27&gt;=40,"Selective",IF(C27&gt;=20,"Accumulate","Deep value")))</f>
        <v/>
      </c>
      <c r="C14" s="1007">
        <f>IF(D27&gt;=60,"Late - discipline required",IF(D27&gt;=40,"Selective",IF(D27&gt;=20,"Accumulate","Deep value")))</f>
        <v/>
      </c>
      <c r="D14" s="1007">
        <f>IF(E27&gt;=60,"Late - discipline required",IF(E27&gt;=40,"Selective",IF(E27&gt;=20,"Accumulate","Deep value")))</f>
        <v/>
      </c>
      <c r="E14" s="1007">
        <f>IF(F27&gt;=60,"Late - discipline required",IF(F27&gt;=40,"Selective",IF(F27&gt;=20,"Accumulate","Deep value")))</f>
        <v/>
      </c>
      <c r="F14" s="1007">
        <f>IF(G27&gt;=60,"Late - discipline required",IF(G27&gt;=40,"Selective",IF(G27&gt;=20,"Accumulate","Deep value")))</f>
        <v/>
      </c>
      <c r="G14" s="1007">
        <f>IF(H27&gt;=60,"Late - discipline required",IF(H27&gt;=40,"Selective",IF(H27&gt;=20,"Accumulate","Deep value")))</f>
        <v/>
      </c>
      <c r="H14" s="1007">
        <f>IF(I27&gt;=60,"Late - discipline required",IF(I27&gt;=40,"Selective",IF(I27&gt;=20,"Accumulate","Deep value")))</f>
        <v/>
      </c>
      <c r="I14" s="1007">
        <f>IF(J27&gt;=60,"Late - discipline required",IF(J27&gt;=40,"Selective",IF(J27&gt;=20,"Accumulate","Deep value")))</f>
        <v/>
      </c>
      <c r="J14" s="334" t="n"/>
    </row>
    <row r="15">
      <c r="A15" s="1134" t="n"/>
      <c r="B15" s="1134" t="n"/>
      <c r="C15" s="1134" t="n"/>
      <c r="D15" s="1134" t="n"/>
      <c r="E15" s="1134" t="n"/>
      <c r="F15" s="1134" t="n"/>
      <c r="G15" s="1134" t="n"/>
      <c r="H15" s="1134" t="n"/>
      <c r="I15" s="1134" t="n"/>
      <c r="J15" s="1134" t="n"/>
    </row>
    <row r="16">
      <c r="A16" s="1134" t="n"/>
      <c r="B16" s="1134" t="n"/>
      <c r="C16" s="1134" t="n"/>
      <c r="D16" s="1134" t="n"/>
      <c r="E16" s="1134" t="n"/>
      <c r="F16" s="1134" t="n"/>
      <c r="G16" s="1134" t="n"/>
      <c r="H16" s="1134" t="n"/>
      <c r="I16" s="1134" t="n"/>
      <c r="J16" s="1134" t="n"/>
    </row>
    <row r="17" ht="15.6" customHeight="1">
      <c r="A17" s="1137" t="inlineStr">
        <is>
          <t>Industry Cycle Scorecrd</t>
        </is>
      </c>
      <c r="J17" s="1134" t="n"/>
    </row>
    <row r="18">
      <c r="A18" s="1193" t="inlineStr">
        <is>
          <t>Indicator</t>
        </is>
      </c>
      <c r="B18" s="1237" t="inlineStr">
        <is>
          <t>Weight</t>
        </is>
      </c>
      <c r="C18" s="967" t="inlineStr">
        <is>
          <t>FY26A</t>
        </is>
      </c>
      <c r="D18" s="967" t="inlineStr">
        <is>
          <t>FY27E</t>
        </is>
      </c>
      <c r="E18" s="967" t="inlineStr">
        <is>
          <t>FY28E</t>
        </is>
      </c>
      <c r="F18" s="967" t="inlineStr">
        <is>
          <t>FY29E</t>
        </is>
      </c>
      <c r="G18" s="967" t="inlineStr">
        <is>
          <t>FY30E</t>
        </is>
      </c>
      <c r="H18" s="967" t="inlineStr">
        <is>
          <t>FY31E</t>
        </is>
      </c>
      <c r="I18" s="967" t="inlineStr">
        <is>
          <t>FY32E</t>
        </is>
      </c>
      <c r="J18" s="967" t="inlineStr">
        <is>
          <t>FY33E</t>
        </is>
      </c>
      <c r="K18" s="269" t="inlineStr">
        <is>
          <t>Audit Code</t>
        </is>
      </c>
    </row>
    <row r="19">
      <c r="A19" s="1199" t="inlineStr">
        <is>
          <t>GDP Growth</t>
        </is>
      </c>
      <c r="B19" s="1015" t="n">
        <v>0.15</v>
      </c>
      <c r="C19" s="1737">
        <f>MEDIAN(0,100,('Macroeconomic Model'!B13-0.04)/0.05*100)</f>
        <v/>
      </c>
      <c r="D19" s="1737">
        <f>MEDIAN(0,100,('Macroeconomic Model'!C13-0.04)/0.05*100)</f>
        <v/>
      </c>
      <c r="E19" s="1737">
        <f>MEDIAN(0,100,('Macroeconomic Model'!D13-0.04)/0.05*100)</f>
        <v/>
      </c>
      <c r="F19" s="1737">
        <f>MEDIAN(0,100,('Macroeconomic Model'!E13-0.04)/0.05*100)</f>
        <v/>
      </c>
      <c r="G19" s="1737">
        <f>MEDIAN(0,100,('Macroeconomic Model'!F13-0.04)/0.05*100)</f>
        <v/>
      </c>
      <c r="H19" s="1737">
        <f>MEDIAN(0,100,('Macroeconomic Model'!G13-0.04)/0.05*100)</f>
        <v/>
      </c>
      <c r="I19" s="1737">
        <f>MEDIAN(0,100,('Macroeconomic Model'!H13-0.04)/0.05*100)</f>
        <v/>
      </c>
      <c r="J19" s="1737">
        <f>MEDIAN(0,100,('Macroeconomic Model'!I13-0.04)/0.05*100)</f>
        <v/>
      </c>
      <c r="K19" s="477" t="n"/>
    </row>
    <row r="20">
      <c r="A20" s="1199" t="inlineStr">
        <is>
          <t>Steel Demand Growth</t>
        </is>
      </c>
      <c r="B20" s="1015" t="n">
        <v>0.2</v>
      </c>
      <c r="C20" s="1737">
        <f>MEDIAN(0,100,('Steel Demand Model'!C74-0.02)/0.1*100)</f>
        <v/>
      </c>
      <c r="D20" s="1737">
        <f>MEDIAN(0,100,('Steel Demand Model'!D74-0.02)/0.1*100)</f>
        <v/>
      </c>
      <c r="E20" s="1737">
        <f>MEDIAN(0,100,('Steel Demand Model'!E74-0.02)/0.1*100)</f>
        <v/>
      </c>
      <c r="F20" s="1737">
        <f>MEDIAN(0,100,('Steel Demand Model'!F74-0.02)/0.1*100)</f>
        <v/>
      </c>
      <c r="G20" s="1737">
        <f>MEDIAN(0,100,('Steel Demand Model'!G74-0.02)/0.1*100)</f>
        <v/>
      </c>
      <c r="H20" s="1737">
        <f>MEDIAN(0,100,('Steel Demand Model'!H74-0.02)/0.1*100)</f>
        <v/>
      </c>
      <c r="I20" s="1737">
        <f>MEDIAN(0,100,('Steel Demand Model'!I74-0.02)/0.1*100)</f>
        <v/>
      </c>
      <c r="J20" s="1737">
        <f>MEDIAN(0,100,('Steel Demand Model'!J74-0.02)/0.1*100)</f>
        <v/>
      </c>
      <c r="K20" s="477" t="n"/>
    </row>
    <row r="21">
      <c r="A21" s="1199" t="inlineStr">
        <is>
          <t>Capacity Utilisation</t>
        </is>
      </c>
      <c r="B21" s="1015" t="n">
        <v>0.2</v>
      </c>
      <c r="C21" s="1737">
        <f>MEDIAN(0,100,('Capacity Utilisation'!C65-0.65)/0.27*100)</f>
        <v/>
      </c>
      <c r="D21" s="1737">
        <f>MEDIAN(0,100,('Capacity Utilisation'!D65-0.65)/0.27*100)</f>
        <v/>
      </c>
      <c r="E21" s="1737">
        <f>MEDIAN(0,100,('Capacity Utilisation'!E65-0.65)/0.27*100)</f>
        <v/>
      </c>
      <c r="F21" s="1737">
        <f>MEDIAN(0,100,('Capacity Utilisation'!F65-0.65)/0.27*100)</f>
        <v/>
      </c>
      <c r="G21" s="1737">
        <f>MEDIAN(0,100,('Capacity Utilisation'!G65-0.65)/0.27*100)</f>
        <v/>
      </c>
      <c r="H21" s="1737">
        <f>MEDIAN(0,100,('Capacity Utilisation'!H65-0.65)/0.27*100)</f>
        <v/>
      </c>
      <c r="I21" s="1737">
        <f>MEDIAN(0,100,('Capacity Utilisation'!I65-0.65)/0.27*100)</f>
        <v/>
      </c>
      <c r="J21" s="1737">
        <f>MEDIAN(0,100,('Capacity Utilisation'!J65-0.65)/0.27*100)</f>
        <v/>
      </c>
      <c r="K21" s="477" t="n"/>
    </row>
    <row r="22">
      <c r="A22" s="1199" t="inlineStr">
        <is>
          <t>Supply Gap</t>
        </is>
      </c>
      <c r="B22" s="1015" t="n">
        <v>0.15</v>
      </c>
      <c r="C22" s="1737">
        <f>MEDIAN(0,100,100-('Capacity Forecast'!C96-'Steel Supply Model'!C83)/'Capacity Forecast'!C96/0.3*100)</f>
        <v/>
      </c>
      <c r="D22" s="1737">
        <f>MEDIAN(0,100,100-('Capacity Forecast'!D96-'Steel Supply Model'!D83)/'Capacity Forecast'!D96/0.3*100)</f>
        <v/>
      </c>
      <c r="E22" s="1737">
        <f>MEDIAN(0,100,100-('Capacity Forecast'!E96-'Steel Supply Model'!E83)/'Capacity Forecast'!E96/0.3*100)</f>
        <v/>
      </c>
      <c r="F22" s="1737">
        <f>MEDIAN(0,100,100-('Capacity Forecast'!F96-'Steel Supply Model'!F83)/'Capacity Forecast'!F96/0.3*100)</f>
        <v/>
      </c>
      <c r="G22" s="1737">
        <f>MEDIAN(0,100,100-('Capacity Forecast'!G96-'Steel Supply Model'!G83)/'Capacity Forecast'!G96/0.3*100)</f>
        <v/>
      </c>
      <c r="H22" s="1737">
        <f>MEDIAN(0,100,100-('Capacity Forecast'!H96-'Steel Supply Model'!H83)/'Capacity Forecast'!H96/0.3*100)</f>
        <v/>
      </c>
      <c r="I22" s="1737">
        <f>MEDIAN(0,100,100-('Capacity Forecast'!I96-'Steel Supply Model'!I83)/'Capacity Forecast'!I96/0.3*100)</f>
        <v/>
      </c>
      <c r="J22" s="1737">
        <f>MEDIAN(0,100,100-('Capacity Forecast'!J96-'Steel Supply Model'!J83)/'Capacity Forecast'!J96/0.3*100)</f>
        <v/>
      </c>
      <c r="K22" s="477" t="n"/>
    </row>
    <row r="23">
      <c r="A23" s="1199" t="inlineStr">
        <is>
          <t>Steel Prices</t>
        </is>
      </c>
      <c r="B23" s="1015" t="n">
        <v>0.1</v>
      </c>
      <c r="C23" s="1737">
        <f>MEDIAN(0,100,('Steel Price Forecast'!C72-50000)/25000*100)</f>
        <v/>
      </c>
      <c r="D23" s="1737">
        <f>MEDIAN(0,100,('Steel Price Forecast'!D72-50000)/25000*100)</f>
        <v/>
      </c>
      <c r="E23" s="1737">
        <f>MEDIAN(0,100,('Steel Price Forecast'!E72-50000)/25000*100)</f>
        <v/>
      </c>
      <c r="F23" s="1737">
        <f>MEDIAN(0,100,('Steel Price Forecast'!F72-50000)/25000*100)</f>
        <v/>
      </c>
      <c r="G23" s="1737">
        <f>MEDIAN(0,100,('Steel Price Forecast'!G72-50000)/25000*100)</f>
        <v/>
      </c>
      <c r="H23" s="1737">
        <f>MEDIAN(0,100,('Steel Price Forecast'!H72-50000)/25000*100)</f>
        <v/>
      </c>
      <c r="I23" s="1737">
        <f>MEDIAN(0,100,('Steel Price Forecast'!I72-50000)/25000*100)</f>
        <v/>
      </c>
      <c r="J23" s="1737">
        <f>MEDIAN(0,100,('Steel Price Forecast'!J72-50000)/25000*100)</f>
        <v/>
      </c>
      <c r="K23" s="477" t="n"/>
    </row>
    <row r="24">
      <c r="A24" s="1199" t="inlineStr">
        <is>
          <t>EBITDA Margin</t>
        </is>
      </c>
      <c r="B24" s="1015" t="n">
        <v>0.1</v>
      </c>
      <c r="C24" s="1737">
        <f>MEDIAN(0,100,('Margin Analysis'!C81+0.1)/0.36*100)</f>
        <v/>
      </c>
      <c r="D24" s="1737">
        <f>MEDIAN(0,100,('Margin Analysis'!D81+0.1)/0.36*100)</f>
        <v/>
      </c>
      <c r="E24" s="1737">
        <f>MEDIAN(0,100,('Margin Analysis'!E81+0.1)/0.36*100)</f>
        <v/>
      </c>
      <c r="F24" s="1737">
        <f>MEDIAN(0,100,('Margin Analysis'!F81+0.1)/0.36*100)</f>
        <v/>
      </c>
      <c r="G24" s="1737">
        <f>MEDIAN(0,100,('Margin Analysis'!G81+0.1)/0.36*100)</f>
        <v/>
      </c>
      <c r="H24" s="1737">
        <f>MEDIAN(0,100,('Margin Analysis'!H81+0.1)/0.36*100)</f>
        <v/>
      </c>
      <c r="I24" s="1737">
        <f>MEDIAN(0,100,('Margin Analysis'!I81+0.1)/0.36*100)</f>
        <v/>
      </c>
      <c r="J24" s="1737">
        <f>MEDIAN(0,100,('Margin Analysis'!J81+0.1)/0.36*100)</f>
        <v/>
      </c>
      <c r="K24" s="477" t="n"/>
    </row>
    <row r="25">
      <c r="A25" s="1199" t="inlineStr">
        <is>
          <t>Capex Activity</t>
        </is>
      </c>
      <c r="B25" s="1015" t="n">
        <v>0.05</v>
      </c>
      <c r="C25" s="1737">
        <f>MEDIAN(0,100,'Capacity Forecast'!C95/25*100)</f>
        <v/>
      </c>
      <c r="D25" s="1737">
        <f>MEDIAN(0,100,'Capacity Forecast'!D95/25*100)</f>
        <v/>
      </c>
      <c r="E25" s="1737">
        <f>MEDIAN(0,100,'Capacity Forecast'!E95/25*100)</f>
        <v/>
      </c>
      <c r="F25" s="1737">
        <f>MEDIAN(0,100,'Capacity Forecast'!F95/25*100)</f>
        <v/>
      </c>
      <c r="G25" s="1737">
        <f>MEDIAN(0,100,'Capacity Forecast'!G95/25*100)</f>
        <v/>
      </c>
      <c r="H25" s="1737">
        <f>MEDIAN(0,100,'Capacity Forecast'!H95/25*100)</f>
        <v/>
      </c>
      <c r="I25" s="1737">
        <f>MEDIAN(0,100,'Capacity Forecast'!I95/25*100)</f>
        <v/>
      </c>
      <c r="J25" s="1737">
        <f>MEDIAN(0,100,'Capacity Forecast'!J95/25*100)</f>
        <v/>
      </c>
      <c r="K25" s="477" t="n"/>
    </row>
    <row r="26">
      <c r="A26" s="1199" t="inlineStr">
        <is>
          <t>Inventory Trend</t>
        </is>
      </c>
      <c r="B26" s="1015" t="n">
        <v>0.05</v>
      </c>
      <c r="C26" s="1737">
        <f>MEDIAN(0,100,50-'Steel Supply Model'!C80/'Steel Demand Model'!C75*1000)</f>
        <v/>
      </c>
      <c r="D26" s="1737">
        <f>MEDIAN(0,100,50-'Steel Supply Model'!D80/'Steel Demand Model'!D75*1000)</f>
        <v/>
      </c>
      <c r="E26" s="1737">
        <f>MEDIAN(0,100,50-'Steel Supply Model'!E80/'Steel Demand Model'!E75*1000)</f>
        <v/>
      </c>
      <c r="F26" s="1737">
        <f>MEDIAN(0,100,50-'Steel Supply Model'!F80/'Steel Demand Model'!F75*1000)</f>
        <v/>
      </c>
      <c r="G26" s="1737">
        <f>MEDIAN(0,100,50-'Steel Supply Model'!G80/'Steel Demand Model'!G75*1000)</f>
        <v/>
      </c>
      <c r="H26" s="1737">
        <f>MEDIAN(0,100,50-'Steel Supply Model'!H80/'Steel Demand Model'!H75*1000)</f>
        <v/>
      </c>
      <c r="I26" s="1737">
        <f>MEDIAN(0,100,50-'Steel Supply Model'!I80/'Steel Demand Model'!I75*1000)</f>
        <v/>
      </c>
      <c r="J26" s="1737">
        <f>MEDIAN(0,100,50-'Steel Supply Model'!J80/'Steel Demand Model'!J75*1000)</f>
        <v/>
      </c>
      <c r="K26" s="477" t="n"/>
    </row>
    <row r="27">
      <c r="A27" s="264" t="inlineStr">
        <is>
          <t>Cycle Score</t>
        </is>
      </c>
      <c r="B27" s="1008" t="n">
        <v>1</v>
      </c>
      <c r="C27" s="1738">
        <f>SUMPRODUCT($B$19:$B$26,C19:C26)</f>
        <v/>
      </c>
      <c r="D27" s="1738">
        <f>SUMPRODUCT($B$19:$B$26,D19:D26)</f>
        <v/>
      </c>
      <c r="E27" s="1738">
        <f>SUMPRODUCT($B$19:$B$26,E19:E26)</f>
        <v/>
      </c>
      <c r="F27" s="1738">
        <f>SUMPRODUCT($B$19:$B$26,F19:F26)</f>
        <v/>
      </c>
      <c r="G27" s="1738">
        <f>SUMPRODUCT($B$19:$B$26,G19:G26)</f>
        <v/>
      </c>
      <c r="H27" s="1738">
        <f>SUMPRODUCT($B$19:$B$26,H19:H26)</f>
        <v/>
      </c>
      <c r="I27" s="1738">
        <f>SUMPRODUCT($B$19:$B$26,I19:I26)</f>
        <v/>
      </c>
      <c r="J27" s="1738">
        <f>SUMPRODUCT($B$19:$B$26,J19:J26)</f>
        <v/>
      </c>
      <c r="K27" s="477" t="n"/>
    </row>
    <row r="28">
      <c r="A28" s="1134" t="n"/>
      <c r="B28" s="1134" t="n"/>
      <c r="C28" s="1134" t="n"/>
      <c r="D28" s="1134" t="n"/>
      <c r="E28" s="1134" t="n"/>
      <c r="F28" s="1134" t="n"/>
      <c r="G28" s="1134" t="n"/>
      <c r="H28" s="1134" t="n"/>
      <c r="I28" s="1134" t="n"/>
      <c r="J28" s="1134" t="n"/>
    </row>
    <row r="29">
      <c r="A29" s="1134" t="n"/>
      <c r="B29" s="1134" t="n"/>
      <c r="C29" s="1134" t="n"/>
      <c r="D29" s="1134" t="n"/>
      <c r="E29" s="1134" t="n"/>
      <c r="F29" s="1134" t="n"/>
      <c r="G29" s="1134" t="n"/>
      <c r="H29" s="1134" t="n"/>
      <c r="I29" s="1134" t="n"/>
      <c r="J29" s="1134" t="n"/>
    </row>
    <row r="30" ht="15.6" customHeight="1">
      <c r="A30" s="1137" t="inlineStr">
        <is>
          <t>Cycle Classification</t>
        </is>
      </c>
      <c r="J30" s="1134" t="n"/>
    </row>
    <row r="31">
      <c r="A31" s="1193" t="inlineStr">
        <is>
          <t>Score</t>
        </is>
      </c>
      <c r="B31" s="1193" t="inlineStr">
        <is>
          <t>Phase</t>
        </is>
      </c>
      <c r="C31" s="1134" t="n"/>
      <c r="D31" s="1134" t="n"/>
      <c r="E31" s="1134" t="n"/>
      <c r="F31" s="1134" t="n"/>
      <c r="G31" s="1134" t="n"/>
      <c r="H31" s="1134" t="n"/>
      <c r="I31" s="1134" t="n"/>
      <c r="J31" s="1134" t="n"/>
    </row>
    <row r="32">
      <c r="A32" s="1199" t="inlineStr">
        <is>
          <t>0–20</t>
        </is>
      </c>
      <c r="B32" s="1199" t="inlineStr">
        <is>
          <t>Deep Downturn</t>
        </is>
      </c>
      <c r="C32" s="1134" t="n"/>
      <c r="D32" s="1134" t="n"/>
      <c r="E32" s="1134" t="n"/>
      <c r="F32" s="1134" t="n"/>
      <c r="G32" s="1134" t="n"/>
      <c r="H32" s="1134" t="n"/>
      <c r="I32" s="1134" t="n"/>
      <c r="J32" s="1134" t="n"/>
    </row>
    <row r="33">
      <c r="A33" s="1199" t="inlineStr">
        <is>
          <t>20–40</t>
        </is>
      </c>
      <c r="B33" s="1199" t="inlineStr">
        <is>
          <t>Recovery</t>
        </is>
      </c>
      <c r="C33" s="1134" t="n"/>
      <c r="D33" s="1134" t="n"/>
      <c r="E33" s="1134" t="n"/>
      <c r="F33" s="1134" t="n"/>
      <c r="G33" s="1134" t="n"/>
      <c r="H33" s="1134" t="n"/>
      <c r="I33" s="1134" t="n"/>
      <c r="J33" s="1134" t="n"/>
    </row>
    <row r="34">
      <c r="A34" s="1199" t="inlineStr">
        <is>
          <t>40–60</t>
        </is>
      </c>
      <c r="B34" s="1199" t="inlineStr">
        <is>
          <t>Expansion</t>
        </is>
      </c>
      <c r="C34" s="1134" t="n"/>
      <c r="D34" s="1134" t="n"/>
      <c r="E34" s="1134" t="n"/>
      <c r="F34" s="1134" t="n"/>
      <c r="G34" s="1134" t="n"/>
      <c r="H34" s="1134" t="n"/>
      <c r="I34" s="1134" t="n"/>
      <c r="J34" s="1134" t="n"/>
    </row>
    <row r="35">
      <c r="A35" s="1199" t="inlineStr">
        <is>
          <t>60–80</t>
        </is>
      </c>
      <c r="B35" s="1199" t="inlineStr">
        <is>
          <t>Peak</t>
        </is>
      </c>
      <c r="C35" s="1134" t="n"/>
      <c r="D35" s="1134" t="n"/>
      <c r="E35" s="1134" t="n"/>
      <c r="F35" s="1134" t="n"/>
      <c r="G35" s="1134" t="n"/>
      <c r="H35" s="1134" t="n"/>
      <c r="I35" s="1134" t="n"/>
      <c r="J35" s="1134" t="n"/>
    </row>
    <row r="36">
      <c r="A36" s="1199" t="inlineStr">
        <is>
          <t>80–100</t>
        </is>
      </c>
      <c r="B36" s="1199" t="inlineStr">
        <is>
          <t>Overheating</t>
        </is>
      </c>
      <c r="C36" s="1134" t="n"/>
      <c r="D36" s="1134" t="n"/>
      <c r="E36" s="1134" t="n"/>
      <c r="F36" s="1134" t="n"/>
      <c r="G36" s="1134" t="n"/>
      <c r="H36" s="1134" t="n"/>
      <c r="I36" s="1134" t="n"/>
      <c r="J36" s="1134" t="n"/>
    </row>
    <row r="37">
      <c r="A37" s="1134" t="n"/>
      <c r="B37" s="1134" t="n"/>
      <c r="C37" s="1134" t="n"/>
      <c r="D37" s="1134" t="n"/>
      <c r="E37" s="1134" t="n"/>
      <c r="F37" s="1134" t="n"/>
      <c r="G37" s="1134" t="n"/>
      <c r="H37" s="1134" t="n"/>
      <c r="I37" s="1134" t="n"/>
      <c r="J37" s="1134" t="n"/>
    </row>
    <row r="38">
      <c r="A38" s="1134" t="n"/>
      <c r="B38" s="1134" t="n"/>
      <c r="C38" s="1134" t="n"/>
      <c r="D38" s="1134" t="n"/>
      <c r="E38" s="1134" t="n"/>
      <c r="F38" s="1134" t="n"/>
      <c r="G38" s="1134" t="n"/>
      <c r="H38" s="1134" t="n"/>
      <c r="I38" s="1134" t="n"/>
      <c r="J38" s="1134" t="n"/>
    </row>
    <row r="39" ht="15.6" customHeight="1">
      <c r="A39" s="1137" t="inlineStr">
        <is>
          <t>Leading Indicators</t>
        </is>
      </c>
      <c r="J39" s="1134" t="n"/>
    </row>
    <row r="40">
      <c r="A40" s="1193" t="inlineStr">
        <is>
          <t>Indicator</t>
        </is>
      </c>
      <c r="B40" s="967" t="inlineStr">
        <is>
          <t>FY26A</t>
        </is>
      </c>
      <c r="C40" s="967" t="inlineStr">
        <is>
          <t>FY27E</t>
        </is>
      </c>
      <c r="D40" s="967" t="inlineStr">
        <is>
          <t>FY28E</t>
        </is>
      </c>
      <c r="E40" s="967" t="inlineStr">
        <is>
          <t>FY29E</t>
        </is>
      </c>
      <c r="F40" s="967" t="inlineStr">
        <is>
          <t>FY30E</t>
        </is>
      </c>
      <c r="G40" s="967" t="inlineStr">
        <is>
          <t>FY31E</t>
        </is>
      </c>
      <c r="H40" s="967" t="inlineStr">
        <is>
          <t>FY32E</t>
        </is>
      </c>
      <c r="I40" s="967" t="inlineStr">
        <is>
          <t>FY33E</t>
        </is>
      </c>
      <c r="J40" s="269" t="inlineStr">
        <is>
          <t>Audit Code</t>
        </is>
      </c>
    </row>
    <row r="41">
      <c r="A41" s="1199" t="inlineStr">
        <is>
          <t>GDP Growth</t>
        </is>
      </c>
      <c r="B41" s="1678">
        <f>'Macroeconomic Model'!B13</f>
        <v/>
      </c>
      <c r="C41" s="1678">
        <f>'Macroeconomic Model'!C13</f>
        <v/>
      </c>
      <c r="D41" s="1678">
        <f>'Macroeconomic Model'!D13</f>
        <v/>
      </c>
      <c r="E41" s="1678">
        <f>'Macroeconomic Model'!E13</f>
        <v/>
      </c>
      <c r="F41" s="1678">
        <f>'Macroeconomic Model'!F13</f>
        <v/>
      </c>
      <c r="G41" s="1678">
        <f>'Macroeconomic Model'!G13</f>
        <v/>
      </c>
      <c r="H41" s="1678">
        <f>'Macroeconomic Model'!H13</f>
        <v/>
      </c>
      <c r="I41" s="1678">
        <f>'Macroeconomic Model'!I13</f>
        <v/>
      </c>
      <c r="J41" s="334" t="n"/>
    </row>
    <row r="42">
      <c r="A42" s="1199" t="inlineStr">
        <is>
          <t>PMI</t>
        </is>
      </c>
      <c r="B42" s="982" t="n"/>
      <c r="C42" s="982" t="n"/>
      <c r="D42" s="982" t="n"/>
      <c r="E42" s="982" t="n"/>
      <c r="F42" s="982" t="n"/>
      <c r="G42" s="982" t="n"/>
      <c r="H42" s="982" t="n"/>
      <c r="I42" s="982" t="n"/>
      <c r="J42" s="334" t="n"/>
    </row>
    <row r="43">
      <c r="A43" s="1199" t="inlineStr">
        <is>
          <t>Infrastructure Spending</t>
        </is>
      </c>
      <c r="B43" s="982" t="n"/>
      <c r="C43" s="982" t="n"/>
      <c r="D43" s="982" t="n"/>
      <c r="E43" s="982" t="n"/>
      <c r="F43" s="982" t="n"/>
      <c r="G43" s="982" t="n"/>
      <c r="H43" s="982" t="n"/>
      <c r="I43" s="982" t="n"/>
      <c r="J43" s="334" t="n"/>
    </row>
    <row r="44">
      <c r="A44" s="1199" t="inlineStr">
        <is>
          <t>Auto Production</t>
        </is>
      </c>
      <c r="B44" s="982" t="n"/>
      <c r="C44" s="982" t="n"/>
      <c r="D44" s="982" t="n"/>
      <c r="E44" s="982" t="n"/>
      <c r="F44" s="982" t="n"/>
      <c r="G44" s="982" t="n"/>
      <c r="H44" s="982" t="n"/>
      <c r="I44" s="982" t="n"/>
      <c r="J44" s="334" t="n"/>
    </row>
    <row r="45">
      <c r="A45" s="1199" t="inlineStr">
        <is>
          <t>Manufacturing Growth</t>
        </is>
      </c>
      <c r="B45" s="982" t="n"/>
      <c r="C45" s="982" t="n"/>
      <c r="D45" s="982" t="n"/>
      <c r="E45" s="982" t="n"/>
      <c r="F45" s="982" t="n"/>
      <c r="G45" s="982" t="n"/>
      <c r="H45" s="982" t="n"/>
      <c r="I45" s="982" t="n"/>
      <c r="J45" s="334" t="n"/>
    </row>
    <row r="46">
      <c r="A46" s="1199" t="inlineStr">
        <is>
          <t>Housing Demand</t>
        </is>
      </c>
      <c r="B46" s="982" t="n"/>
      <c r="C46" s="982" t="n"/>
      <c r="D46" s="982" t="n"/>
      <c r="E46" s="982" t="n"/>
      <c r="F46" s="982" t="n"/>
      <c r="G46" s="982" t="n"/>
      <c r="H46" s="982" t="n"/>
      <c r="I46" s="982" t="n"/>
      <c r="J46" s="334" t="n"/>
    </row>
    <row r="47">
      <c r="A47" s="1199" t="inlineStr">
        <is>
          <t>Government Capex</t>
        </is>
      </c>
      <c r="B47" s="982" t="n"/>
      <c r="C47" s="982" t="n"/>
      <c r="D47" s="982" t="n"/>
      <c r="E47" s="982" t="n"/>
      <c r="F47" s="982" t="n"/>
      <c r="G47" s="982" t="n"/>
      <c r="H47" s="982" t="n"/>
      <c r="I47" s="982" t="n"/>
      <c r="J47" s="334" t="n"/>
    </row>
    <row r="48">
      <c r="A48" s="1134" t="n"/>
      <c r="B48" s="1134" t="n"/>
      <c r="C48" s="1134" t="n"/>
      <c r="D48" s="1134" t="n"/>
      <c r="E48" s="1134" t="n"/>
      <c r="F48" s="1134" t="n"/>
      <c r="G48" s="1134" t="n"/>
      <c r="H48" s="1134" t="n"/>
      <c r="I48" s="1134" t="n"/>
      <c r="J48" s="1134" t="n"/>
    </row>
    <row r="49">
      <c r="A49" s="1134" t="n"/>
      <c r="B49" s="1134" t="n"/>
      <c r="C49" s="1134" t="n"/>
      <c r="D49" s="1134" t="n"/>
      <c r="E49" s="1134" t="n"/>
      <c r="F49" s="1134" t="n"/>
      <c r="G49" s="1134" t="n"/>
      <c r="H49" s="1134" t="n"/>
      <c r="I49" s="1134" t="n"/>
      <c r="J49" s="1134" t="n"/>
    </row>
    <row r="50" ht="15.6" customHeight="1">
      <c r="A50" s="1137" t="inlineStr">
        <is>
          <t>Coincident Indicators</t>
        </is>
      </c>
      <c r="J50" s="1134" t="n"/>
    </row>
    <row r="51">
      <c r="A51" s="1193" t="inlineStr">
        <is>
          <t>Indicator</t>
        </is>
      </c>
      <c r="B51" s="967" t="inlineStr">
        <is>
          <t>FY26A</t>
        </is>
      </c>
      <c r="C51" s="967" t="inlineStr">
        <is>
          <t>FY27E</t>
        </is>
      </c>
      <c r="D51" s="967" t="inlineStr">
        <is>
          <t>FY28E</t>
        </is>
      </c>
      <c r="E51" s="967" t="inlineStr">
        <is>
          <t>FY29E</t>
        </is>
      </c>
      <c r="F51" s="967" t="inlineStr">
        <is>
          <t>FY30E</t>
        </is>
      </c>
      <c r="G51" s="967" t="inlineStr">
        <is>
          <t>FY31E</t>
        </is>
      </c>
      <c r="H51" s="967" t="inlineStr">
        <is>
          <t>FY32E</t>
        </is>
      </c>
      <c r="I51" s="967" t="inlineStr">
        <is>
          <t>FY33E</t>
        </is>
      </c>
      <c r="J51" s="269" t="inlineStr">
        <is>
          <t>Audit Code</t>
        </is>
      </c>
    </row>
    <row r="52">
      <c r="A52" s="1199" t="inlineStr">
        <is>
          <t>Steel Production</t>
        </is>
      </c>
      <c r="B52" s="1739">
        <f>'Steel Supply Model'!C90</f>
        <v/>
      </c>
      <c r="C52" s="1739">
        <f>'Steel Supply Model'!D90</f>
        <v/>
      </c>
      <c r="D52" s="1739">
        <f>'Steel Supply Model'!E90</f>
        <v/>
      </c>
      <c r="E52" s="1739">
        <f>'Steel Supply Model'!F90</f>
        <v/>
      </c>
      <c r="F52" s="1739">
        <f>'Steel Supply Model'!G90</f>
        <v/>
      </c>
      <c r="G52" s="1739">
        <f>'Steel Supply Model'!H90</f>
        <v/>
      </c>
      <c r="H52" s="1739">
        <f>'Steel Supply Model'!I90</f>
        <v/>
      </c>
      <c r="I52" s="1739">
        <f>'Steel Supply Model'!J90</f>
        <v/>
      </c>
      <c r="J52" s="334" t="n"/>
    </row>
    <row r="53">
      <c r="A53" s="1199" t="inlineStr">
        <is>
          <t>Steel Demand</t>
        </is>
      </c>
      <c r="B53" s="1739">
        <f>'Steel Demand Model'!C75</f>
        <v/>
      </c>
      <c r="C53" s="1739">
        <f>'Steel Demand Model'!D75</f>
        <v/>
      </c>
      <c r="D53" s="1739">
        <f>'Steel Demand Model'!E75</f>
        <v/>
      </c>
      <c r="E53" s="1739">
        <f>'Steel Demand Model'!F75</f>
        <v/>
      </c>
      <c r="F53" s="1739">
        <f>'Steel Demand Model'!G75</f>
        <v/>
      </c>
      <c r="G53" s="1739">
        <f>'Steel Demand Model'!H75</f>
        <v/>
      </c>
      <c r="H53" s="1739">
        <f>'Steel Demand Model'!I75</f>
        <v/>
      </c>
      <c r="I53" s="1739">
        <f>'Steel Demand Model'!J75</f>
        <v/>
      </c>
      <c r="J53" s="334" t="n"/>
    </row>
    <row r="54">
      <c r="A54" s="1199" t="inlineStr">
        <is>
          <t>Capacity Utilisation</t>
        </is>
      </c>
      <c r="B54" s="1717">
        <f>'Capacity Utilisation'!C65</f>
        <v/>
      </c>
      <c r="C54" s="1717">
        <f>'Capacity Utilisation'!D65</f>
        <v/>
      </c>
      <c r="D54" s="1717">
        <f>'Capacity Utilisation'!E65</f>
        <v/>
      </c>
      <c r="E54" s="1717">
        <f>'Capacity Utilisation'!F65</f>
        <v/>
      </c>
      <c r="F54" s="1717">
        <f>'Capacity Utilisation'!G65</f>
        <v/>
      </c>
      <c r="G54" s="1717">
        <f>'Capacity Utilisation'!H65</f>
        <v/>
      </c>
      <c r="H54" s="1717">
        <f>'Capacity Utilisation'!I65</f>
        <v/>
      </c>
      <c r="I54" s="1717">
        <f>'Capacity Utilisation'!J65</f>
        <v/>
      </c>
      <c r="J54" s="334" t="n"/>
    </row>
    <row r="55">
      <c r="A55" s="1199" t="inlineStr">
        <is>
          <t>Steel Prices</t>
        </is>
      </c>
      <c r="B55" s="1023">
        <f>'Steel Price Forecast'!C72</f>
        <v/>
      </c>
      <c r="C55" s="1023">
        <f>'Steel Price Forecast'!D72</f>
        <v/>
      </c>
      <c r="D55" s="1023">
        <f>'Steel Price Forecast'!E72</f>
        <v/>
      </c>
      <c r="E55" s="1023">
        <f>'Steel Price Forecast'!F72</f>
        <v/>
      </c>
      <c r="F55" s="1023">
        <f>'Steel Price Forecast'!G72</f>
        <v/>
      </c>
      <c r="G55" s="1023">
        <f>'Steel Price Forecast'!H72</f>
        <v/>
      </c>
      <c r="H55" s="1023">
        <f>'Steel Price Forecast'!I72</f>
        <v/>
      </c>
      <c r="I55" s="1023">
        <f>'Steel Price Forecast'!J72</f>
        <v/>
      </c>
      <c r="J55" s="334" t="n"/>
    </row>
    <row r="56">
      <c r="A56" s="1199" t="inlineStr">
        <is>
          <t>EBITDA/t</t>
        </is>
      </c>
      <c r="B56" s="1024">
        <f>'EBITDA Model'!C101</f>
        <v/>
      </c>
      <c r="C56" s="1024">
        <f>'EBITDA Model'!D101</f>
        <v/>
      </c>
      <c r="D56" s="1024">
        <f>'EBITDA Model'!E101</f>
        <v/>
      </c>
      <c r="E56" s="1024">
        <f>'EBITDA Model'!F101</f>
        <v/>
      </c>
      <c r="F56" s="1024">
        <f>'EBITDA Model'!G101</f>
        <v/>
      </c>
      <c r="G56" s="1024">
        <f>'EBITDA Model'!H101</f>
        <v/>
      </c>
      <c r="H56" s="1024">
        <f>'EBITDA Model'!I101</f>
        <v/>
      </c>
      <c r="I56" s="1024">
        <f>'EBITDA Model'!J101</f>
        <v/>
      </c>
      <c r="J56" s="334" t="n"/>
    </row>
    <row r="57">
      <c r="A57" s="177" t="n"/>
      <c r="J57" s="1134" t="n"/>
    </row>
    <row r="58">
      <c r="A58" s="177" t="n"/>
      <c r="J58" s="1134" t="n"/>
    </row>
    <row r="59" ht="15.6" customHeight="1">
      <c r="A59" s="1137" t="inlineStr">
        <is>
          <t>Lagging Indicators</t>
        </is>
      </c>
      <c r="J59" s="1134" t="n"/>
    </row>
    <row r="60">
      <c r="A60" s="1193" t="inlineStr">
        <is>
          <t>Indicator</t>
        </is>
      </c>
      <c r="B60" s="967" t="inlineStr">
        <is>
          <t>FY26A</t>
        </is>
      </c>
      <c r="C60" s="967" t="inlineStr">
        <is>
          <t>FY27E</t>
        </is>
      </c>
      <c r="D60" s="967" t="inlineStr">
        <is>
          <t>FY28E</t>
        </is>
      </c>
      <c r="E60" s="967" t="inlineStr">
        <is>
          <t>FY29E</t>
        </is>
      </c>
      <c r="F60" s="967" t="inlineStr">
        <is>
          <t>FY30E</t>
        </is>
      </c>
      <c r="G60" s="967" t="inlineStr">
        <is>
          <t>FY31E</t>
        </is>
      </c>
      <c r="H60" s="967" t="inlineStr">
        <is>
          <t>FY32E</t>
        </is>
      </c>
      <c r="I60" s="967" t="inlineStr">
        <is>
          <t>FY33E</t>
        </is>
      </c>
      <c r="J60" s="269" t="inlineStr">
        <is>
          <t>Audit Code</t>
        </is>
      </c>
    </row>
    <row r="61">
      <c r="A61" s="1199" t="inlineStr">
        <is>
          <t>Capacity Additions</t>
        </is>
      </c>
      <c r="B61" s="979">
        <f>'Capacity Forecast'!C95</f>
        <v/>
      </c>
      <c r="C61" s="979">
        <f>'Capacity Forecast'!D95</f>
        <v/>
      </c>
      <c r="D61" s="979">
        <f>'Capacity Forecast'!E95</f>
        <v/>
      </c>
      <c r="E61" s="979">
        <f>'Capacity Forecast'!F95</f>
        <v/>
      </c>
      <c r="F61" s="979">
        <f>'Capacity Forecast'!G95</f>
        <v/>
      </c>
      <c r="G61" s="979">
        <f>'Capacity Forecast'!H95</f>
        <v/>
      </c>
      <c r="H61" s="979">
        <f>'Capacity Forecast'!I95</f>
        <v/>
      </c>
      <c r="I61" s="979">
        <f>'Capacity Forecast'!J95</f>
        <v/>
      </c>
      <c r="J61" s="334" t="n"/>
    </row>
    <row r="62">
      <c r="A62" s="1199" t="inlineStr">
        <is>
          <t>Net Debt</t>
        </is>
      </c>
      <c r="B62" s="1727">
        <f>'Capital Allocation'!C79</f>
        <v/>
      </c>
      <c r="C62" s="1727">
        <f>'Capital Allocation'!D79</f>
        <v/>
      </c>
      <c r="D62" s="1727">
        <f>'Capital Allocation'!E79</f>
        <v/>
      </c>
      <c r="E62" s="1727">
        <f>'Capital Allocation'!F79</f>
        <v/>
      </c>
      <c r="F62" s="1727">
        <f>'Capital Allocation'!G79</f>
        <v/>
      </c>
      <c r="G62" s="1727">
        <f>'Capital Allocation'!H79</f>
        <v/>
      </c>
      <c r="H62" s="1727">
        <f>'Capital Allocation'!I79</f>
        <v/>
      </c>
      <c r="I62" s="1727">
        <f>'Capital Allocation'!J79</f>
        <v/>
      </c>
      <c r="J62" s="334" t="n"/>
    </row>
    <row r="63">
      <c r="A63" s="1199" t="inlineStr">
        <is>
          <t>Dividend Payout</t>
        </is>
      </c>
      <c r="B63" s="982" t="n"/>
      <c r="C63" s="982" t="n"/>
      <c r="D63" s="982" t="n"/>
      <c r="E63" s="982" t="n"/>
      <c r="F63" s="982" t="n"/>
      <c r="G63" s="982" t="n"/>
      <c r="H63" s="982" t="n"/>
      <c r="I63" s="982" t="n"/>
      <c r="J63" s="334" t="n"/>
    </row>
    <row r="64">
      <c r="A64" s="1199" t="inlineStr">
        <is>
          <t>Plant Expansions</t>
        </is>
      </c>
      <c r="B64" s="982" t="n"/>
      <c r="C64" s="979">
        <f>'Capacity Expansion Tracker'!E89</f>
        <v/>
      </c>
      <c r="D64" s="979">
        <f>'Capacity Expansion Tracker'!F89</f>
        <v/>
      </c>
      <c r="E64" s="979">
        <f>'Capacity Expansion Tracker'!G89</f>
        <v/>
      </c>
      <c r="F64" s="979">
        <f>'Capacity Expansion Tracker'!H89</f>
        <v/>
      </c>
      <c r="G64" s="979">
        <f>'Capacity Expansion Tracker'!I89</f>
        <v/>
      </c>
      <c r="H64" s="979">
        <f>'Capacity Expansion Tracker'!J89</f>
        <v/>
      </c>
      <c r="I64" s="979">
        <f>'Capacity Expansion Tracker'!K89</f>
        <v/>
      </c>
      <c r="J64" s="334" t="n"/>
    </row>
    <row r="65">
      <c r="A65" s="1199" t="inlineStr">
        <is>
          <t>Employment</t>
        </is>
      </c>
      <c r="B65" s="996" t="n"/>
      <c r="C65" s="996" t="n"/>
      <c r="D65" s="996" t="n"/>
      <c r="E65" s="996" t="n"/>
      <c r="F65" s="996" t="n"/>
      <c r="G65" s="996" t="n"/>
      <c r="H65" s="996" t="n"/>
      <c r="I65" s="996" t="n"/>
      <c r="J65" s="334" t="n"/>
    </row>
    <row r="66">
      <c r="A66" s="177" t="n"/>
      <c r="J66" s="1134" t="n"/>
    </row>
    <row r="67">
      <c r="A67" s="177" t="n"/>
      <c r="J67" s="1134" t="n"/>
    </row>
    <row r="68" ht="15.6" customHeight="1">
      <c r="A68" s="1137" t="inlineStr">
        <is>
          <t>Scenario Analysis</t>
        </is>
      </c>
      <c r="J68" s="1134" t="n"/>
    </row>
    <row r="69">
      <c r="A69" s="1193" t="inlineStr">
        <is>
          <t>Year</t>
        </is>
      </c>
      <c r="B69" s="1237" t="inlineStr">
        <is>
          <t>Base</t>
        </is>
      </c>
      <c r="C69" s="1237" t="inlineStr">
        <is>
          <t>Bull</t>
        </is>
      </c>
      <c r="D69" s="1237" t="inlineStr">
        <is>
          <t>Bear</t>
        </is>
      </c>
      <c r="E69" s="1237" t="inlineStr">
        <is>
          <t>Stress</t>
        </is>
      </c>
      <c r="J69" s="1134" t="n"/>
    </row>
    <row r="70">
      <c r="A70" s="1199" t="inlineStr">
        <is>
          <t>Cycle Score</t>
        </is>
      </c>
      <c r="B70" s="199" t="n"/>
      <c r="C70" s="199" t="n"/>
      <c r="D70" s="199" t="n"/>
      <c r="E70" s="199" t="n"/>
      <c r="J70" s="1134" t="n"/>
    </row>
    <row r="71">
      <c r="A71" s="1199" t="inlineStr">
        <is>
          <t>Cycle Phase</t>
        </is>
      </c>
      <c r="B71" s="199" t="n"/>
      <c r="C71" s="199" t="n"/>
      <c r="D71" s="199" t="n"/>
      <c r="E71" s="199" t="n"/>
      <c r="J71" s="1134" t="n"/>
    </row>
    <row r="72">
      <c r="A72" s="177" t="n"/>
      <c r="B72" s="250" t="n"/>
      <c r="C72" s="250" t="n"/>
      <c r="D72" s="250" t="n"/>
      <c r="E72" s="250" t="n"/>
      <c r="J72" s="1134" t="n"/>
    </row>
    <row r="73">
      <c r="A73" s="177" t="n"/>
      <c r="J73" s="1134" t="n"/>
    </row>
    <row r="74" ht="15.6" customHeight="1">
      <c r="A74" s="1137" t="inlineStr">
        <is>
          <t>Valuation Implications</t>
        </is>
      </c>
      <c r="J74" s="1134" t="n"/>
    </row>
    <row r="75">
      <c r="A75" s="1193" t="inlineStr">
        <is>
          <t>Cycle Phase</t>
        </is>
      </c>
      <c r="B75" s="967" t="inlineStr">
        <is>
          <t>EV/EBITDA</t>
        </is>
      </c>
      <c r="C75" s="967" t="inlineStr">
        <is>
          <t>P/B</t>
        </is>
      </c>
      <c r="D75" s="967" t="inlineStr">
        <is>
          <t>P/E</t>
        </is>
      </c>
      <c r="E75" s="967" t="inlineStr">
        <is>
          <t>Investment View</t>
        </is>
      </c>
      <c r="F75" s="269" t="inlineStr">
        <is>
          <t>Audit Code</t>
        </is>
      </c>
      <c r="J75" s="1134" t="n"/>
    </row>
    <row r="76">
      <c r="A76" s="1199" t="inlineStr">
        <is>
          <t>Deep Downturn</t>
        </is>
      </c>
      <c r="B76" s="1740">
        <f>'Model Assumptions'!K113</f>
        <v/>
      </c>
      <c r="C76" s="982" t="n"/>
      <c r="D76" s="982" t="n"/>
      <c r="E76" s="1287" t="n"/>
      <c r="F76" s="261" t="n"/>
      <c r="J76" s="1134" t="n"/>
    </row>
    <row r="77">
      <c r="A77" s="1199" t="inlineStr">
        <is>
          <t>Recovery</t>
        </is>
      </c>
      <c r="B77" s="1740">
        <f>'Model Assumptions'!$K$112</f>
        <v/>
      </c>
      <c r="C77" s="982" t="n"/>
      <c r="D77" s="982" t="n"/>
      <c r="E77" s="1287" t="n"/>
      <c r="F77" s="261" t="n"/>
      <c r="J77" s="1134" t="n"/>
    </row>
    <row r="78">
      <c r="A78" s="1199" t="inlineStr">
        <is>
          <t>Expansion</t>
        </is>
      </c>
      <c r="B78" s="1740">
        <f>'Model Assumptions'!$K$110</f>
        <v/>
      </c>
      <c r="C78" s="982" t="n"/>
      <c r="D78" s="982" t="n"/>
      <c r="E78" s="1287" t="n"/>
      <c r="F78" s="261" t="n"/>
      <c r="J78" s="1134" t="n"/>
    </row>
    <row r="79">
      <c r="A79" s="1199" t="inlineStr">
        <is>
          <t>Peak</t>
        </is>
      </c>
      <c r="B79" s="1740">
        <f>'Model Assumptions'!$K$111</f>
        <v/>
      </c>
      <c r="C79" s="982" t="n"/>
      <c r="D79" s="982" t="n"/>
      <c r="E79" s="1287" t="n"/>
      <c r="F79" s="261" t="n"/>
      <c r="J79" s="1134" t="n"/>
    </row>
    <row r="80">
      <c r="A80" s="1199" t="inlineStr">
        <is>
          <t>Overheating</t>
        </is>
      </c>
      <c r="B80" s="982" t="n"/>
      <c r="C80" s="982" t="n"/>
      <c r="D80" s="982" t="n"/>
      <c r="E80" s="1287" t="n"/>
      <c r="F80" s="261" t="n"/>
      <c r="J80" s="1134" t="n"/>
    </row>
    <row r="81">
      <c r="A81" s="177" t="n"/>
      <c r="B81" s="262" t="n"/>
      <c r="C81" s="262" t="n"/>
      <c r="D81" s="262" t="n"/>
      <c r="E81" s="177" t="n"/>
      <c r="J81" s="1134" t="n"/>
    </row>
    <row r="82">
      <c r="A82" s="1134" t="n"/>
      <c r="B82" s="1134" t="n"/>
      <c r="C82" s="1134" t="n"/>
      <c r="D82" s="1134" t="n"/>
      <c r="E82" s="1134" t="n"/>
      <c r="F82" s="1134" t="n"/>
      <c r="G82" s="1134" t="n"/>
      <c r="H82" s="1134" t="n"/>
      <c r="I82" s="1134" t="n"/>
      <c r="J82" s="1134" t="n"/>
    </row>
    <row r="83" ht="16.2" customHeight="1" thickBot="1">
      <c r="A83" s="1137" t="inlineStr">
        <is>
          <t>Workbook</t>
        </is>
      </c>
    </row>
    <row r="84">
      <c r="A84" s="56" t="inlineStr">
        <is>
          <t>Line item</t>
        </is>
      </c>
      <c r="B84" s="58" t="inlineStr">
        <is>
          <t>Unit</t>
        </is>
      </c>
      <c r="C84" s="71" t="inlineStr">
        <is>
          <t>FY2026A</t>
        </is>
      </c>
      <c r="D84" s="71" t="inlineStr">
        <is>
          <t>FY2027E</t>
        </is>
      </c>
      <c r="E84" s="71" t="inlineStr">
        <is>
          <t>FY2028E</t>
        </is>
      </c>
      <c r="F84" s="71" t="inlineStr">
        <is>
          <t>FY2029E</t>
        </is>
      </c>
      <c r="G84" s="71" t="inlineStr">
        <is>
          <t>FY2030E</t>
        </is>
      </c>
      <c r="H84" s="71" t="inlineStr">
        <is>
          <t>FY2031E</t>
        </is>
      </c>
      <c r="I84" s="71" t="inlineStr">
        <is>
          <t>FY2032E</t>
        </is>
      </c>
      <c r="J84" s="913" t="inlineStr">
        <is>
          <t>FY2033E</t>
        </is>
      </c>
      <c r="K84" s="269" t="inlineStr">
        <is>
          <t>Audit Code</t>
        </is>
      </c>
    </row>
    <row r="85">
      <c r="A85" s="61" t="inlineStr">
        <is>
          <t>Capacity utilisation</t>
        </is>
      </c>
      <c r="B85" s="69" t="inlineStr">
        <is>
          <t>%</t>
        </is>
      </c>
      <c r="C85" s="1741">
        <f>'Capacity Utilisation'!C$65</f>
        <v/>
      </c>
      <c r="D85" s="1741">
        <f>'Capacity Utilisation'!D$65</f>
        <v/>
      </c>
      <c r="E85" s="1741">
        <f>'Capacity Utilisation'!E$65</f>
        <v/>
      </c>
      <c r="F85" s="1741">
        <f>'Capacity Utilisation'!F$65</f>
        <v/>
      </c>
      <c r="G85" s="1741">
        <f>'Capacity Utilisation'!G$65</f>
        <v/>
      </c>
      <c r="H85" s="1741">
        <f>'Capacity Utilisation'!H$65</f>
        <v/>
      </c>
      <c r="I85" s="1741">
        <f>'Capacity Utilisation'!I$65</f>
        <v/>
      </c>
      <c r="J85" s="1742">
        <f>'Capacity Utilisation'!J$65</f>
        <v/>
      </c>
      <c r="K85" s="477" t="n"/>
    </row>
    <row r="86">
      <c r="A86" s="61" t="inlineStr">
        <is>
          <t>Utilisation gap vs normal (80%)</t>
        </is>
      </c>
      <c r="B86" s="69" t="inlineStr">
        <is>
          <t>ppt</t>
        </is>
      </c>
      <c r="C86" s="1741">
        <f>'Capacity Utilisation'!C$67</f>
        <v/>
      </c>
      <c r="D86" s="1741">
        <f>'Capacity Utilisation'!D$67</f>
        <v/>
      </c>
      <c r="E86" s="1741">
        <f>'Capacity Utilisation'!E$67</f>
        <v/>
      </c>
      <c r="F86" s="1741">
        <f>'Capacity Utilisation'!F$67</f>
        <v/>
      </c>
      <c r="G86" s="1741">
        <f>'Capacity Utilisation'!G$67</f>
        <v/>
      </c>
      <c r="H86" s="1741">
        <f>'Capacity Utilisation'!H$67</f>
        <v/>
      </c>
      <c r="I86" s="1741">
        <f>'Capacity Utilisation'!I$67</f>
        <v/>
      </c>
      <c r="J86" s="1742">
        <f>'Capacity Utilisation'!J$67</f>
        <v/>
      </c>
      <c r="K86" s="477" t="n"/>
    </row>
    <row r="87">
      <c r="A87" s="61" t="inlineStr">
        <is>
          <t>Industry EBITDA margin</t>
        </is>
      </c>
      <c r="B87" s="69" t="inlineStr">
        <is>
          <t>%</t>
        </is>
      </c>
      <c r="C87" s="1741">
        <f>'Margin Analysis'!C$81</f>
        <v/>
      </c>
      <c r="D87" s="1741">
        <f>'Margin Analysis'!D$81</f>
        <v/>
      </c>
      <c r="E87" s="1741">
        <f>'Margin Analysis'!E$81</f>
        <v/>
      </c>
      <c r="F87" s="1741">
        <f>'Margin Analysis'!F$81</f>
        <v/>
      </c>
      <c r="G87" s="1741">
        <f>'Margin Analysis'!G$81</f>
        <v/>
      </c>
      <c r="H87" s="1741">
        <f>'Margin Analysis'!H$81</f>
        <v/>
      </c>
      <c r="I87" s="1741">
        <f>'Margin Analysis'!I$81</f>
        <v/>
      </c>
      <c r="J87" s="1742">
        <f>'Margin Analysis'!J$81</f>
        <v/>
      </c>
      <c r="K87" s="477" t="n"/>
    </row>
    <row r="88">
      <c r="A88" s="61" t="inlineStr">
        <is>
          <t>Mid-cycle margin</t>
        </is>
      </c>
      <c r="B88" s="69" t="inlineStr">
        <is>
          <t>%</t>
        </is>
      </c>
      <c r="C88" s="1709" t="n">
        <v>0.195</v>
      </c>
      <c r="D88" s="1709" t="n">
        <v>0.195</v>
      </c>
      <c r="E88" s="1709" t="n">
        <v>0.195</v>
      </c>
      <c r="F88" s="1709" t="n">
        <v>0.195</v>
      </c>
      <c r="G88" s="1709" t="n">
        <v>0.195</v>
      </c>
      <c r="H88" s="1709" t="n">
        <v>0.195</v>
      </c>
      <c r="I88" s="1709" t="n">
        <v>0.195</v>
      </c>
      <c r="J88" s="1743" t="n">
        <v>0.195</v>
      </c>
      <c r="K88" s="477" t="n"/>
    </row>
    <row r="89">
      <c r="A89" s="61" t="inlineStr">
        <is>
          <t>Margin gap vs mid-cycle</t>
        </is>
      </c>
      <c r="B89" s="69" t="inlineStr">
        <is>
          <t>ppt</t>
        </is>
      </c>
      <c r="C89" s="1569">
        <f>C87-C88</f>
        <v/>
      </c>
      <c r="D89" s="1569">
        <f>D87-D88</f>
        <v/>
      </c>
      <c r="E89" s="1569">
        <f>E87-E88</f>
        <v/>
      </c>
      <c r="F89" s="1569">
        <f>F87-F88</f>
        <v/>
      </c>
      <c r="G89" s="1569">
        <f>G87-G88</f>
        <v/>
      </c>
      <c r="H89" s="1569">
        <f>H87-H88</f>
        <v/>
      </c>
      <c r="I89" s="1569">
        <f>I87-I88</f>
        <v/>
      </c>
      <c r="J89" s="1744">
        <f>J87-J88</f>
        <v/>
      </c>
      <c r="K89" s="477" t="n"/>
    </row>
    <row r="90">
      <c r="A90" s="68" t="inlineStr">
        <is>
          <t>CYCLE POSITION</t>
        </is>
      </c>
      <c r="B90" s="69" t="inlineStr">
        <is>
          <t>classification</t>
        </is>
      </c>
      <c r="C90" s="1009">
        <f>IF(C89&gt;0.04,"PEAK",IF(C89&gt;0.015,"LATE UPCYCLE",IF(C89&lt;-0.05,"TROUGH",IF(C89&lt;-0.02,"DOWNCYCLE","MID-CYCLE"))))</f>
        <v/>
      </c>
      <c r="D90" s="1009">
        <f>IF(D89&gt;0.04,"PEAK",IF(D89&gt;0.015,"LATE UPCYCLE",IF(D89&lt;-0.05,"TROUGH",IF(D89&lt;-0.02,"DOWNCYCLE","MID-CYCLE"))))</f>
        <v/>
      </c>
      <c r="E90" s="1009">
        <f>IF(E89&gt;0.04,"PEAK",IF(E89&gt;0.015,"LATE UPCYCLE",IF(E89&lt;-0.05,"TROUGH",IF(E89&lt;-0.02,"DOWNCYCLE","MID-CYCLE"))))</f>
        <v/>
      </c>
      <c r="F90" s="1009">
        <f>IF(F89&gt;0.04,"PEAK",IF(F89&gt;0.015,"LATE UPCYCLE",IF(F89&lt;-0.05,"TROUGH",IF(F89&lt;-0.02,"DOWNCYCLE","MID-CYCLE"))))</f>
        <v/>
      </c>
      <c r="G90" s="1009">
        <f>IF(G89&gt;0.04,"PEAK",IF(G89&gt;0.015,"LATE UPCYCLE",IF(G89&lt;-0.05,"TROUGH",IF(G89&lt;-0.02,"DOWNCYCLE","MID-CYCLE"))))</f>
        <v/>
      </c>
      <c r="H90" s="1009">
        <f>IF(H89&gt;0.04,"PEAK",IF(H89&gt;0.015,"LATE UPCYCLE",IF(H89&lt;-0.05,"TROUGH",IF(H89&lt;-0.02,"DOWNCYCLE","MID-CYCLE"))))</f>
        <v/>
      </c>
      <c r="I90" s="1009">
        <f>IF(I89&gt;0.04,"PEAK",IF(I89&gt;0.015,"LATE UPCYCLE",IF(I89&lt;-0.05,"TROUGH",IF(I89&lt;-0.02,"DOWNCYCLE","MID-CYCLE"))))</f>
        <v/>
      </c>
      <c r="J90" s="1013">
        <f>IF(J89&gt;0.04,"PEAK",IF(J89&gt;0.015,"LATE UPCYCLE",IF(J89&lt;-0.05,"TROUGH",IF(J89&lt;-0.02,"DOWNCYCLE","MID-CYCLE"))))</f>
        <v/>
      </c>
      <c r="K90" s="477" t="n"/>
    </row>
    <row r="91">
      <c r="A91" s="63" t="n"/>
      <c r="B91" s="74" t="n"/>
      <c r="C91" s="72" t="n"/>
      <c r="D91" s="72" t="n"/>
      <c r="E91" s="72" t="n"/>
      <c r="F91" s="72" t="n"/>
      <c r="G91" s="72" t="n"/>
      <c r="H91" s="72" t="n"/>
      <c r="I91" s="72" t="n"/>
      <c r="J91" s="961" t="n"/>
      <c r="K91" s="477" t="n"/>
    </row>
    <row r="92">
      <c r="A92" s="1290" t="inlineStr">
        <is>
          <t>OBSERVED CYCLE CHRONOLOGY (Master Database)</t>
        </is>
      </c>
      <c r="B92" s="1745" t="n"/>
      <c r="C92" s="1745" t="n"/>
      <c r="D92" s="1745" t="n"/>
      <c r="E92" s="1745" t="n"/>
      <c r="F92" s="1745" t="n"/>
      <c r="G92" s="1745" t="n"/>
      <c r="H92" s="1745" t="n"/>
      <c r="I92" s="1745" t="n"/>
      <c r="J92" s="1745" t="n"/>
      <c r="K92" s="477" t="n"/>
    </row>
    <row r="93">
      <c r="A93" s="61" t="inlineStr">
        <is>
          <t>FY2022 - cycle peak</t>
        </is>
      </c>
      <c r="B93" s="69" t="inlineStr">
        <is>
          <t>%</t>
        </is>
      </c>
      <c r="C93" s="1709" t="n">
        <v>0.26</v>
      </c>
      <c r="D93" s="74" t="n"/>
      <c r="E93" s="74" t="n"/>
      <c r="F93" s="74" t="n"/>
      <c r="G93" s="74" t="n"/>
      <c r="H93" s="74" t="n"/>
      <c r="I93" s="74" t="n"/>
      <c r="J93" s="958" t="n"/>
      <c r="K93" s="477" t="n"/>
    </row>
    <row r="94">
      <c r="A94" s="61" t="inlineStr">
        <is>
          <t>FY2024 - cycle trough</t>
        </is>
      </c>
      <c r="B94" s="69" t="inlineStr">
        <is>
          <t>%</t>
        </is>
      </c>
      <c r="C94" s="1709" t="n">
        <v>0.13</v>
      </c>
      <c r="D94" s="74" t="n"/>
      <c r="E94" s="74" t="n"/>
      <c r="F94" s="74" t="n"/>
      <c r="G94" s="74" t="n"/>
      <c r="H94" s="74" t="n"/>
      <c r="I94" s="74" t="n"/>
      <c r="J94" s="958" t="n"/>
      <c r="K94" s="477" t="n"/>
    </row>
    <row r="95">
      <c r="A95" s="61" t="inlineStr">
        <is>
          <t>FY2026 - recovery</t>
        </is>
      </c>
      <c r="B95" s="69" t="inlineStr">
        <is>
          <t>%</t>
        </is>
      </c>
      <c r="C95" s="1709" t="n">
        <v>0.1789608830493214</v>
      </c>
      <c r="D95" s="74" t="n"/>
      <c r="E95" s="74" t="n"/>
      <c r="F95" s="74" t="n"/>
      <c r="G95" s="74" t="n"/>
      <c r="H95" s="74" t="n"/>
      <c r="I95" s="74" t="n"/>
      <c r="J95" s="958" t="n"/>
      <c r="K95" s="477" t="n"/>
    </row>
    <row r="96" ht="15" customHeight="1" thickBot="1">
      <c r="A96" s="64" t="inlineStr">
        <is>
          <t>Implied full cycle length</t>
        </is>
      </c>
      <c r="B96" s="70" t="inlineStr">
        <is>
          <t>years</t>
        </is>
      </c>
      <c r="C96" s="1746" t="n">
        <v>7.5</v>
      </c>
      <c r="D96" s="83" t="n"/>
      <c r="E96" s="83" t="n"/>
      <c r="F96" s="83" t="n"/>
      <c r="G96" s="83" t="n"/>
      <c r="H96" s="83" t="n"/>
      <c r="I96" s="83" t="n"/>
      <c r="J96" s="959" t="n"/>
      <c r="K96" s="477" t="n"/>
    </row>
    <row r="98">
      <c r="A98" s="1132" t="inlineStr">
        <is>
          <t>Use the cycle position row when selecting an exit multiple. Applying a mid-cycle multiple to a peak-year EBITDA is the most common way to overvalue a steel company.</t>
        </is>
      </c>
    </row>
  </sheetData>
  <mergeCells count="16">
    <mergeCell ref="A7:I7"/>
    <mergeCell ref="J3:K3"/>
    <mergeCell ref="A98:I98"/>
    <mergeCell ref="A59:I59"/>
    <mergeCell ref="A5:J5"/>
    <mergeCell ref="A68:I68"/>
    <mergeCell ref="A2:H2"/>
    <mergeCell ref="A92:J92"/>
    <mergeCell ref="A17:I17"/>
    <mergeCell ref="A74:I74"/>
    <mergeCell ref="A39:I39"/>
    <mergeCell ref="A83:I83"/>
    <mergeCell ref="A50:I50"/>
    <mergeCell ref="A1:K1"/>
    <mergeCell ref="A30:I30"/>
    <mergeCell ref="H3:I3"/>
  </mergeCells>
  <pageMargins left="0.7" right="0.7" top="0.75" bottom="0.75" header="0.3" footer="0.3"/>
</worksheet>
</file>

<file path=xl/worksheets/sheet24.xml><?xml version="1.0" encoding="utf-8"?>
<worksheet xmlns="http://schemas.openxmlformats.org/spreadsheetml/2006/main">
  <sheetPr codeName="Sheet24">
    <tabColor rgb="FF002060"/>
    <outlinePr summaryBelow="1" summaryRight="1"/>
    <pageSetUpPr/>
  </sheetPr>
  <dimension ref="A1:Q84"/>
  <sheetViews>
    <sheetView showGridLines="0" workbookViewId="0">
      <selection activeCell="L9" sqref="L9"/>
    </sheetView>
  </sheetViews>
  <sheetFormatPr baseColWidth="8" defaultRowHeight="14.4"/>
  <cols>
    <col width="41.44140625" customWidth="1" style="1262" min="1" max="1"/>
    <col width="14.44140625" customWidth="1" style="107" min="2" max="10"/>
    <col width="12.77734375" customWidth="1" style="1262" min="11" max="11"/>
    <col width="8.88671875" customWidth="1" style="1262" min="12" max="16384"/>
  </cols>
  <sheetData>
    <row r="1" ht="25.8" customHeight="1">
      <c r="A1" s="1133" t="inlineStr">
        <is>
          <t>TRADE MODEL</t>
        </is>
      </c>
    </row>
    <row r="2" ht="15.6" customHeight="1">
      <c r="A2" s="1136" t="inlineStr">
        <is>
          <t>Industry Financial Model  |  Indian Steel Industry  |  Horizon FY2027E-FY2033E  |  Base year FY2026A</t>
        </is>
      </c>
      <c r="J2" s="1292">
        <f>'Control Panel'!$E$17</f>
        <v/>
      </c>
    </row>
    <row r="3" ht="15.6" customHeight="1">
      <c r="A3" s="116" t="n"/>
      <c r="H3" s="1101" t="n"/>
      <c r="I3" s="1101" t="n"/>
      <c r="J3" s="1100" t="n"/>
      <c r="K3" s="1100" t="n"/>
    </row>
    <row r="4">
      <c r="A4" s="1145" t="inlineStr">
        <is>
          <t>OBJECTIVE</t>
        </is>
      </c>
    </row>
    <row r="5">
      <c r="A5" s="1134" t="inlineStr">
        <is>
          <t>Forecast India's steel trade by modeling imports, exports, trade balance, trade policies, international price spreads, and global competitiveness.</t>
        </is>
      </c>
    </row>
    <row r="6">
      <c r="A6" s="1134" t="n"/>
      <c r="B6" s="1134" t="n"/>
      <c r="C6" s="1134" t="n"/>
      <c r="D6" s="1134" t="n"/>
      <c r="E6" s="1134" t="n"/>
      <c r="F6" s="1134" t="n"/>
      <c r="G6" s="1134" t="n"/>
      <c r="H6" s="1134" t="n"/>
      <c r="I6" s="1134" t="n"/>
      <c r="J6" s="1134" t="n"/>
    </row>
    <row r="7" ht="15.6" customHeight="1">
      <c r="A7" s="1137" t="inlineStr">
        <is>
          <t>Executive Summary</t>
        </is>
      </c>
      <c r="J7" s="1134" t="n"/>
    </row>
    <row r="8">
      <c r="A8" s="1193" t="inlineStr">
        <is>
          <t>KPI</t>
        </is>
      </c>
      <c r="B8" s="967" t="inlineStr">
        <is>
          <t>FY26A</t>
        </is>
      </c>
      <c r="C8" s="967" t="inlineStr">
        <is>
          <t>FY27E</t>
        </is>
      </c>
      <c r="D8" s="967" t="inlineStr">
        <is>
          <t>FY28E</t>
        </is>
      </c>
      <c r="E8" s="967" t="inlineStr">
        <is>
          <t>FY29E</t>
        </is>
      </c>
      <c r="F8" s="967" t="inlineStr">
        <is>
          <t>FY30E</t>
        </is>
      </c>
      <c r="G8" s="967" t="inlineStr">
        <is>
          <t>FY31E</t>
        </is>
      </c>
      <c r="H8" s="967" t="inlineStr">
        <is>
          <t>FY32E</t>
        </is>
      </c>
      <c r="I8" s="967" t="inlineStr">
        <is>
          <t>FY33E</t>
        </is>
      </c>
      <c r="J8" s="269" t="inlineStr">
        <is>
          <t>Audit Code</t>
        </is>
      </c>
    </row>
    <row r="9">
      <c r="A9" s="1199" t="inlineStr">
        <is>
          <t>Imports (Mt)</t>
        </is>
      </c>
      <c r="B9" s="1682">
        <f>C70</f>
        <v/>
      </c>
      <c r="C9" s="1682">
        <f>D70</f>
        <v/>
      </c>
      <c r="D9" s="1682">
        <f>E70</f>
        <v/>
      </c>
      <c r="E9" s="1682">
        <f>F70</f>
        <v/>
      </c>
      <c r="F9" s="1682">
        <f>G70</f>
        <v/>
      </c>
      <c r="G9" s="1682">
        <f>H70</f>
        <v/>
      </c>
      <c r="H9" s="1682">
        <f>I70</f>
        <v/>
      </c>
      <c r="I9" s="1682">
        <f>J70</f>
        <v/>
      </c>
      <c r="J9" s="334" t="n"/>
    </row>
    <row r="10">
      <c r="A10" s="1199" t="inlineStr">
        <is>
          <t>Exports (Mt)</t>
        </is>
      </c>
      <c r="B10" s="1682">
        <f>C72</f>
        <v/>
      </c>
      <c r="C10" s="1682">
        <f>D72</f>
        <v/>
      </c>
      <c r="D10" s="1682">
        <f>E72</f>
        <v/>
      </c>
      <c r="E10" s="1682">
        <f>F72</f>
        <v/>
      </c>
      <c r="F10" s="1682">
        <f>G72</f>
        <v/>
      </c>
      <c r="G10" s="1682">
        <f>H72</f>
        <v/>
      </c>
      <c r="H10" s="1682">
        <f>I72</f>
        <v/>
      </c>
      <c r="I10" s="1682">
        <f>J72</f>
        <v/>
      </c>
      <c r="J10" s="334" t="n"/>
    </row>
    <row r="11">
      <c r="A11" s="1199" t="inlineStr">
        <is>
          <t>Net Trade (Mt)</t>
        </is>
      </c>
      <c r="B11" s="1682">
        <f>C79</f>
        <v/>
      </c>
      <c r="C11" s="1682">
        <f>D79</f>
        <v/>
      </c>
      <c r="D11" s="1682">
        <f>E79</f>
        <v/>
      </c>
      <c r="E11" s="1682">
        <f>F79</f>
        <v/>
      </c>
      <c r="F11" s="1682">
        <f>G79</f>
        <v/>
      </c>
      <c r="G11" s="1682">
        <f>H79</f>
        <v/>
      </c>
      <c r="H11" s="1682">
        <f>I79</f>
        <v/>
      </c>
      <c r="I11" s="1682">
        <f>J79</f>
        <v/>
      </c>
      <c r="J11" s="334" t="n"/>
    </row>
    <row r="12">
      <c r="A12" s="1199" t="inlineStr">
        <is>
          <t>Import Dependency (%)</t>
        </is>
      </c>
      <c r="B12" s="1693">
        <f>C77</f>
        <v/>
      </c>
      <c r="C12" s="1693">
        <f>D77</f>
        <v/>
      </c>
      <c r="D12" s="1693">
        <f>E77</f>
        <v/>
      </c>
      <c r="E12" s="1693">
        <f>F77</f>
        <v/>
      </c>
      <c r="F12" s="1693">
        <f>G77</f>
        <v/>
      </c>
      <c r="G12" s="1693">
        <f>H77</f>
        <v/>
      </c>
      <c r="H12" s="1693">
        <f>I77</f>
        <v/>
      </c>
      <c r="I12" s="1693">
        <f>J77</f>
        <v/>
      </c>
      <c r="J12" s="334" t="n"/>
    </row>
    <row r="13">
      <c r="A13" s="1199" t="inlineStr">
        <is>
          <t>Export Ratio (%)</t>
        </is>
      </c>
      <c r="B13" s="1693">
        <f>C78</f>
        <v/>
      </c>
      <c r="C13" s="1693">
        <f>D78</f>
        <v/>
      </c>
      <c r="D13" s="1693">
        <f>E78</f>
        <v/>
      </c>
      <c r="E13" s="1693">
        <f>F78</f>
        <v/>
      </c>
      <c r="F13" s="1693">
        <f>G78</f>
        <v/>
      </c>
      <c r="G13" s="1693">
        <f>H78</f>
        <v/>
      </c>
      <c r="H13" s="1693">
        <f>I78</f>
        <v/>
      </c>
      <c r="I13" s="1693">
        <f>J78</f>
        <v/>
      </c>
      <c r="J13" s="334" t="n"/>
    </row>
    <row r="14">
      <c r="A14" s="1199" t="inlineStr">
        <is>
          <t>Trade Balance (₹ Cr)</t>
        </is>
      </c>
      <c r="B14" s="1581">
        <f>(C72-C70)*'Steel Price Forecast'!C72/10</f>
        <v/>
      </c>
      <c r="C14" s="1581">
        <f>(D72-D70)*'Steel Price Forecast'!D72/10</f>
        <v/>
      </c>
      <c r="D14" s="1581">
        <f>(E72-E70)*'Steel Price Forecast'!E72/10</f>
        <v/>
      </c>
      <c r="E14" s="1581">
        <f>(F72-F70)*'Steel Price Forecast'!F72/10</f>
        <v/>
      </c>
      <c r="F14" s="1581">
        <f>(G72-G70)*'Steel Price Forecast'!G72/10</f>
        <v/>
      </c>
      <c r="G14" s="1581">
        <f>(H72-H70)*'Steel Price Forecast'!H72/10</f>
        <v/>
      </c>
      <c r="H14" s="1581">
        <f>(I72-I70)*'Steel Price Forecast'!I72/10</f>
        <v/>
      </c>
      <c r="I14" s="1581">
        <f>(J72-J70)*'Steel Price Forecast'!J72/10</f>
        <v/>
      </c>
      <c r="J14" s="334" t="n"/>
    </row>
    <row r="15">
      <c r="A15" s="1134" t="n"/>
      <c r="B15" s="1134" t="n"/>
      <c r="C15" s="1134" t="n"/>
      <c r="D15" s="1134" t="n"/>
      <c r="E15" s="1134" t="n"/>
      <c r="F15" s="1134" t="n"/>
      <c r="G15" s="1134" t="n"/>
      <c r="H15" s="1134" t="n"/>
      <c r="I15" s="1134" t="n"/>
      <c r="J15" s="1134" t="n"/>
    </row>
    <row r="16">
      <c r="A16" s="1134" t="n"/>
      <c r="B16" s="1134" t="n"/>
      <c r="C16" s="1134" t="n"/>
      <c r="D16" s="1134" t="n"/>
      <c r="E16" s="1134" t="n"/>
      <c r="F16" s="1134" t="n"/>
      <c r="G16" s="1134" t="n"/>
      <c r="H16" s="1134" t="n"/>
      <c r="I16" s="1134" t="n"/>
      <c r="J16" s="1134" t="n"/>
    </row>
    <row r="17" ht="15.6" customHeight="1">
      <c r="A17" s="1137" t="inlineStr">
        <is>
          <t>Historical Trade</t>
        </is>
      </c>
      <c r="G17" s="1134" t="n"/>
      <c r="H17" s="1243" t="inlineStr">
        <is>
          <t>Trade Forecast</t>
        </is>
      </c>
      <c r="I17" s="1339" t="n"/>
      <c r="J17" s="1339" t="n"/>
    </row>
    <row r="18">
      <c r="A18" s="1193" t="inlineStr">
        <is>
          <t>Year</t>
        </is>
      </c>
      <c r="B18" s="967" t="inlineStr">
        <is>
          <t>Imports</t>
        </is>
      </c>
      <c r="C18" s="967" t="inlineStr">
        <is>
          <t>Exports</t>
        </is>
      </c>
      <c r="D18" s="967" t="inlineStr">
        <is>
          <t>Net Trade</t>
        </is>
      </c>
      <c r="E18" s="967" t="inlineStr">
        <is>
          <t>Import Growth</t>
        </is>
      </c>
      <c r="F18" s="967" t="inlineStr">
        <is>
          <t>Export Growth</t>
        </is>
      </c>
      <c r="G18" s="1134" t="n"/>
      <c r="H18" s="1193" t="inlineStr">
        <is>
          <t>Year</t>
        </is>
      </c>
      <c r="I18" s="967" t="inlineStr">
        <is>
          <t>Imports</t>
        </is>
      </c>
      <c r="J18" s="967" t="inlineStr">
        <is>
          <t>Exports</t>
        </is>
      </c>
    </row>
    <row r="19">
      <c r="A19" s="1199" t="inlineStr">
        <is>
          <t>FY21</t>
        </is>
      </c>
      <c r="B19" s="1029">
        <f>'[1]Imports &amp; Exports'!$C$6</f>
        <v/>
      </c>
      <c r="C19" s="1029">
        <f>'[1]Imports &amp; Exports'!$C$7</f>
        <v/>
      </c>
      <c r="D19" s="1747">
        <f>C19-B19</f>
        <v/>
      </c>
      <c r="E19" s="982" t="n"/>
      <c r="F19" s="982" t="n"/>
      <c r="G19" s="1134" t="n"/>
      <c r="H19" s="1199" t="inlineStr">
        <is>
          <t>FY27E</t>
        </is>
      </c>
      <c r="I19" s="1682">
        <f>D70</f>
        <v/>
      </c>
      <c r="J19" s="1748">
        <f>D72</f>
        <v/>
      </c>
      <c r="Q19" s="1749" t="n"/>
    </row>
    <row r="20">
      <c r="A20" s="1199" t="inlineStr">
        <is>
          <t>FY22</t>
        </is>
      </c>
      <c r="B20" s="1029">
        <f>'[1]Imports &amp; Exports'!$D$6</f>
        <v/>
      </c>
      <c r="C20" s="1029">
        <f>'[1]Imports &amp; Exports'!$D$7</f>
        <v/>
      </c>
      <c r="D20" s="1747">
        <f>C20-B20</f>
        <v/>
      </c>
      <c r="E20" s="966">
        <f>(B20-B19)/B19</f>
        <v/>
      </c>
      <c r="F20" s="966">
        <f>(C20-C19)/C19</f>
        <v/>
      </c>
      <c r="G20" s="1134" t="n"/>
      <c r="H20" s="1199" t="inlineStr">
        <is>
          <t>FY28E</t>
        </is>
      </c>
      <c r="I20" s="1682">
        <f>E70</f>
        <v/>
      </c>
      <c r="J20" s="1748">
        <f>E72</f>
        <v/>
      </c>
    </row>
    <row r="21">
      <c r="A21" s="1199" t="inlineStr">
        <is>
          <t>FY23</t>
        </is>
      </c>
      <c r="B21" s="1029">
        <f>'[1]Imports &amp; Exports'!$E$6</f>
        <v/>
      </c>
      <c r="C21" s="1029">
        <f>'[1]Imports &amp; Exports'!$E$7</f>
        <v/>
      </c>
      <c r="D21" s="1747">
        <f>C21-B21</f>
        <v/>
      </c>
      <c r="E21" s="966">
        <f>(B21-B20)/B20</f>
        <v/>
      </c>
      <c r="F21" s="966">
        <f>(C21-C20)/C20</f>
        <v/>
      </c>
      <c r="G21" s="1134" t="n"/>
      <c r="H21" s="1199" t="inlineStr">
        <is>
          <t>FY29E</t>
        </is>
      </c>
      <c r="I21" s="1682">
        <f>F70</f>
        <v/>
      </c>
      <c r="J21" s="1748">
        <f>F72</f>
        <v/>
      </c>
    </row>
    <row r="22">
      <c r="A22" s="1199" t="inlineStr">
        <is>
          <t>FY24</t>
        </is>
      </c>
      <c r="B22" s="1029">
        <f>'[1]Imports &amp; Exports'!$F$6</f>
        <v/>
      </c>
      <c r="C22" s="1029">
        <f>'[1]Imports &amp; Exports'!$F$7</f>
        <v/>
      </c>
      <c r="D22" s="1747">
        <f>C22-B22</f>
        <v/>
      </c>
      <c r="E22" s="966">
        <f>(B22-B21)/B21</f>
        <v/>
      </c>
      <c r="F22" s="966">
        <f>(C22-C21)/C21</f>
        <v/>
      </c>
      <c r="G22" s="1134" t="n"/>
      <c r="H22" s="1199" t="inlineStr">
        <is>
          <t>FY30E</t>
        </is>
      </c>
      <c r="I22" s="1682">
        <f>G70</f>
        <v/>
      </c>
      <c r="J22" s="1748">
        <f>G72</f>
        <v/>
      </c>
    </row>
    <row r="23">
      <c r="A23" s="1199" t="inlineStr">
        <is>
          <t>FY25</t>
        </is>
      </c>
      <c r="B23" s="1029">
        <f>'[1]Imports &amp; Exports'!$G$6</f>
        <v/>
      </c>
      <c r="C23" s="1029">
        <f>'[1]Imports &amp; Exports'!$G$7</f>
        <v/>
      </c>
      <c r="D23" s="1747">
        <f>C23-B23</f>
        <v/>
      </c>
      <c r="E23" s="966">
        <f>(B23-B22)/B22</f>
        <v/>
      </c>
      <c r="F23" s="966">
        <f>(C23-C22)/C22</f>
        <v/>
      </c>
      <c r="G23" s="1134" t="n"/>
      <c r="H23" s="1199" t="inlineStr">
        <is>
          <t>FY31E</t>
        </is>
      </c>
      <c r="I23" s="1682">
        <f>H70</f>
        <v/>
      </c>
      <c r="J23" s="1748">
        <f>H72</f>
        <v/>
      </c>
    </row>
    <row r="24">
      <c r="A24" s="1199" t="inlineStr">
        <is>
          <t>FY26</t>
        </is>
      </c>
      <c r="B24" s="1029">
        <f>'[1]Imports &amp; Exports'!$H$6</f>
        <v/>
      </c>
      <c r="C24" s="1029">
        <f>'[1]Imports &amp; Exports'!$H$7</f>
        <v/>
      </c>
      <c r="D24" s="1747">
        <f>C24-B24</f>
        <v/>
      </c>
      <c r="E24" s="966">
        <f>(B24-B23)/B23</f>
        <v/>
      </c>
      <c r="F24" s="966">
        <f>(C24-C23)/C23</f>
        <v/>
      </c>
      <c r="G24" s="1134" t="n"/>
      <c r="H24" s="1199" t="inlineStr">
        <is>
          <t>FY32E</t>
        </is>
      </c>
      <c r="I24" s="1682">
        <f>I70</f>
        <v/>
      </c>
      <c r="J24" s="1748">
        <f>I72</f>
        <v/>
      </c>
    </row>
    <row r="25">
      <c r="A25" s="1134" t="n"/>
      <c r="B25" s="1134" t="n"/>
      <c r="C25" s="1134" t="n"/>
      <c r="D25" s="1134" t="n"/>
      <c r="E25" s="1134" t="n"/>
      <c r="F25" s="1134" t="n"/>
      <c r="G25" s="1134" t="n"/>
      <c r="H25" s="1199" t="inlineStr">
        <is>
          <t>FY33E</t>
        </is>
      </c>
      <c r="I25" s="1682">
        <f>J70</f>
        <v/>
      </c>
      <c r="J25" s="1748">
        <f>J72</f>
        <v/>
      </c>
    </row>
    <row r="26">
      <c r="F26" s="1134" t="n"/>
      <c r="G26" s="1134" t="n"/>
      <c r="H26" s="1134" t="n"/>
      <c r="I26" s="928" t="n"/>
      <c r="J26" s="928" t="n"/>
    </row>
    <row r="27">
      <c r="A27" s="1134" t="n"/>
      <c r="B27" s="1134" t="n"/>
      <c r="C27" s="1134" t="n"/>
      <c r="D27" s="1134" t="n"/>
      <c r="E27" s="1134" t="n"/>
      <c r="F27" s="1134" t="n"/>
      <c r="G27" s="1134" t="n"/>
      <c r="H27" s="1134" t="n"/>
      <c r="I27" s="1134" t="n"/>
      <c r="J27" s="1134" t="n"/>
    </row>
    <row r="28" ht="15.6" customHeight="1">
      <c r="A28" s="1243" t="inlineStr">
        <is>
          <t>Export Destination Analysis</t>
        </is>
      </c>
      <c r="B28" s="1339" t="n"/>
      <c r="C28" s="1339" t="n"/>
      <c r="D28" s="1339" t="n"/>
      <c r="E28" s="1339" t="n"/>
      <c r="G28" s="1137" t="inlineStr">
        <is>
          <t>Import Source Analysis</t>
        </is>
      </c>
    </row>
    <row r="29">
      <c r="A29" s="1193" t="inlineStr">
        <is>
          <t>Region</t>
        </is>
      </c>
      <c r="B29" s="967" t="inlineStr">
        <is>
          <t>FY26A</t>
        </is>
      </c>
      <c r="C29" s="967" t="inlineStr">
        <is>
          <t>FY33E</t>
        </is>
      </c>
      <c r="D29" s="967" t="inlineStr">
        <is>
          <t>Share</t>
        </is>
      </c>
      <c r="E29" s="269" t="inlineStr">
        <is>
          <t>Audit Code</t>
        </is>
      </c>
      <c r="G29" s="1193" t="inlineStr">
        <is>
          <t>Region</t>
        </is>
      </c>
      <c r="H29" s="967" t="inlineStr">
        <is>
          <t>FY26A</t>
        </is>
      </c>
      <c r="I29" s="967" t="inlineStr">
        <is>
          <t>FY33E</t>
        </is>
      </c>
      <c r="J29" s="967" t="inlineStr">
        <is>
          <t>Share</t>
        </is>
      </c>
      <c r="K29" s="269" t="inlineStr">
        <is>
          <t>Audit Code</t>
        </is>
      </c>
    </row>
    <row r="30">
      <c r="A30" s="1199" t="inlineStr">
        <is>
          <t>Europe</t>
        </is>
      </c>
      <c r="B30" s="914">
        <f>$C$72*D30</f>
        <v/>
      </c>
      <c r="C30" s="914">
        <f>$J$72*D30</f>
        <v/>
      </c>
      <c r="D30" s="1750" t="n">
        <v>0.344</v>
      </c>
      <c r="E30" s="334" t="n"/>
      <c r="G30" s="1199" t="inlineStr">
        <is>
          <t>China</t>
        </is>
      </c>
      <c r="H30" s="1747">
        <f>$C$70*J30</f>
        <v/>
      </c>
      <c r="I30" s="1615">
        <f>$J$70*J30</f>
        <v/>
      </c>
      <c r="J30" s="1751" t="n">
        <v>0.235</v>
      </c>
      <c r="K30" s="477" t="n"/>
    </row>
    <row r="31">
      <c r="A31" s="1199" t="inlineStr">
        <is>
          <t>Middle East</t>
        </is>
      </c>
      <c r="B31" s="914">
        <f>$C$72*D31</f>
        <v/>
      </c>
      <c r="C31" s="914">
        <f>$J$72*D31</f>
        <v/>
      </c>
      <c r="D31" s="1750" t="n">
        <v>0.074</v>
      </c>
      <c r="E31" s="334" t="n"/>
      <c r="G31" s="1199" t="inlineStr">
        <is>
          <t>Japan</t>
        </is>
      </c>
      <c r="H31" s="1747">
        <f>$C$70*J31</f>
        <v/>
      </c>
      <c r="I31" s="1615">
        <f>$J$70*J31</f>
        <v/>
      </c>
      <c r="J31" s="1751" t="n">
        <v>0.202</v>
      </c>
      <c r="K31" s="477" t="n"/>
    </row>
    <row r="32">
      <c r="A32" s="1199" t="inlineStr">
        <is>
          <t>Southeast Asia</t>
        </is>
      </c>
      <c r="B32" s="914">
        <f>$C$72*D32</f>
        <v/>
      </c>
      <c r="C32" s="914">
        <f>$J$72*D32</f>
        <v/>
      </c>
      <c r="D32" s="1750" t="n">
        <v>0.117</v>
      </c>
      <c r="E32" s="334" t="n"/>
      <c r="G32" s="1199" t="inlineStr">
        <is>
          <t>South Korea</t>
        </is>
      </c>
      <c r="H32" s="1747">
        <f>$C$70*J32</f>
        <v/>
      </c>
      <c r="I32" s="1615">
        <f>$J$70*J32</f>
        <v/>
      </c>
      <c r="J32" s="1751" t="n">
        <v>0.354</v>
      </c>
      <c r="K32" s="477" t="n"/>
    </row>
    <row r="33">
      <c r="A33" s="1199" t="inlineStr">
        <is>
          <t>North America</t>
        </is>
      </c>
      <c r="B33" s="992" t="n"/>
      <c r="C33" s="992" t="n"/>
      <c r="D33" s="981" t="n"/>
      <c r="E33" s="334" t="n"/>
      <c r="G33" s="1199" t="inlineStr">
        <is>
          <t>Vietnam</t>
        </is>
      </c>
      <c r="H33" s="1752" t="n"/>
      <c r="I33" s="1753" t="n"/>
      <c r="J33" s="1037" t="n"/>
      <c r="K33" s="477" t="n"/>
    </row>
    <row r="34">
      <c r="A34" s="1199" t="inlineStr">
        <is>
          <t>Africa</t>
        </is>
      </c>
      <c r="B34" s="992" t="n"/>
      <c r="C34" s="992" t="n"/>
      <c r="D34" s="981" t="n"/>
      <c r="E34" s="334" t="n"/>
      <c r="G34" s="1199" t="inlineStr">
        <is>
          <t>Indonesia</t>
        </is>
      </c>
      <c r="H34" s="1752" t="n"/>
      <c r="I34" s="1753" t="n"/>
      <c r="J34" s="1037" t="n"/>
      <c r="K34" s="477" t="n"/>
    </row>
    <row r="35">
      <c r="A35" s="1199" t="inlineStr">
        <is>
          <t>Others</t>
        </is>
      </c>
      <c r="B35" s="914">
        <f>$C$72*D35</f>
        <v/>
      </c>
      <c r="C35" s="914">
        <f>$J$72*D35</f>
        <v/>
      </c>
      <c r="D35" s="1750">
        <f>1-SUM(D30:D34)</f>
        <v/>
      </c>
      <c r="E35" s="334" t="n"/>
      <c r="G35" s="1199" t="inlineStr">
        <is>
          <t>Others</t>
        </is>
      </c>
      <c r="H35" s="1747">
        <f>$C$70*J35</f>
        <v/>
      </c>
      <c r="I35" s="1615">
        <f>$J$70*J35</f>
        <v/>
      </c>
      <c r="J35" s="1754">
        <f>1-SUM(J30:J34)</f>
        <v/>
      </c>
      <c r="K35" s="477" t="n"/>
    </row>
    <row r="36">
      <c r="A36" s="177" t="n"/>
      <c r="B36" s="262" t="n"/>
      <c r="C36" s="262" t="n"/>
      <c r="D36" s="262" t="n"/>
      <c r="E36" s="1134" t="n"/>
      <c r="F36" s="1134" t="n"/>
      <c r="G36" s="1134" t="n"/>
      <c r="H36" s="1134" t="n"/>
      <c r="I36" s="1134" t="n"/>
      <c r="J36" s="1134" t="n"/>
    </row>
    <row r="37">
      <c r="A37" s="177" t="n"/>
      <c r="B37" s="262" t="n"/>
      <c r="C37" s="262" t="n"/>
      <c r="D37" s="262" t="n"/>
      <c r="E37" s="1134" t="n"/>
      <c r="F37" s="1134" t="n"/>
      <c r="G37" s="1134" t="n"/>
      <c r="H37" s="1134" t="n"/>
      <c r="I37" s="1134" t="n"/>
      <c r="J37" s="1134" t="n"/>
    </row>
    <row r="38" ht="15.6" customHeight="1">
      <c r="A38" s="1137" t="inlineStr">
        <is>
          <t>Trade Drivers</t>
        </is>
      </c>
      <c r="I38" s="1134" t="n"/>
      <c r="J38" s="1134" t="n"/>
    </row>
    <row r="39">
      <c r="A39" s="1193" t="inlineStr">
        <is>
          <t>Driver</t>
        </is>
      </c>
      <c r="B39" s="967" t="inlineStr">
        <is>
          <t>FY27E</t>
        </is>
      </c>
      <c r="C39" s="967" t="inlineStr">
        <is>
          <t>FY28E</t>
        </is>
      </c>
      <c r="D39" s="967" t="inlineStr">
        <is>
          <t>FY29E</t>
        </is>
      </c>
      <c r="E39" s="967" t="inlineStr">
        <is>
          <t>FY30E</t>
        </is>
      </c>
      <c r="F39" s="967" t="inlineStr">
        <is>
          <t>FY31E</t>
        </is>
      </c>
      <c r="G39" s="967" t="inlineStr">
        <is>
          <t>FY32E</t>
        </is>
      </c>
      <c r="H39" s="967" t="inlineStr">
        <is>
          <t>FY33E</t>
        </is>
      </c>
      <c r="I39" s="1134" t="n"/>
      <c r="J39" s="1134" t="n"/>
    </row>
    <row r="40">
      <c r="A40" s="1199" t="inlineStr">
        <is>
          <t>Domestic Demand</t>
        </is>
      </c>
      <c r="B40" s="995">
        <f>'Steel Demand Model'!D75</f>
        <v/>
      </c>
      <c r="C40" s="995">
        <f>'Steel Demand Model'!E75</f>
        <v/>
      </c>
      <c r="D40" s="995">
        <f>'Steel Demand Model'!F75</f>
        <v/>
      </c>
      <c r="E40" s="995">
        <f>'Steel Demand Model'!G75</f>
        <v/>
      </c>
      <c r="F40" s="995">
        <f>'Steel Demand Model'!H75</f>
        <v/>
      </c>
      <c r="G40" s="995">
        <f>'Steel Demand Model'!I75</f>
        <v/>
      </c>
      <c r="H40" s="995">
        <f>'Steel Demand Model'!J75</f>
        <v/>
      </c>
      <c r="I40" s="1134" t="n"/>
      <c r="J40" s="1134" t="n"/>
    </row>
    <row r="41">
      <c r="A41" s="1199" t="inlineStr">
        <is>
          <t>Domestic Supply</t>
        </is>
      </c>
      <c r="B41" s="995">
        <f>'Steel Supply Model'!D90</f>
        <v/>
      </c>
      <c r="C41" s="995">
        <f>'Steel Supply Model'!E90</f>
        <v/>
      </c>
      <c r="D41" s="995">
        <f>'Steel Supply Model'!F90</f>
        <v/>
      </c>
      <c r="E41" s="995">
        <f>'Steel Supply Model'!G90</f>
        <v/>
      </c>
      <c r="F41" s="995">
        <f>'Steel Supply Model'!H90</f>
        <v/>
      </c>
      <c r="G41" s="995">
        <f>'Steel Supply Model'!I90</f>
        <v/>
      </c>
      <c r="H41" s="995">
        <f>'Steel Supply Model'!J90</f>
        <v/>
      </c>
      <c r="I41" s="1134" t="n"/>
      <c r="J41" s="1134" t="n"/>
    </row>
    <row r="42">
      <c r="A42" s="1199" t="inlineStr">
        <is>
          <t>Global Steel Prices</t>
        </is>
      </c>
      <c r="B42" s="1044" t="n"/>
      <c r="C42" s="1044" t="n"/>
      <c r="D42" s="1044" t="n"/>
      <c r="E42" s="1044" t="n"/>
      <c r="F42" s="1044" t="n"/>
      <c r="G42" s="1044" t="n"/>
      <c r="H42" s="1044" t="n"/>
      <c r="I42" s="1134" t="n"/>
      <c r="J42" s="1134" t="n"/>
    </row>
    <row r="43">
      <c r="A43" s="1199" t="inlineStr">
        <is>
          <t>Domestic Steel Prices</t>
        </is>
      </c>
      <c r="B43" s="1609">
        <f>'Steel Price Forecast'!D72</f>
        <v/>
      </c>
      <c r="C43" s="1609">
        <f>'Steel Price Forecast'!E72</f>
        <v/>
      </c>
      <c r="D43" s="1609">
        <f>'Steel Price Forecast'!F72</f>
        <v/>
      </c>
      <c r="E43" s="1609">
        <f>'Steel Price Forecast'!G72</f>
        <v/>
      </c>
      <c r="F43" s="1609">
        <f>'Steel Price Forecast'!H72</f>
        <v/>
      </c>
      <c r="G43" s="1609">
        <f>'Steel Price Forecast'!I72</f>
        <v/>
      </c>
      <c r="H43" s="1609">
        <f>'Steel Price Forecast'!J72</f>
        <v/>
      </c>
      <c r="I43" s="1134" t="n"/>
      <c r="J43" s="1134" t="n"/>
    </row>
    <row r="44">
      <c r="A44" s="1199" t="inlineStr">
        <is>
          <t>USD/INR</t>
        </is>
      </c>
      <c r="B44" s="979">
        <f>'Macroeconomic Model'!C18</f>
        <v/>
      </c>
      <c r="C44" s="979">
        <f>'Macroeconomic Model'!D18</f>
        <v/>
      </c>
      <c r="D44" s="979">
        <f>'Macroeconomic Model'!E18</f>
        <v/>
      </c>
      <c r="E44" s="979">
        <f>'Macroeconomic Model'!F18</f>
        <v/>
      </c>
      <c r="F44" s="979">
        <f>'Macroeconomic Model'!G18</f>
        <v/>
      </c>
      <c r="G44" s="979">
        <f>'Macroeconomic Model'!H18</f>
        <v/>
      </c>
      <c r="H44" s="979">
        <f>'Macroeconomic Model'!I18</f>
        <v/>
      </c>
      <c r="I44" s="1134" t="n"/>
      <c r="J44" s="1134" t="n"/>
    </row>
    <row r="45">
      <c r="A45" s="1199" t="inlineStr">
        <is>
          <t>Freight Costs</t>
        </is>
      </c>
      <c r="B45" s="982" t="n"/>
      <c r="C45" s="982" t="n"/>
      <c r="D45" s="982" t="n"/>
      <c r="E45" s="982" t="n"/>
      <c r="F45" s="982" t="n"/>
      <c r="G45" s="982" t="n"/>
      <c r="H45" s="982" t="n"/>
      <c r="I45" s="1134" t="n"/>
      <c r="J45" s="1134" t="n"/>
    </row>
    <row r="46">
      <c r="A46" s="1199" t="inlineStr">
        <is>
          <t>Trade Policies</t>
        </is>
      </c>
      <c r="B46" s="1693">
        <f>D82</f>
        <v/>
      </c>
      <c r="C46" s="1693">
        <f>E82</f>
        <v/>
      </c>
      <c r="D46" s="1693">
        <f>F82</f>
        <v/>
      </c>
      <c r="E46" s="1693">
        <f>G82</f>
        <v/>
      </c>
      <c r="F46" s="1693">
        <f>H82</f>
        <v/>
      </c>
      <c r="G46" s="1693">
        <f>I82</f>
        <v/>
      </c>
      <c r="H46" s="1693">
        <f>J82</f>
        <v/>
      </c>
      <c r="I46" s="1134" t="n"/>
      <c r="J46" s="1134" t="n"/>
    </row>
    <row r="47">
      <c r="A47" s="1199" t="inlineStr">
        <is>
          <t>Anti-Dumping Duties</t>
        </is>
      </c>
      <c r="B47" s="982" t="n"/>
      <c r="C47" s="982" t="n"/>
      <c r="D47" s="982" t="n"/>
      <c r="E47" s="982" t="n"/>
      <c r="F47" s="982" t="n"/>
      <c r="G47" s="982" t="n"/>
      <c r="H47" s="982" t="n"/>
      <c r="I47" s="1134" t="n"/>
      <c r="J47" s="1134" t="n"/>
    </row>
    <row r="48">
      <c r="A48" s="177" t="n"/>
      <c r="B48" s="262" t="n"/>
      <c r="C48" s="262" t="n"/>
      <c r="D48" s="262" t="n"/>
      <c r="E48" s="1134" t="n"/>
      <c r="F48" s="1134" t="n"/>
      <c r="G48" s="1134" t="n"/>
      <c r="H48" s="1134" t="n"/>
      <c r="I48" s="1134" t="n"/>
      <c r="J48" s="1134" t="n"/>
    </row>
    <row r="49">
      <c r="A49" s="177" t="n"/>
      <c r="B49" s="262" t="n"/>
      <c r="C49" s="262" t="n"/>
      <c r="D49" s="262" t="n"/>
      <c r="E49" s="1134" t="n"/>
      <c r="F49" s="1134" t="n"/>
      <c r="G49" s="1134" t="n"/>
      <c r="H49" s="1134" t="n"/>
      <c r="I49" s="1134" t="n"/>
      <c r="J49" s="1134" t="n"/>
    </row>
    <row r="50" ht="15.6" customHeight="1">
      <c r="A50" s="1137" t="inlineStr">
        <is>
          <t>Price Competitiveness</t>
        </is>
      </c>
      <c r="I50" s="1134" t="n"/>
      <c r="J50" s="1134" t="n"/>
    </row>
    <row r="51">
      <c r="A51" s="1193" t="inlineStr">
        <is>
          <t>Metric</t>
        </is>
      </c>
      <c r="B51" s="967" t="inlineStr">
        <is>
          <t>FY26A</t>
        </is>
      </c>
      <c r="C51" s="967" t="inlineStr">
        <is>
          <t>FY27E</t>
        </is>
      </c>
      <c r="D51" s="967" t="inlineStr">
        <is>
          <t>FY28E</t>
        </is>
      </c>
      <c r="E51" s="967" t="inlineStr">
        <is>
          <t>FY29E</t>
        </is>
      </c>
      <c r="F51" s="967" t="inlineStr">
        <is>
          <t>FY30E</t>
        </is>
      </c>
      <c r="G51" s="967" t="inlineStr">
        <is>
          <t>FY31E</t>
        </is>
      </c>
      <c r="H51" s="967" t="inlineStr">
        <is>
          <t>FY32E</t>
        </is>
      </c>
      <c r="I51" s="967" t="inlineStr">
        <is>
          <t>FY33E</t>
        </is>
      </c>
      <c r="J51" s="1134" t="n"/>
    </row>
    <row r="52">
      <c r="A52" s="1199" t="inlineStr">
        <is>
          <t>India HRC Price</t>
        </is>
      </c>
      <c r="B52" s="506">
        <f>'Steel Price Forecast'!B18</f>
        <v/>
      </c>
      <c r="C52" s="506">
        <f>'Steel Price Forecast'!C18</f>
        <v/>
      </c>
      <c r="D52" s="506">
        <f>'Steel Price Forecast'!D18</f>
        <v/>
      </c>
      <c r="E52" s="506">
        <f>'Steel Price Forecast'!E18</f>
        <v/>
      </c>
      <c r="F52" s="506">
        <f>'Steel Price Forecast'!F18</f>
        <v/>
      </c>
      <c r="G52" s="506">
        <f>'Steel Price Forecast'!G18</f>
        <v/>
      </c>
      <c r="H52" s="506">
        <f>'Steel Price Forecast'!H18</f>
        <v/>
      </c>
      <c r="I52" s="506">
        <f>'Steel Price Forecast'!I18</f>
        <v/>
      </c>
      <c r="J52" s="1134" t="n"/>
    </row>
    <row r="53">
      <c r="A53" s="1199" t="inlineStr">
        <is>
          <t>China HRC Price</t>
        </is>
      </c>
      <c r="B53" s="1045" t="n"/>
      <c r="C53" s="1046" t="n"/>
      <c r="D53" s="1046" t="n"/>
      <c r="E53" s="1046" t="n"/>
      <c r="F53" s="1046" t="n"/>
      <c r="G53" s="1046" t="n"/>
      <c r="H53" s="1046" t="n"/>
      <c r="I53" s="1046" t="n"/>
      <c r="J53" s="1134" t="n"/>
    </row>
    <row r="54">
      <c r="A54" s="1199" t="inlineStr">
        <is>
          <t>Price Spread</t>
        </is>
      </c>
      <c r="B54" s="508">
        <f>B52-B53</f>
        <v/>
      </c>
      <c r="C54" s="508">
        <f>C52-C53</f>
        <v/>
      </c>
      <c r="D54" s="508">
        <f>D52-D53</f>
        <v/>
      </c>
      <c r="E54" s="508">
        <f>E52-E53</f>
        <v/>
      </c>
      <c r="F54" s="508">
        <f>F52-F53</f>
        <v/>
      </c>
      <c r="G54" s="508">
        <f>G52-G53</f>
        <v/>
      </c>
      <c r="H54" s="508">
        <f>H52-H53</f>
        <v/>
      </c>
      <c r="I54" s="508">
        <f>I52-I53</f>
        <v/>
      </c>
      <c r="J54" s="1134" t="n"/>
    </row>
    <row r="55" ht="28.8" customHeight="1">
      <c r="A55" s="1199" t="inlineStr">
        <is>
          <t>Export Competitiveness</t>
        </is>
      </c>
      <c r="B55" s="1005">
        <f>IF(B54&lt;0,"Competitive - India below China",IF(B54&lt;5000,"Broadly at parity","Uncompetitive on price"))</f>
        <v/>
      </c>
      <c r="C55" s="1005">
        <f>IF(C54&lt;0,"Competitive - India below China",IF(C54&lt;5000,"Broadly at parity","Uncompetitive on price"))</f>
        <v/>
      </c>
      <c r="D55" s="1005">
        <f>IF(D54&lt;0,"Competitive - India below China",IF(D54&lt;5000,"Broadly at parity","Uncompetitive on price"))</f>
        <v/>
      </c>
      <c r="E55" s="1005">
        <f>IF(E54&lt;0,"Competitive - India below China",IF(E54&lt;5000,"Broadly at parity","Uncompetitive on price"))</f>
        <v/>
      </c>
      <c r="F55" s="1005">
        <f>IF(F54&lt;0,"Competitive - India below China",IF(F54&lt;5000,"Broadly at parity","Uncompetitive on price"))</f>
        <v/>
      </c>
      <c r="G55" s="1005">
        <f>IF(G54&lt;0,"Competitive - India below China",IF(G54&lt;5000,"Broadly at parity","Uncompetitive on price"))</f>
        <v/>
      </c>
      <c r="H55" s="1005">
        <f>IF(H54&lt;0,"Competitive - India below China",IF(H54&lt;5000,"Broadly at parity","Uncompetitive on price"))</f>
        <v/>
      </c>
      <c r="I55" s="1005">
        <f>IF(I54&lt;0,"Competitive - India below China",IF(I54&lt;5000,"Broadly at parity","Uncompetitive on price"))</f>
        <v/>
      </c>
      <c r="J55" s="1134" t="n"/>
    </row>
    <row r="56" ht="28.8" customHeight="1">
      <c r="A56" s="1199" t="inlineStr">
        <is>
          <t>Import Attractiveness</t>
        </is>
      </c>
      <c r="B56" s="1005">
        <f>IF(B54&gt;7500,"High - imports attractive",IF(B54&gt;3000,"Moderate","Low"))</f>
        <v/>
      </c>
      <c r="C56" s="1005">
        <f>IF(C54&gt;7500,"High - imports attractive",IF(C54&gt;3000,"Moderate","Low"))</f>
        <v/>
      </c>
      <c r="D56" s="1005">
        <f>IF(D54&gt;7500,"High - imports attractive",IF(D54&gt;3000,"Moderate","Low"))</f>
        <v/>
      </c>
      <c r="E56" s="1005">
        <f>IF(E54&gt;7500,"High - imports attractive",IF(E54&gt;3000,"Moderate","Low"))</f>
        <v/>
      </c>
      <c r="F56" s="1005">
        <f>IF(F54&gt;7500,"High - imports attractive",IF(F54&gt;3000,"Moderate","Low"))</f>
        <v/>
      </c>
      <c r="G56" s="1005">
        <f>IF(G54&gt;7500,"High - imports attractive",IF(G54&gt;3000,"Moderate","Low"))</f>
        <v/>
      </c>
      <c r="H56" s="1005">
        <f>IF(H54&gt;7500,"High - imports attractive",IF(H54&gt;3000,"Moderate","Low"))</f>
        <v/>
      </c>
      <c r="I56" s="1005">
        <f>IF(I54&gt;7500,"High - imports attractive",IF(I54&gt;3000,"Moderate","Low"))</f>
        <v/>
      </c>
      <c r="J56" s="1134" t="n"/>
    </row>
    <row r="57">
      <c r="A57" s="177" t="n"/>
      <c r="B57" s="262" t="n"/>
      <c r="C57" s="262" t="n"/>
      <c r="D57" s="262" t="n"/>
      <c r="E57" s="1134" t="n"/>
      <c r="F57" s="1134" t="n"/>
      <c r="G57" s="1134" t="n"/>
      <c r="H57" s="1134" t="n"/>
      <c r="I57" s="1134" t="n"/>
      <c r="J57" s="1134" t="n"/>
    </row>
    <row r="58">
      <c r="A58" s="177" t="n"/>
      <c r="B58" s="262" t="n"/>
      <c r="C58" s="262" t="n"/>
      <c r="D58" s="262" t="n"/>
      <c r="E58" s="1134" t="n"/>
      <c r="F58" s="1134" t="n"/>
      <c r="G58" s="1134" t="n"/>
      <c r="H58" s="1134" t="n"/>
      <c r="I58" s="1134" t="n"/>
      <c r="J58" s="1134" t="n"/>
    </row>
    <row r="59" ht="15.6" customHeight="1">
      <c r="A59" s="1137" t="inlineStr">
        <is>
          <t>Scenario Analysis</t>
        </is>
      </c>
      <c r="I59" s="1134" t="n"/>
      <c r="J59" s="1134" t="n"/>
    </row>
    <row r="60">
      <c r="A60" s="1193" t="inlineStr">
        <is>
          <t>Year</t>
        </is>
      </c>
      <c r="B60" s="1237" t="inlineStr">
        <is>
          <t>Base</t>
        </is>
      </c>
      <c r="C60" s="1237" t="inlineStr">
        <is>
          <t>Bull</t>
        </is>
      </c>
      <c r="D60" s="1237" t="inlineStr">
        <is>
          <t>Bear</t>
        </is>
      </c>
      <c r="E60" s="1237" t="inlineStr">
        <is>
          <t>Stress</t>
        </is>
      </c>
      <c r="F60" s="1134" t="n"/>
      <c r="G60" s="1134" t="n"/>
      <c r="H60" s="1134" t="n"/>
      <c r="I60" s="1134" t="n"/>
      <c r="J60" s="1134" t="n"/>
    </row>
    <row r="61">
      <c r="A61" s="1199" t="inlineStr">
        <is>
          <t>Imports</t>
        </is>
      </c>
      <c r="B61" s="199" t="n"/>
      <c r="C61" s="199" t="n"/>
      <c r="D61" s="199" t="n"/>
      <c r="E61" s="199" t="n"/>
      <c r="F61" s="1134" t="n"/>
      <c r="G61" s="1134" t="n"/>
      <c r="H61" s="1134" t="n"/>
      <c r="I61" s="1134" t="n"/>
      <c r="J61" s="1134" t="n"/>
    </row>
    <row r="62">
      <c r="A62" s="1199" t="inlineStr">
        <is>
          <t>Exports</t>
        </is>
      </c>
      <c r="B62" s="199" t="n"/>
      <c r="C62" s="199" t="n"/>
      <c r="D62" s="199" t="n"/>
      <c r="E62" s="199" t="n"/>
      <c r="F62" s="1134" t="n"/>
      <c r="G62" s="1134" t="n"/>
      <c r="H62" s="1134" t="n"/>
      <c r="I62" s="1134" t="n"/>
      <c r="J62" s="1134" t="n"/>
    </row>
    <row r="63">
      <c r="A63" s="1199" t="inlineStr">
        <is>
          <t>Net Trade</t>
        </is>
      </c>
      <c r="B63" s="199" t="n"/>
      <c r="C63" s="199" t="n"/>
      <c r="D63" s="199" t="n"/>
      <c r="E63" s="199" t="n"/>
      <c r="F63" s="1134" t="n"/>
      <c r="G63" s="1134" t="n"/>
      <c r="H63" s="1134" t="n"/>
      <c r="I63" s="1134" t="n"/>
      <c r="J63" s="1134" t="n"/>
    </row>
    <row r="64">
      <c r="A64" s="1134" t="n"/>
      <c r="B64" s="1134" t="n"/>
      <c r="C64" s="1134" t="n"/>
      <c r="D64" s="1134" t="n"/>
      <c r="E64" s="1134" t="n"/>
      <c r="F64" s="1134" t="n"/>
      <c r="G64" s="1134" t="n"/>
      <c r="H64" s="1134" t="n"/>
      <c r="I64" s="1134" t="n"/>
      <c r="J64" s="1134" t="n"/>
    </row>
    <row r="65">
      <c r="A65" s="1134" t="n"/>
      <c r="B65" s="1134" t="n"/>
      <c r="C65" s="1134" t="n"/>
      <c r="D65" s="1134" t="n"/>
      <c r="E65" s="1134" t="n"/>
      <c r="F65" s="1134" t="n"/>
      <c r="G65" s="1134" t="n"/>
      <c r="H65" s="1134" t="n"/>
      <c r="I65" s="1134" t="n"/>
      <c r="J65" s="1134" t="n"/>
    </row>
    <row r="66" ht="15.6" customHeight="1">
      <c r="A66" s="1137" t="inlineStr">
        <is>
          <t>Workbook</t>
        </is>
      </c>
    </row>
    <row r="67">
      <c r="A67" s="1188" t="inlineStr">
        <is>
          <t>Line item</t>
        </is>
      </c>
      <c r="B67" s="269" t="inlineStr">
        <is>
          <t>Unit</t>
        </is>
      </c>
      <c r="C67" s="485" t="inlineStr">
        <is>
          <t>FY2026A</t>
        </is>
      </c>
      <c r="D67" s="485" t="inlineStr">
        <is>
          <t>FY2027E</t>
        </is>
      </c>
      <c r="E67" s="485" t="inlineStr">
        <is>
          <t>FY2028E</t>
        </is>
      </c>
      <c r="F67" s="485" t="inlineStr">
        <is>
          <t>FY2029E</t>
        </is>
      </c>
      <c r="G67" s="485" t="inlineStr">
        <is>
          <t>FY2030E</t>
        </is>
      </c>
      <c r="H67" s="485" t="inlineStr">
        <is>
          <t>FY2031E</t>
        </is>
      </c>
      <c r="I67" s="485" t="inlineStr">
        <is>
          <t>FY2032E</t>
        </is>
      </c>
      <c r="J67" s="485" t="inlineStr">
        <is>
          <t>FY2033E</t>
        </is>
      </c>
      <c r="K67" s="269" t="inlineStr">
        <is>
          <t>Audit Code</t>
        </is>
      </c>
    </row>
    <row r="68">
      <c r="A68" s="1190" t="inlineStr">
        <is>
          <t>Finished steel imports - driver</t>
        </is>
      </c>
      <c r="B68" s="456" t="inlineStr">
        <is>
          <t>Mt</t>
        </is>
      </c>
      <c r="C68" s="1509">
        <f>'Model Assumptions'!D$28</f>
        <v/>
      </c>
      <c r="D68" s="1509">
        <f>'Model Assumptions'!E$28</f>
        <v/>
      </c>
      <c r="E68" s="1509">
        <f>'Model Assumptions'!F$28</f>
        <v/>
      </c>
      <c r="F68" s="1509">
        <f>'Model Assumptions'!G$28</f>
        <v/>
      </c>
      <c r="G68" s="1509">
        <f>'Model Assumptions'!H$28</f>
        <v/>
      </c>
      <c r="H68" s="1509">
        <f>'Model Assumptions'!I$28</f>
        <v/>
      </c>
      <c r="I68" s="1509">
        <f>'Model Assumptions'!J$28</f>
        <v/>
      </c>
      <c r="J68" s="1509">
        <f>'Model Assumptions'!K$28</f>
        <v/>
      </c>
      <c r="K68" s="477" t="n"/>
    </row>
    <row r="69">
      <c r="A69" s="1190" t="inlineStr">
        <is>
          <t>Shortfall routed from supply ceiling</t>
        </is>
      </c>
      <c r="B69" s="456" t="inlineStr">
        <is>
          <t>Mt</t>
        </is>
      </c>
      <c r="C69" s="1509">
        <f>'Steel Supply Model'!C$91</f>
        <v/>
      </c>
      <c r="D69" s="1509">
        <f>'Steel Supply Model'!D$91</f>
        <v/>
      </c>
      <c r="E69" s="1509">
        <f>'Steel Supply Model'!E$91</f>
        <v/>
      </c>
      <c r="F69" s="1509">
        <f>'Steel Supply Model'!F$91</f>
        <v/>
      </c>
      <c r="G69" s="1509">
        <f>'Steel Supply Model'!G$91</f>
        <v/>
      </c>
      <c r="H69" s="1509">
        <f>'Steel Supply Model'!H$91</f>
        <v/>
      </c>
      <c r="I69" s="1509">
        <f>'Steel Supply Model'!I$91</f>
        <v/>
      </c>
      <c r="J69" s="1509">
        <f>'Steel Supply Model'!J$91</f>
        <v/>
      </c>
      <c r="K69" s="477" t="n"/>
    </row>
    <row r="70">
      <c r="A70" s="422" t="inlineStr">
        <is>
          <t>Total finished steel imports</t>
        </is>
      </c>
      <c r="B70" s="456" t="inlineStr">
        <is>
          <t>Mt</t>
        </is>
      </c>
      <c r="C70" s="1513">
        <f>C68+C69</f>
        <v/>
      </c>
      <c r="D70" s="1513">
        <f>D68+D69</f>
        <v/>
      </c>
      <c r="E70" s="1513">
        <f>E68+E69</f>
        <v/>
      </c>
      <c r="F70" s="1513">
        <f>F68+F69</f>
        <v/>
      </c>
      <c r="G70" s="1513">
        <f>G68+G69</f>
        <v/>
      </c>
      <c r="H70" s="1513">
        <f>H68+H69</f>
        <v/>
      </c>
      <c r="I70" s="1513">
        <f>I68+I69</f>
        <v/>
      </c>
      <c r="J70" s="1513">
        <f>J68+J69</f>
        <v/>
      </c>
      <c r="K70" s="477" t="n"/>
    </row>
    <row r="71">
      <c r="A71" s="1190" t="inlineStr">
        <is>
          <t>Net finished steel exports</t>
        </is>
      </c>
      <c r="B71" s="456" t="inlineStr">
        <is>
          <t>Mt</t>
        </is>
      </c>
      <c r="C71" s="1509">
        <f>'Steel Supply Model'!C$79</f>
        <v/>
      </c>
      <c r="D71" s="1509">
        <f>'Steel Supply Model'!D$79</f>
        <v/>
      </c>
      <c r="E71" s="1509">
        <f>'Steel Supply Model'!E$79</f>
        <v/>
      </c>
      <c r="F71" s="1509">
        <f>'Steel Supply Model'!F$79</f>
        <v/>
      </c>
      <c r="G71" s="1509">
        <f>'Steel Supply Model'!G$79</f>
        <v/>
      </c>
      <c r="H71" s="1509">
        <f>'Steel Supply Model'!H$79</f>
        <v/>
      </c>
      <c r="I71" s="1509">
        <f>'Steel Supply Model'!I$79</f>
        <v/>
      </c>
      <c r="J71" s="1509">
        <f>'Steel Supply Model'!J$79</f>
        <v/>
      </c>
      <c r="K71" s="477" t="n"/>
    </row>
    <row r="72">
      <c r="A72" s="422" t="inlineStr">
        <is>
          <t>Finished steel exports</t>
        </is>
      </c>
      <c r="B72" s="456" t="inlineStr">
        <is>
          <t>Mt</t>
        </is>
      </c>
      <c r="C72" s="1513">
        <f>C68+C71</f>
        <v/>
      </c>
      <c r="D72" s="1513">
        <f>D68+D71</f>
        <v/>
      </c>
      <c r="E72" s="1513">
        <f>E68+E71</f>
        <v/>
      </c>
      <c r="F72" s="1513">
        <f>F68+F71</f>
        <v/>
      </c>
      <c r="G72" s="1513">
        <f>G68+G71</f>
        <v/>
      </c>
      <c r="H72" s="1513">
        <f>H68+H71</f>
        <v/>
      </c>
      <c r="I72" s="1513">
        <f>I68+I71</f>
        <v/>
      </c>
      <c r="J72" s="1513">
        <f>J68+J71</f>
        <v/>
      </c>
      <c r="K72" s="477" t="n"/>
    </row>
    <row r="73">
      <c r="L73" s="1028" t="n"/>
    </row>
    <row r="74">
      <c r="A74" s="1135" t="inlineStr">
        <is>
          <t>TRADE INTENSITY</t>
        </is>
      </c>
      <c r="B74" s="1342" t="n"/>
      <c r="C74" s="1342" t="n"/>
      <c r="D74" s="1342" t="n"/>
      <c r="E74" s="1342" t="n"/>
      <c r="F74" s="1342" t="n"/>
      <c r="G74" s="1342" t="n"/>
      <c r="H74" s="1342" t="n"/>
      <c r="I74" s="1342" t="n"/>
      <c r="J74" s="1342" t="n"/>
      <c r="K74" s="1360" t="n"/>
    </row>
    <row r="75">
      <c r="A75" s="1026" t="inlineStr">
        <is>
          <t>Apparent consumption</t>
        </is>
      </c>
      <c r="B75" s="683" t="inlineStr">
        <is>
          <t>Mt</t>
        </is>
      </c>
      <c r="C75" s="1755">
        <f>'Steel Demand Model'!C$75</f>
        <v/>
      </c>
      <c r="D75" s="1755">
        <f>'Steel Demand Model'!D$75</f>
        <v/>
      </c>
      <c r="E75" s="1755">
        <f>'Steel Demand Model'!E$75</f>
        <v/>
      </c>
      <c r="F75" s="1755">
        <f>'Steel Demand Model'!F$75</f>
        <v/>
      </c>
      <c r="G75" s="1755">
        <f>'Steel Demand Model'!G$75</f>
        <v/>
      </c>
      <c r="H75" s="1755">
        <f>'Steel Demand Model'!H$75</f>
        <v/>
      </c>
      <c r="I75" s="1755">
        <f>'Steel Demand Model'!I$75</f>
        <v/>
      </c>
      <c r="J75" s="1755">
        <f>'Steel Demand Model'!J$75</f>
        <v/>
      </c>
      <c r="K75" s="1027" t="n"/>
    </row>
    <row r="76">
      <c r="A76" s="1190" t="inlineStr">
        <is>
          <t>Finished steel production</t>
        </is>
      </c>
      <c r="B76" s="456" t="inlineStr">
        <is>
          <t>Mt</t>
        </is>
      </c>
      <c r="C76" s="1509">
        <f>'Steel Supply Model'!C$90</f>
        <v/>
      </c>
      <c r="D76" s="1509">
        <f>'Steel Supply Model'!D$90</f>
        <v/>
      </c>
      <c r="E76" s="1509">
        <f>'Steel Supply Model'!E$90</f>
        <v/>
      </c>
      <c r="F76" s="1509">
        <f>'Steel Supply Model'!F$90</f>
        <v/>
      </c>
      <c r="G76" s="1509">
        <f>'Steel Supply Model'!G$90</f>
        <v/>
      </c>
      <c r="H76" s="1509">
        <f>'Steel Supply Model'!H$90</f>
        <v/>
      </c>
      <c r="I76" s="1509">
        <f>'Steel Supply Model'!I$90</f>
        <v/>
      </c>
      <c r="J76" s="1509">
        <f>'Steel Supply Model'!J$90</f>
        <v/>
      </c>
      <c r="K76" s="477" t="n"/>
    </row>
    <row r="77">
      <c r="A77" s="1190" t="inlineStr">
        <is>
          <t>Import penetration</t>
        </is>
      </c>
      <c r="B77" s="456" t="inlineStr">
        <is>
          <t>% of consumption</t>
        </is>
      </c>
      <c r="C77" s="1468">
        <f>C70/C75</f>
        <v/>
      </c>
      <c r="D77" s="1468">
        <f>D70/D75</f>
        <v/>
      </c>
      <c r="E77" s="1468">
        <f>E70/E75</f>
        <v/>
      </c>
      <c r="F77" s="1468">
        <f>F70/F75</f>
        <v/>
      </c>
      <c r="G77" s="1468">
        <f>G70/G75</f>
        <v/>
      </c>
      <c r="H77" s="1468">
        <f>H70/H75</f>
        <v/>
      </c>
      <c r="I77" s="1468">
        <f>I70/I75</f>
        <v/>
      </c>
      <c r="J77" s="1468">
        <f>J70/J75</f>
        <v/>
      </c>
      <c r="K77" s="477" t="n"/>
    </row>
    <row r="78">
      <c r="A78" s="1190" t="inlineStr">
        <is>
          <t>Export intensity</t>
        </is>
      </c>
      <c r="B78" s="456" t="inlineStr">
        <is>
          <t>% of production</t>
        </is>
      </c>
      <c r="C78" s="1468">
        <f>C72/C76</f>
        <v/>
      </c>
      <c r="D78" s="1468">
        <f>D72/D76</f>
        <v/>
      </c>
      <c r="E78" s="1468">
        <f>E72/E76</f>
        <v/>
      </c>
      <c r="F78" s="1468">
        <f>F72/F76</f>
        <v/>
      </c>
      <c r="G78" s="1468">
        <f>G72/G76</f>
        <v/>
      </c>
      <c r="H78" s="1468">
        <f>H72/H76</f>
        <v/>
      </c>
      <c r="I78" s="1468">
        <f>I72/I76</f>
        <v/>
      </c>
      <c r="J78" s="1468">
        <f>J72/J76</f>
        <v/>
      </c>
      <c r="K78" s="477" t="n"/>
    </row>
    <row r="79">
      <c r="A79" s="422" t="inlineStr">
        <is>
          <t>Net trade position</t>
        </is>
      </c>
      <c r="B79" s="456" t="inlineStr">
        <is>
          <t>Mt</t>
        </is>
      </c>
      <c r="C79" s="1513">
        <f>C72-C70</f>
        <v/>
      </c>
      <c r="D79" s="1513">
        <f>D72-D70</f>
        <v/>
      </c>
      <c r="E79" s="1513">
        <f>E72-E70</f>
        <v/>
      </c>
      <c r="F79" s="1513">
        <f>F72-F70</f>
        <v/>
      </c>
      <c r="G79" s="1513">
        <f>G72-G70</f>
        <v/>
      </c>
      <c r="H79" s="1513">
        <f>H72-H70</f>
        <v/>
      </c>
      <c r="I79" s="1513">
        <f>I72-I70</f>
        <v/>
      </c>
      <c r="J79" s="1513">
        <f>J72-J70</f>
        <v/>
      </c>
      <c r="K79" s="477" t="n"/>
    </row>
    <row r="80">
      <c r="L80" s="1028" t="n"/>
    </row>
    <row r="81">
      <c r="A81" s="1135" t="inlineStr">
        <is>
          <t>POLICY CONTEXT</t>
        </is>
      </c>
      <c r="B81" s="1342" t="n"/>
      <c r="C81" s="1342" t="n"/>
      <c r="D81" s="1342" t="n"/>
      <c r="E81" s="1342" t="n"/>
      <c r="F81" s="1342" t="n"/>
      <c r="G81" s="1342" t="n"/>
      <c r="H81" s="1342" t="n"/>
      <c r="I81" s="1342" t="n"/>
      <c r="J81" s="1342" t="n"/>
      <c r="K81" s="1360" t="n"/>
    </row>
    <row r="82">
      <c r="A82" s="1190" t="inlineStr">
        <is>
          <t>Safeguard duty on flat products</t>
        </is>
      </c>
      <c r="B82" s="456" t="inlineStr">
        <is>
          <t>%</t>
        </is>
      </c>
      <c r="C82" s="1588" t="n">
        <v>0.12</v>
      </c>
      <c r="D82" s="1588" t="n">
        <v>0.115</v>
      </c>
      <c r="E82" s="1588" t="n">
        <v>0.11</v>
      </c>
      <c r="F82" s="1588" t="n">
        <v>0</v>
      </c>
      <c r="G82" s="1588" t="n">
        <v>0</v>
      </c>
      <c r="H82" s="1588" t="n">
        <v>0</v>
      </c>
      <c r="I82" s="1588" t="n">
        <v>0</v>
      </c>
      <c r="J82" s="1588" t="n">
        <v>0</v>
      </c>
      <c r="K82" s="477" t="n"/>
    </row>
    <row r="84">
      <c r="A84" s="1132" t="inlineStr">
        <is>
          <t>EU destinations - Italy, Belgium and Spain - were 34.4% of India's FY2026 exports, so the EU CBAM definitive regime that began 01-Jan-2026 bears on roughly a third of the export book. Quantified on 20 ESG Model.</t>
        </is>
      </c>
    </row>
  </sheetData>
  <mergeCells count="16">
    <mergeCell ref="A50:H50"/>
    <mergeCell ref="A7:I7"/>
    <mergeCell ref="A74:K74"/>
    <mergeCell ref="A5:J5"/>
    <mergeCell ref="A84:J84"/>
    <mergeCell ref="A59:H59"/>
    <mergeCell ref="A38:H38"/>
    <mergeCell ref="A28:E28"/>
    <mergeCell ref="J2:K2"/>
    <mergeCell ref="A81:K81"/>
    <mergeCell ref="G28:K28"/>
    <mergeCell ref="A2:G2"/>
    <mergeCell ref="A17:F17"/>
    <mergeCell ref="A66:K66"/>
    <mergeCell ref="H17:J17"/>
    <mergeCell ref="A1:K1"/>
  </mergeCells>
  <pageMargins left="0.7" right="0.7" top="0.75" bottom="0.75" header="0.3" footer="0.3"/>
</worksheet>
</file>

<file path=xl/worksheets/sheet25.xml><?xml version="1.0" encoding="utf-8"?>
<worksheet xmlns="http://schemas.openxmlformats.org/spreadsheetml/2006/main">
  <sheetPr codeName="Sheet25">
    <tabColor rgb="FF002060"/>
    <outlinePr summaryBelow="1" summaryRight="1"/>
    <pageSetUpPr/>
  </sheetPr>
  <dimension ref="A1:K112"/>
  <sheetViews>
    <sheetView showGridLines="0" workbookViewId="0">
      <selection activeCell="J2" sqref="J2:K2"/>
    </sheetView>
  </sheetViews>
  <sheetFormatPr baseColWidth="8" defaultColWidth="34.6640625" defaultRowHeight="14.4"/>
  <cols>
    <col width="38.77734375" customWidth="1" style="1262" min="1" max="1"/>
    <col width="14.109375" customWidth="1" style="729" min="2" max="9"/>
    <col width="14.109375" customWidth="1" style="107" min="10" max="10"/>
    <col width="14.6640625" customWidth="1" style="1262" min="11" max="11"/>
    <col width="34.6640625" customWidth="1" style="1262" min="12" max="16384"/>
  </cols>
  <sheetData>
    <row r="1" ht="25.8" customHeight="1">
      <c r="A1" s="1133" t="inlineStr">
        <is>
          <t>ESG MODEL</t>
        </is>
      </c>
      <c r="K1" s="1301" t="n"/>
    </row>
    <row r="2" ht="15.6" customHeight="1">
      <c r="A2" s="1136" t="inlineStr">
        <is>
          <t>Industry Financial Model  |  Indian Steel Industry  |  Horizon FY2027E-FY2033E  |  Base year FY2026A</t>
        </is>
      </c>
      <c r="J2" s="1292">
        <f>'Control Panel'!$E$17</f>
        <v/>
      </c>
    </row>
    <row r="3" ht="15.6" customHeight="1">
      <c r="A3" s="1167" t="n"/>
      <c r="H3" s="1218" t="n"/>
    </row>
    <row r="4">
      <c r="A4" s="1145" t="inlineStr">
        <is>
          <t>OBJECTIVE</t>
        </is>
      </c>
    </row>
    <row r="5">
      <c r="A5" s="1134" t="inlineStr">
        <is>
          <t>Forecast environmental, social, and governance trends and quantify their financial impact on the Indian steel industry.</t>
        </is>
      </c>
    </row>
    <row r="6">
      <c r="A6" s="1134" t="n"/>
      <c r="B6" s="928" t="n"/>
      <c r="C6" s="928" t="n"/>
      <c r="D6" s="928" t="n"/>
      <c r="E6" s="928" t="n"/>
      <c r="F6" s="928" t="n"/>
      <c r="G6" s="928" t="n"/>
      <c r="H6" s="928" t="n"/>
      <c r="I6" s="928" t="n"/>
      <c r="J6" s="1134" t="n"/>
    </row>
    <row r="7" ht="15.6" customHeight="1">
      <c r="A7" s="1137" t="inlineStr">
        <is>
          <t>Executive Summary</t>
        </is>
      </c>
      <c r="J7" s="1134" t="n"/>
    </row>
    <row r="8">
      <c r="A8" s="1193" t="inlineStr">
        <is>
          <t>KPI</t>
        </is>
      </c>
      <c r="B8" s="967" t="inlineStr">
        <is>
          <t>FY26A</t>
        </is>
      </c>
      <c r="C8" s="967" t="inlineStr">
        <is>
          <t>FY27E</t>
        </is>
      </c>
      <c r="D8" s="967" t="inlineStr">
        <is>
          <t>FY28E</t>
        </is>
      </c>
      <c r="E8" s="967" t="inlineStr">
        <is>
          <t>FY29E</t>
        </is>
      </c>
      <c r="F8" s="967" t="inlineStr">
        <is>
          <t>FY30E</t>
        </is>
      </c>
      <c r="G8" s="967" t="inlineStr">
        <is>
          <t>FY31E</t>
        </is>
      </c>
      <c r="H8" s="967" t="inlineStr">
        <is>
          <t>FY32E</t>
        </is>
      </c>
      <c r="I8" s="967" t="inlineStr">
        <is>
          <t>FY33E</t>
        </is>
      </c>
      <c r="J8" s="269" t="inlineStr">
        <is>
          <t>Audit Code</t>
        </is>
      </c>
    </row>
    <row r="9">
      <c r="A9" s="1199" t="inlineStr">
        <is>
          <t>ESG Score</t>
        </is>
      </c>
      <c r="B9" s="982" t="n"/>
      <c r="C9" s="982" t="n"/>
      <c r="D9" s="982" t="n"/>
      <c r="E9" s="982" t="n"/>
      <c r="F9" s="982" t="n"/>
      <c r="G9" s="982" t="n"/>
      <c r="H9" s="982" t="n"/>
      <c r="I9" s="982" t="n"/>
      <c r="J9" s="334" t="n"/>
    </row>
    <row r="10">
      <c r="A10" s="1199" t="inlineStr">
        <is>
          <t>Carbon Intensity (tCO₂/t steel)</t>
        </is>
      </c>
      <c r="B10" s="1682">
        <f>C100</f>
        <v/>
      </c>
      <c r="C10" s="1682">
        <f>D100</f>
        <v/>
      </c>
      <c r="D10" s="1682">
        <f>E100</f>
        <v/>
      </c>
      <c r="E10" s="1682">
        <f>F100</f>
        <v/>
      </c>
      <c r="F10" s="1682">
        <f>G100</f>
        <v/>
      </c>
      <c r="G10" s="1682">
        <f>H100</f>
        <v/>
      </c>
      <c r="H10" s="1682">
        <f>I100</f>
        <v/>
      </c>
      <c r="I10" s="1682">
        <f>J100</f>
        <v/>
      </c>
      <c r="J10" s="334" t="n"/>
    </row>
    <row r="11">
      <c r="A11" s="1199" t="inlineStr">
        <is>
          <t>Carbon Cost (₹ Cr)</t>
        </is>
      </c>
      <c r="B11" s="982" t="n"/>
      <c r="C11" s="1614">
        <f>D109</f>
        <v/>
      </c>
      <c r="D11" s="1614">
        <f>E109</f>
        <v/>
      </c>
      <c r="E11" s="1614">
        <f>F109</f>
        <v/>
      </c>
      <c r="F11" s="1614">
        <f>G109</f>
        <v/>
      </c>
      <c r="G11" s="1614">
        <f>H109</f>
        <v/>
      </c>
      <c r="H11" s="1614">
        <f>I109</f>
        <v/>
      </c>
      <c r="I11" s="1614">
        <f>J109</f>
        <v/>
      </c>
      <c r="J11" s="334" t="n"/>
    </row>
    <row r="12">
      <c r="A12" s="1199" t="inlineStr">
        <is>
          <t>ESG Capex (₹ Cr)</t>
        </is>
      </c>
      <c r="B12" s="982" t="n"/>
      <c r="C12" s="982" t="n"/>
      <c r="D12" s="982" t="n"/>
      <c r="E12" s="982" t="n"/>
      <c r="F12" s="982" t="n"/>
      <c r="G12" s="982" t="n"/>
      <c r="H12" s="982" t="n"/>
      <c r="I12" s="982" t="n"/>
      <c r="J12" s="334" t="n"/>
    </row>
    <row r="13">
      <c r="A13" s="1199" t="inlineStr">
        <is>
          <t>Renewable Energy (%)</t>
        </is>
      </c>
      <c r="B13" s="982" t="n"/>
      <c r="C13" s="982" t="n"/>
      <c r="D13" s="982" t="n"/>
      <c r="E13" s="982" t="n"/>
      <c r="F13" s="982" t="n"/>
      <c r="G13" s="982" t="n"/>
      <c r="H13" s="982" t="n"/>
      <c r="I13" s="982" t="n"/>
      <c r="J13" s="334" t="n"/>
    </row>
    <row r="14">
      <c r="A14" s="1199" t="inlineStr">
        <is>
          <t>ESG Rating Trend</t>
        </is>
      </c>
      <c r="B14" s="996" t="n"/>
      <c r="C14" s="996" t="n"/>
      <c r="D14" s="996" t="n"/>
      <c r="E14" s="996" t="n"/>
      <c r="F14" s="996" t="n"/>
      <c r="G14" s="996" t="n"/>
      <c r="H14" s="996" t="n"/>
      <c r="I14" s="996" t="n"/>
      <c r="J14" s="334" t="n"/>
    </row>
    <row r="15">
      <c r="A15" s="1134" t="n"/>
      <c r="B15" s="928" t="n"/>
      <c r="C15" s="928" t="n"/>
      <c r="D15" s="928" t="n"/>
      <c r="E15" s="928" t="n"/>
      <c r="F15" s="928" t="n"/>
      <c r="G15" s="928" t="n"/>
      <c r="H15" s="928" t="n"/>
      <c r="I15" s="928" t="n"/>
      <c r="J15" s="1134" t="n"/>
    </row>
    <row r="16">
      <c r="A16" s="1134" t="n"/>
      <c r="B16" s="928" t="n"/>
      <c r="C16" s="928" t="n"/>
      <c r="D16" s="928" t="n"/>
      <c r="E16" s="928" t="n"/>
      <c r="F16" s="928" t="n"/>
      <c r="G16" s="928" t="n"/>
      <c r="H16" s="928" t="n"/>
      <c r="I16" s="928" t="n"/>
      <c r="J16" s="1134" t="n"/>
    </row>
    <row r="17" ht="15.6" customHeight="1">
      <c r="A17" s="1137" t="inlineStr">
        <is>
          <t>Environmental KPIs</t>
        </is>
      </c>
      <c r="J17" s="1134" t="n"/>
    </row>
    <row r="18">
      <c r="A18" s="1193" t="inlineStr">
        <is>
          <t>KPI</t>
        </is>
      </c>
      <c r="B18" s="967" t="inlineStr">
        <is>
          <t>FY26A</t>
        </is>
      </c>
      <c r="C18" s="967" t="inlineStr">
        <is>
          <t>FY27E</t>
        </is>
      </c>
      <c r="D18" s="967" t="inlineStr">
        <is>
          <t>FY28E</t>
        </is>
      </c>
      <c r="E18" s="967" t="inlineStr">
        <is>
          <t>FY29E</t>
        </is>
      </c>
      <c r="F18" s="967" t="inlineStr">
        <is>
          <t>FY30E</t>
        </is>
      </c>
      <c r="G18" s="967" t="inlineStr">
        <is>
          <t>FY31E</t>
        </is>
      </c>
      <c r="H18" s="967" t="inlineStr">
        <is>
          <t>FY32E</t>
        </is>
      </c>
      <c r="I18" s="967" t="inlineStr">
        <is>
          <t>FY33E</t>
        </is>
      </c>
      <c r="J18" s="269" t="inlineStr">
        <is>
          <t>Audit Code</t>
        </is>
      </c>
    </row>
    <row r="19">
      <c r="A19" s="1199" t="inlineStr">
        <is>
          <t>CO₂ Emissions (Mt)</t>
        </is>
      </c>
      <c r="B19" s="1615">
        <f>C100*'Steel Supply Model'!C88</f>
        <v/>
      </c>
      <c r="C19" s="1615">
        <f>D100*'Steel Supply Model'!D88</f>
        <v/>
      </c>
      <c r="D19" s="1615">
        <f>E100*'Steel Supply Model'!E88</f>
        <v/>
      </c>
      <c r="E19" s="1615">
        <f>F100*'Steel Supply Model'!F88</f>
        <v/>
      </c>
      <c r="F19" s="1615">
        <f>G100*'Steel Supply Model'!G88</f>
        <v/>
      </c>
      <c r="G19" s="1615">
        <f>H100*'Steel Supply Model'!H88</f>
        <v/>
      </c>
      <c r="H19" s="1615">
        <f>I100*'Steel Supply Model'!I88</f>
        <v/>
      </c>
      <c r="I19" s="1615">
        <f>J100*'Steel Supply Model'!J88</f>
        <v/>
      </c>
      <c r="J19" s="334" t="n"/>
    </row>
    <row r="20">
      <c r="A20" s="1199" t="inlineStr">
        <is>
          <t>Carbon Intensity</t>
        </is>
      </c>
      <c r="B20" s="1682">
        <f>C100</f>
        <v/>
      </c>
      <c r="C20" s="1682">
        <f>D100</f>
        <v/>
      </c>
      <c r="D20" s="1682">
        <f>E100</f>
        <v/>
      </c>
      <c r="E20" s="1682">
        <f>F100</f>
        <v/>
      </c>
      <c r="F20" s="1682">
        <f>G100</f>
        <v/>
      </c>
      <c r="G20" s="1682">
        <f>H100</f>
        <v/>
      </c>
      <c r="H20" s="1682">
        <f>I100</f>
        <v/>
      </c>
      <c r="I20" s="1682">
        <f>J100</f>
        <v/>
      </c>
      <c r="J20" s="334" t="n"/>
    </row>
    <row r="21">
      <c r="A21" s="1199" t="inlineStr">
        <is>
          <t>Renewable Energy Share</t>
        </is>
      </c>
      <c r="B21" s="982" t="n"/>
      <c r="C21" s="982" t="n"/>
      <c r="D21" s="982" t="n"/>
      <c r="E21" s="982" t="n"/>
      <c r="F21" s="982" t="n"/>
      <c r="G21" s="982" t="n"/>
      <c r="H21" s="982" t="n"/>
      <c r="I21" s="982" t="n"/>
      <c r="J21" s="334" t="n"/>
    </row>
    <row r="22">
      <c r="A22" s="1199" t="inlineStr">
        <is>
          <t>Energy Consumption</t>
        </is>
      </c>
      <c r="B22" s="982" t="n"/>
      <c r="C22" s="982" t="n"/>
      <c r="D22" s="982" t="n"/>
      <c r="E22" s="982" t="n"/>
      <c r="F22" s="982" t="n"/>
      <c r="G22" s="982" t="n"/>
      <c r="H22" s="982" t="n"/>
      <c r="I22" s="982" t="n"/>
      <c r="J22" s="334" t="n"/>
    </row>
    <row r="23">
      <c r="A23" s="1199" t="inlineStr">
        <is>
          <t>Water Consumption</t>
        </is>
      </c>
      <c r="B23" s="982" t="n"/>
      <c r="C23" s="982" t="n"/>
      <c r="D23" s="982" t="n"/>
      <c r="E23" s="982" t="n"/>
      <c r="F23" s="982" t="n"/>
      <c r="G23" s="982" t="n"/>
      <c r="H23" s="982" t="n"/>
      <c r="I23" s="982" t="n"/>
      <c r="J23" s="334" t="n"/>
    </row>
    <row r="24">
      <c r="A24" s="1199" t="inlineStr">
        <is>
          <t>Water Recycling</t>
        </is>
      </c>
      <c r="B24" s="982" t="n"/>
      <c r="C24" s="982" t="n"/>
      <c r="D24" s="982" t="n"/>
      <c r="E24" s="982" t="n"/>
      <c r="F24" s="982" t="n"/>
      <c r="G24" s="982" t="n"/>
      <c r="H24" s="982" t="n"/>
      <c r="I24" s="982" t="n"/>
      <c r="J24" s="334" t="n"/>
    </row>
    <row r="25">
      <c r="A25" s="1199" t="inlineStr">
        <is>
          <t>Waste Recycling</t>
        </is>
      </c>
      <c r="B25" s="982" t="n"/>
      <c r="C25" s="982" t="n"/>
      <c r="D25" s="982" t="n"/>
      <c r="E25" s="982" t="n"/>
      <c r="F25" s="982" t="n"/>
      <c r="G25" s="982" t="n"/>
      <c r="H25" s="982" t="n"/>
      <c r="I25" s="982" t="n"/>
      <c r="J25" s="334" t="n"/>
    </row>
    <row r="26">
      <c r="A26" s="1199" t="inlineStr">
        <is>
          <t>Slag Utilisation</t>
        </is>
      </c>
      <c r="B26" s="996" t="n"/>
      <c r="C26" s="996" t="n"/>
      <c r="D26" s="996" t="n"/>
      <c r="E26" s="996" t="n"/>
      <c r="F26" s="996" t="n"/>
      <c r="G26" s="996" t="n"/>
      <c r="H26" s="996" t="n"/>
      <c r="I26" s="996" t="n"/>
      <c r="J26" s="334" t="n"/>
    </row>
    <row r="27">
      <c r="A27" s="1134" t="n"/>
      <c r="B27" s="928" t="n"/>
      <c r="C27" s="928" t="n"/>
      <c r="D27" s="928" t="n"/>
      <c r="E27" s="928" t="n"/>
      <c r="F27" s="928" t="n"/>
      <c r="G27" s="928" t="n"/>
      <c r="H27" s="928" t="n"/>
      <c r="I27" s="928" t="n"/>
      <c r="J27" s="1134" t="n"/>
    </row>
    <row r="28">
      <c r="A28" s="1134" t="n"/>
      <c r="B28" s="928" t="n"/>
      <c r="C28" s="928" t="n"/>
      <c r="D28" s="928" t="n"/>
      <c r="E28" s="928" t="n"/>
      <c r="F28" s="928" t="n"/>
      <c r="G28" s="928" t="n"/>
      <c r="H28" s="928" t="n"/>
      <c r="I28" s="928" t="n"/>
      <c r="J28" s="1134" t="n"/>
    </row>
    <row r="29" ht="15.6" customHeight="1">
      <c r="A29" s="1243" t="inlineStr">
        <is>
          <t>Carbon Cost Forecast</t>
        </is>
      </c>
      <c r="B29" s="1339" t="n"/>
      <c r="C29" s="1339" t="n"/>
      <c r="D29" s="1339" t="n"/>
      <c r="E29" s="1339" t="n"/>
      <c r="F29" s="1339" t="n"/>
      <c r="G29" s="1339" t="n"/>
      <c r="H29" s="1339" t="n"/>
      <c r="I29" s="787" t="n"/>
      <c r="J29" s="1134" t="n"/>
    </row>
    <row r="30">
      <c r="A30" s="1193" t="inlineStr">
        <is>
          <t>Item</t>
        </is>
      </c>
      <c r="B30" s="967" t="inlineStr">
        <is>
          <t>FY27E</t>
        </is>
      </c>
      <c r="C30" s="967" t="inlineStr">
        <is>
          <t>FY28E</t>
        </is>
      </c>
      <c r="D30" s="967" t="inlineStr">
        <is>
          <t>FY29E</t>
        </is>
      </c>
      <c r="E30" s="967" t="inlineStr">
        <is>
          <t>FY30E</t>
        </is>
      </c>
      <c r="F30" s="967" t="inlineStr">
        <is>
          <t>FY31E</t>
        </is>
      </c>
      <c r="G30" s="967" t="inlineStr">
        <is>
          <t>FY32E</t>
        </is>
      </c>
      <c r="H30" s="967" t="inlineStr">
        <is>
          <t>FY33E</t>
        </is>
      </c>
      <c r="J30" s="1134" t="n"/>
    </row>
    <row r="31">
      <c r="A31" s="1199" t="inlineStr">
        <is>
          <t>Carbon Price</t>
        </is>
      </c>
      <c r="B31" s="1093">
        <f>D102*D103</f>
        <v/>
      </c>
      <c r="C31" s="1093">
        <f>E102*E103</f>
        <v/>
      </c>
      <c r="D31" s="1093">
        <f>F102*F103</f>
        <v/>
      </c>
      <c r="E31" s="1093">
        <f>G102*G103</f>
        <v/>
      </c>
      <c r="F31" s="1093">
        <f>H102*H103</f>
        <v/>
      </c>
      <c r="G31" s="1093">
        <f>I102*I103</f>
        <v/>
      </c>
      <c r="H31" s="1093">
        <f>J102*J103</f>
        <v/>
      </c>
      <c r="J31" s="1134" t="n"/>
    </row>
    <row r="32">
      <c r="A32" s="1199" t="inlineStr">
        <is>
          <t>Emissions</t>
        </is>
      </c>
      <c r="B32" s="1094">
        <f>D107*D108</f>
        <v/>
      </c>
      <c r="C32" s="1094">
        <f>E107*E108</f>
        <v/>
      </c>
      <c r="D32" s="1094">
        <f>F107*F108</f>
        <v/>
      </c>
      <c r="E32" s="1094">
        <f>G107*G108</f>
        <v/>
      </c>
      <c r="F32" s="1094">
        <f>H107*H108</f>
        <v/>
      </c>
      <c r="G32" s="1094">
        <f>I107*I108</f>
        <v/>
      </c>
      <c r="H32" s="1094">
        <f>J107*J108</f>
        <v/>
      </c>
      <c r="J32" s="1134" t="n"/>
    </row>
    <row r="33">
      <c r="A33" s="1199" t="inlineStr">
        <is>
          <t>Gross Carbon Cost</t>
        </is>
      </c>
      <c r="B33" s="1715">
        <f>D109</f>
        <v/>
      </c>
      <c r="C33" s="1715">
        <f>E109</f>
        <v/>
      </c>
      <c r="D33" s="1715">
        <f>F109</f>
        <v/>
      </c>
      <c r="E33" s="1715">
        <f>G109</f>
        <v/>
      </c>
      <c r="F33" s="1715">
        <f>H109</f>
        <v/>
      </c>
      <c r="G33" s="1715">
        <f>I109</f>
        <v/>
      </c>
      <c r="H33" s="1715">
        <f>J109</f>
        <v/>
      </c>
      <c r="J33" s="1134" t="n"/>
    </row>
    <row r="34">
      <c r="A34" s="1199" t="inlineStr">
        <is>
          <t>Carbon Credits</t>
        </is>
      </c>
      <c r="B34" s="1756" t="n">
        <v>0</v>
      </c>
      <c r="C34" s="1756" t="n">
        <v>0</v>
      </c>
      <c r="D34" s="1756" t="n">
        <v>0</v>
      </c>
      <c r="E34" s="1756" t="n">
        <v>0</v>
      </c>
      <c r="F34" s="1756" t="n">
        <v>0</v>
      </c>
      <c r="G34" s="1756" t="n">
        <v>0</v>
      </c>
      <c r="H34" s="1756" t="n">
        <v>0</v>
      </c>
      <c r="J34" s="1134" t="n"/>
    </row>
    <row r="35">
      <c r="A35" s="1199" t="inlineStr">
        <is>
          <t>Net Carbon Cost</t>
        </is>
      </c>
      <c r="B35" s="1757">
        <f>B33-B34</f>
        <v/>
      </c>
      <c r="C35" s="1757">
        <f>C33-C34</f>
        <v/>
      </c>
      <c r="D35" s="1757">
        <f>D33-D34</f>
        <v/>
      </c>
      <c r="E35" s="1757">
        <f>E33-E34</f>
        <v/>
      </c>
      <c r="F35" s="1757">
        <f>F33-F34</f>
        <v/>
      </c>
      <c r="G35" s="1757">
        <f>G33-G34</f>
        <v/>
      </c>
      <c r="H35" s="1757">
        <f>H33-H34</f>
        <v/>
      </c>
      <c r="J35" s="1134" t="n"/>
    </row>
    <row r="36">
      <c r="A36" s="1134" t="n"/>
      <c r="B36" s="928" t="n"/>
      <c r="C36" s="928" t="n"/>
      <c r="D36" s="928" t="n"/>
      <c r="E36" s="928" t="n"/>
      <c r="F36" s="928" t="n"/>
      <c r="G36" s="928" t="n"/>
      <c r="H36" s="928" t="n"/>
      <c r="I36" s="928" t="n"/>
      <c r="J36" s="1134" t="n"/>
    </row>
    <row r="37">
      <c r="A37" s="1134" t="n"/>
      <c r="B37" s="928" t="n"/>
      <c r="C37" s="928" t="n"/>
      <c r="D37" s="928" t="n"/>
      <c r="E37" s="928" t="n"/>
      <c r="F37" s="928" t="n"/>
      <c r="G37" s="928" t="n"/>
      <c r="H37" s="928" t="n"/>
      <c r="I37" s="928" t="n"/>
      <c r="J37" s="1134" t="n"/>
    </row>
    <row r="38" ht="15.6" customHeight="1">
      <c r="A38" s="1243" t="inlineStr">
        <is>
          <t>ESG Capex</t>
        </is>
      </c>
      <c r="B38" s="1339" t="n"/>
      <c r="C38" s="1339" t="n"/>
      <c r="D38" s="1339" t="n"/>
      <c r="E38" s="1339" t="n"/>
      <c r="F38" s="1339" t="n"/>
      <c r="G38" s="1339" t="n"/>
      <c r="H38" s="1339" t="n"/>
      <c r="I38" s="928" t="n"/>
      <c r="J38" s="1134" t="n"/>
    </row>
    <row r="39">
      <c r="A39" s="1193" t="inlineStr">
        <is>
          <t>Category</t>
        </is>
      </c>
      <c r="B39" s="967" t="inlineStr">
        <is>
          <t>FY27E</t>
        </is>
      </c>
      <c r="C39" s="967" t="inlineStr">
        <is>
          <t>FY28E</t>
        </is>
      </c>
      <c r="D39" s="967" t="inlineStr">
        <is>
          <t>FY29E</t>
        </is>
      </c>
      <c r="E39" s="967" t="inlineStr">
        <is>
          <t>FY30E</t>
        </is>
      </c>
      <c r="F39" s="967" t="inlineStr">
        <is>
          <t>FY31E</t>
        </is>
      </c>
      <c r="G39" s="967" t="inlineStr">
        <is>
          <t>FY32E</t>
        </is>
      </c>
      <c r="H39" s="967" t="inlineStr">
        <is>
          <t>FY33E</t>
        </is>
      </c>
      <c r="I39" s="928" t="n"/>
      <c r="J39" s="1134" t="n"/>
    </row>
    <row r="40">
      <c r="A40" s="1199" t="inlineStr">
        <is>
          <t>Decarbonisation</t>
        </is>
      </c>
      <c r="B40" s="982" t="n"/>
      <c r="C40" s="982" t="n"/>
      <c r="D40" s="982" t="n"/>
      <c r="E40" s="982" t="n"/>
      <c r="F40" s="982" t="n"/>
      <c r="G40" s="982" t="n"/>
      <c r="H40" s="982" t="n"/>
      <c r="I40" s="928" t="n"/>
      <c r="J40" s="1134" t="n"/>
    </row>
    <row r="41">
      <c r="A41" s="1199" t="inlineStr">
        <is>
          <t>Renewable Energy</t>
        </is>
      </c>
      <c r="B41" s="982" t="n"/>
      <c r="C41" s="982" t="n"/>
      <c r="D41" s="982" t="n"/>
      <c r="E41" s="982" t="n"/>
      <c r="F41" s="982" t="n"/>
      <c r="G41" s="982" t="n"/>
      <c r="H41" s="982" t="n"/>
      <c r="I41" s="928" t="n"/>
      <c r="J41" s="1134" t="n"/>
    </row>
    <row r="42">
      <c r="A42" s="1199" t="inlineStr">
        <is>
          <t>Energy Efficiency</t>
        </is>
      </c>
      <c r="B42" s="982" t="n"/>
      <c r="C42" s="982" t="n"/>
      <c r="D42" s="982" t="n"/>
      <c r="E42" s="982" t="n"/>
      <c r="F42" s="982" t="n"/>
      <c r="G42" s="982" t="n"/>
      <c r="H42" s="982" t="n"/>
      <c r="I42" s="928" t="n"/>
      <c r="J42" s="1134" t="n"/>
    </row>
    <row r="43">
      <c r="A43" s="1199" t="inlineStr">
        <is>
          <t>Water Projects</t>
        </is>
      </c>
      <c r="B43" s="982" t="n"/>
      <c r="C43" s="982" t="n"/>
      <c r="D43" s="982" t="n"/>
      <c r="E43" s="982" t="n"/>
      <c r="F43" s="982" t="n"/>
      <c r="G43" s="982" t="n"/>
      <c r="H43" s="982" t="n"/>
      <c r="I43" s="928" t="n"/>
      <c r="J43" s="1134" t="n"/>
    </row>
    <row r="44">
      <c r="A44" s="1199" t="inlineStr">
        <is>
          <t>Pollution Control</t>
        </is>
      </c>
      <c r="B44" s="982" t="n"/>
      <c r="C44" s="982" t="n"/>
      <c r="D44" s="982" t="n"/>
      <c r="E44" s="982" t="n"/>
      <c r="F44" s="982" t="n"/>
      <c r="G44" s="982" t="n"/>
      <c r="H44" s="982" t="n"/>
      <c r="I44" s="928" t="n"/>
      <c r="J44" s="1134" t="n"/>
    </row>
    <row r="45">
      <c r="A45" s="1199" t="inlineStr">
        <is>
          <t>Hydrogen Projects</t>
        </is>
      </c>
      <c r="B45" s="982" t="n"/>
      <c r="C45" s="982" t="n"/>
      <c r="D45" s="982" t="n"/>
      <c r="E45" s="982" t="n"/>
      <c r="F45" s="982" t="n"/>
      <c r="G45" s="982" t="n"/>
      <c r="H45" s="982" t="n"/>
      <c r="I45" s="928" t="n"/>
      <c r="J45" s="1134" t="n"/>
    </row>
    <row r="46">
      <c r="A46" s="1199" t="inlineStr">
        <is>
          <t>Total ESG Capex</t>
        </is>
      </c>
      <c r="B46" s="996" t="n"/>
      <c r="C46" s="996" t="n"/>
      <c r="D46" s="996" t="n"/>
      <c r="E46" s="996" t="n"/>
      <c r="F46" s="996" t="n"/>
      <c r="G46" s="996" t="n"/>
      <c r="H46" s="996" t="n"/>
      <c r="I46" s="928" t="n"/>
      <c r="J46" s="1134" t="n"/>
    </row>
    <row r="47">
      <c r="A47" s="1134" t="n"/>
      <c r="B47" s="928" t="n"/>
      <c r="C47" s="928" t="n"/>
      <c r="D47" s="928" t="n"/>
      <c r="E47" s="928" t="n"/>
      <c r="F47" s="928" t="n"/>
      <c r="G47" s="928" t="n"/>
      <c r="H47" s="928" t="n"/>
      <c r="I47" s="928" t="n"/>
      <c r="J47" s="1134" t="n"/>
    </row>
    <row r="48">
      <c r="A48" s="1134" t="n"/>
      <c r="B48" s="928" t="n"/>
      <c r="C48" s="928" t="n"/>
      <c r="D48" s="928" t="n"/>
      <c r="E48" s="928" t="n"/>
      <c r="F48" s="928" t="n"/>
      <c r="G48" s="928" t="n"/>
      <c r="H48" s="928" t="n"/>
      <c r="I48" s="928" t="n"/>
      <c r="J48" s="1134" t="n"/>
    </row>
    <row r="49" ht="15.6" customHeight="1">
      <c r="A49" s="1243" t="inlineStr">
        <is>
          <t>Social Metrics</t>
        </is>
      </c>
      <c r="B49" s="1339" t="n"/>
      <c r="C49" s="1339" t="n"/>
      <c r="D49" s="1339" t="n"/>
      <c r="E49" s="1339" t="n"/>
      <c r="F49" s="1339" t="n"/>
      <c r="G49" s="1339" t="n"/>
      <c r="H49" s="1339" t="n"/>
      <c r="I49" s="1339" t="n"/>
      <c r="J49" s="1134" t="n"/>
    </row>
    <row r="50">
      <c r="A50" s="1193" t="inlineStr">
        <is>
          <t>KPIs</t>
        </is>
      </c>
      <c r="B50" s="967" t="inlineStr">
        <is>
          <t>FY26A</t>
        </is>
      </c>
      <c r="C50" s="967" t="inlineStr">
        <is>
          <t>FY27E</t>
        </is>
      </c>
      <c r="D50" s="967" t="inlineStr">
        <is>
          <t>FY28E</t>
        </is>
      </c>
      <c r="E50" s="967" t="inlineStr">
        <is>
          <t>FY29E</t>
        </is>
      </c>
      <c r="F50" s="967" t="inlineStr">
        <is>
          <t>FY30E</t>
        </is>
      </c>
      <c r="G50" s="967" t="inlineStr">
        <is>
          <t>FY31E</t>
        </is>
      </c>
      <c r="H50" s="967" t="inlineStr">
        <is>
          <t>FY32E</t>
        </is>
      </c>
      <c r="I50" s="967" t="inlineStr">
        <is>
          <t>FY33E</t>
        </is>
      </c>
      <c r="J50" s="1134" t="n"/>
    </row>
    <row r="51">
      <c r="A51" s="1199" t="inlineStr">
        <is>
          <t>Employees</t>
        </is>
      </c>
      <c r="B51" s="982" t="n"/>
      <c r="C51" s="982" t="n"/>
      <c r="D51" s="982" t="n"/>
      <c r="E51" s="982" t="n"/>
      <c r="F51" s="982" t="n"/>
      <c r="G51" s="982" t="n"/>
      <c r="H51" s="982" t="n"/>
      <c r="I51" s="982" t="n"/>
      <c r="J51" s="1134" t="n"/>
    </row>
    <row r="52">
      <c r="A52" s="1199" t="inlineStr">
        <is>
          <t>Lost Time Injury Frequency Rate</t>
        </is>
      </c>
      <c r="B52" s="982" t="n"/>
      <c r="C52" s="982" t="n"/>
      <c r="D52" s="982" t="n"/>
      <c r="E52" s="982" t="n"/>
      <c r="F52" s="982" t="n"/>
      <c r="G52" s="982" t="n"/>
      <c r="H52" s="982" t="n"/>
      <c r="I52" s="982" t="n"/>
      <c r="J52" s="1134" t="n"/>
    </row>
    <row r="53">
      <c r="A53" s="1199" t="inlineStr">
        <is>
          <t>Training Hours</t>
        </is>
      </c>
      <c r="B53" s="982" t="n"/>
      <c r="C53" s="982" t="n"/>
      <c r="D53" s="982" t="n"/>
      <c r="E53" s="982" t="n"/>
      <c r="F53" s="982" t="n"/>
      <c r="G53" s="982" t="n"/>
      <c r="H53" s="982" t="n"/>
      <c r="I53" s="982" t="n"/>
      <c r="J53" s="1134" t="n"/>
    </row>
    <row r="54">
      <c r="A54" s="1199" t="inlineStr">
        <is>
          <t>Diversity (%)</t>
        </is>
      </c>
      <c r="B54" s="982" t="n"/>
      <c r="C54" s="982" t="n"/>
      <c r="D54" s="982" t="n"/>
      <c r="E54" s="982" t="n"/>
      <c r="F54" s="982" t="n"/>
      <c r="G54" s="982" t="n"/>
      <c r="H54" s="982" t="n"/>
      <c r="I54" s="982" t="n"/>
      <c r="J54" s="1134" t="n"/>
    </row>
    <row r="55">
      <c r="A55" s="1199" t="inlineStr">
        <is>
          <t>Community Investment (₹ Cr)</t>
        </is>
      </c>
      <c r="B55" s="996" t="n"/>
      <c r="C55" s="996" t="n"/>
      <c r="D55" s="996" t="n"/>
      <c r="E55" s="996" t="n"/>
      <c r="F55" s="996" t="n"/>
      <c r="G55" s="996" t="n"/>
      <c r="H55" s="996" t="n"/>
      <c r="I55" s="996" t="n"/>
      <c r="J55" s="1134" t="n"/>
    </row>
    <row r="56">
      <c r="A56" s="1134" t="n"/>
      <c r="B56" s="928" t="n"/>
      <c r="C56" s="928" t="n"/>
      <c r="D56" s="928" t="n"/>
      <c r="E56" s="928" t="n"/>
      <c r="F56" s="928" t="n"/>
      <c r="G56" s="928" t="n"/>
      <c r="H56" s="928" t="n"/>
      <c r="I56" s="928" t="n"/>
      <c r="J56" s="1134" t="n"/>
    </row>
    <row r="57">
      <c r="A57" s="1134" t="n"/>
      <c r="B57" s="928" t="n"/>
      <c r="C57" s="928" t="n"/>
      <c r="D57" s="928" t="n"/>
      <c r="E57" s="928" t="n"/>
      <c r="F57" s="928" t="n"/>
      <c r="G57" s="928" t="n"/>
      <c r="H57" s="928" t="n"/>
      <c r="I57" s="928" t="n"/>
      <c r="J57" s="1134" t="n"/>
    </row>
    <row r="58" ht="15.6" customHeight="1">
      <c r="A58" s="1243" t="inlineStr">
        <is>
          <t>Governance Metrics</t>
        </is>
      </c>
      <c r="B58" s="1339" t="n"/>
      <c r="C58" s="1339" t="n"/>
      <c r="D58" s="1339" t="n"/>
      <c r="E58" s="1339" t="n"/>
      <c r="F58" s="1339" t="n"/>
      <c r="G58" s="1339" t="n"/>
      <c r="H58" s="1339" t="n"/>
      <c r="I58" s="1339" t="n"/>
      <c r="J58" s="1134" t="n"/>
    </row>
    <row r="59">
      <c r="A59" s="1193" t="inlineStr">
        <is>
          <t>KPIs</t>
        </is>
      </c>
      <c r="B59" s="967" t="inlineStr">
        <is>
          <t>FY26A</t>
        </is>
      </c>
      <c r="C59" s="967" t="inlineStr">
        <is>
          <t>FY27E</t>
        </is>
      </c>
      <c r="D59" s="967" t="inlineStr">
        <is>
          <t>FY28E</t>
        </is>
      </c>
      <c r="E59" s="967" t="inlineStr">
        <is>
          <t>FY29E</t>
        </is>
      </c>
      <c r="F59" s="967" t="inlineStr">
        <is>
          <t>FY30E</t>
        </is>
      </c>
      <c r="G59" s="967" t="inlineStr">
        <is>
          <t>FY31E</t>
        </is>
      </c>
      <c r="H59" s="967" t="inlineStr">
        <is>
          <t>FY32E</t>
        </is>
      </c>
      <c r="I59" s="967" t="inlineStr">
        <is>
          <t>FY33E</t>
        </is>
      </c>
      <c r="J59" s="1134" t="n"/>
    </row>
    <row r="60">
      <c r="A60" s="1199" t="inlineStr">
        <is>
          <t>Independent Directors (%)</t>
        </is>
      </c>
      <c r="B60" s="982" t="n"/>
      <c r="C60" s="982" t="n"/>
      <c r="D60" s="982" t="n"/>
      <c r="E60" s="982" t="n"/>
      <c r="F60" s="982" t="n"/>
      <c r="G60" s="982" t="n"/>
      <c r="H60" s="982" t="n"/>
      <c r="I60" s="982" t="n"/>
      <c r="J60" s="1134" t="n"/>
    </row>
    <row r="61">
      <c r="A61" s="1199" t="inlineStr">
        <is>
          <t>Board Diversity (%)</t>
        </is>
      </c>
      <c r="B61" s="982" t="n"/>
      <c r="C61" s="982" t="n"/>
      <c r="D61" s="982" t="n"/>
      <c r="E61" s="982" t="n"/>
      <c r="F61" s="982" t="n"/>
      <c r="G61" s="982" t="n"/>
      <c r="H61" s="982" t="n"/>
      <c r="I61" s="982" t="n"/>
      <c r="J61" s="1134" t="n"/>
    </row>
    <row r="62">
      <c r="A62" s="1199" t="inlineStr">
        <is>
          <t>ESG-linked Compensation (%)</t>
        </is>
      </c>
      <c r="B62" s="982" t="n"/>
      <c r="C62" s="982" t="n"/>
      <c r="D62" s="982" t="n"/>
      <c r="E62" s="982" t="n"/>
      <c r="F62" s="982" t="n"/>
      <c r="G62" s="982" t="n"/>
      <c r="H62" s="982" t="n"/>
      <c r="I62" s="982" t="n"/>
      <c r="J62" s="1134" t="n"/>
    </row>
    <row r="63">
      <c r="A63" s="1199" t="inlineStr">
        <is>
          <t>Compliance Score</t>
        </is>
      </c>
      <c r="B63" s="982" t="n"/>
      <c r="C63" s="982" t="n"/>
      <c r="D63" s="982" t="n"/>
      <c r="E63" s="982" t="n"/>
      <c r="F63" s="982" t="n"/>
      <c r="G63" s="982" t="n"/>
      <c r="H63" s="982" t="n"/>
      <c r="I63" s="982" t="n"/>
      <c r="J63" s="1134" t="n"/>
    </row>
    <row r="64">
      <c r="A64" s="1199" t="inlineStr">
        <is>
          <t>Governance Score</t>
        </is>
      </c>
      <c r="B64" s="996" t="n"/>
      <c r="C64" s="996" t="n"/>
      <c r="D64" s="996" t="n"/>
      <c r="E64" s="996" t="n"/>
      <c r="F64" s="996" t="n"/>
      <c r="G64" s="996" t="n"/>
      <c r="H64" s="996" t="n"/>
      <c r="I64" s="996" t="n"/>
      <c r="J64" s="1134" t="n"/>
    </row>
    <row r="65">
      <c r="A65" s="1134" t="n"/>
      <c r="B65" s="928" t="n"/>
      <c r="C65" s="928" t="n"/>
      <c r="D65" s="928" t="n"/>
      <c r="E65" s="928" t="n"/>
      <c r="F65" s="928" t="n"/>
      <c r="G65" s="928" t="n"/>
      <c r="H65" s="928" t="n"/>
      <c r="I65" s="928" t="n"/>
      <c r="J65" s="1134" t="n"/>
    </row>
    <row r="66">
      <c r="A66" s="1134" t="n"/>
      <c r="B66" s="928" t="n"/>
      <c r="C66" s="928" t="n"/>
      <c r="D66" s="928" t="n"/>
      <c r="E66" s="928" t="n"/>
      <c r="F66" s="928" t="n"/>
      <c r="G66" s="928" t="n"/>
      <c r="H66" s="928" t="n"/>
      <c r="I66" s="928" t="n"/>
      <c r="J66" s="1134" t="n"/>
    </row>
    <row r="67" ht="16.2" customHeight="1" thickBot="1">
      <c r="A67" s="1203" t="inlineStr">
        <is>
          <t>ESG Scorecard</t>
        </is>
      </c>
      <c r="B67" s="444" t="n"/>
      <c r="C67" s="444" t="n"/>
      <c r="D67" s="444" t="n"/>
      <c r="E67" s="787" t="n"/>
      <c r="F67" s="787" t="n"/>
      <c r="G67" s="787" t="n"/>
      <c r="H67" s="787" t="n"/>
      <c r="I67" s="928" t="n"/>
      <c r="J67" s="1134" t="n"/>
    </row>
    <row r="68" ht="15" customHeight="1" thickTop="1">
      <c r="A68" s="1097" t="inlineStr">
        <is>
          <t>Pillar</t>
        </is>
      </c>
      <c r="B68" s="1098" t="inlineStr">
        <is>
          <t>Weight</t>
        </is>
      </c>
      <c r="C68" s="1098" t="inlineStr">
        <is>
          <t>Score</t>
        </is>
      </c>
      <c r="D68" s="1083" t="inlineStr">
        <is>
          <t>Audit Code</t>
        </is>
      </c>
      <c r="E68" s="928" t="n"/>
      <c r="F68" s="928" t="n"/>
      <c r="G68" s="928" t="n"/>
      <c r="H68" s="928" t="n"/>
      <c r="I68" s="928" t="n"/>
      <c r="J68" s="1134" t="n"/>
    </row>
    <row r="69">
      <c r="A69" s="1199" t="inlineStr">
        <is>
          <t>Environmental</t>
        </is>
      </c>
      <c r="B69" s="295" t="n">
        <v>0.5</v>
      </c>
      <c r="C69" s="982" t="n"/>
      <c r="D69" s="968" t="n"/>
      <c r="E69" s="928" t="n"/>
      <c r="F69" s="928" t="n"/>
      <c r="G69" s="928" t="n"/>
      <c r="H69" s="928" t="n"/>
      <c r="I69" s="928" t="n"/>
      <c r="J69" s="1134" t="n"/>
    </row>
    <row r="70">
      <c r="A70" s="1199" t="inlineStr">
        <is>
          <t>Social</t>
        </is>
      </c>
      <c r="B70" s="295" t="n">
        <v>0.25</v>
      </c>
      <c r="C70" s="982" t="n"/>
      <c r="D70" s="968" t="n"/>
      <c r="E70" s="928" t="n"/>
      <c r="F70" s="928" t="n"/>
      <c r="G70" s="928" t="n"/>
      <c r="H70" s="928" t="n"/>
      <c r="I70" s="928" t="n"/>
      <c r="J70" s="1134" t="n"/>
    </row>
    <row r="71">
      <c r="A71" s="1199" t="inlineStr">
        <is>
          <t>Governance</t>
        </is>
      </c>
      <c r="B71" s="295" t="n">
        <v>0.25</v>
      </c>
      <c r="C71" s="982" t="n"/>
      <c r="D71" s="968" t="n"/>
      <c r="E71" s="928" t="n"/>
      <c r="F71" s="928" t="n"/>
      <c r="G71" s="928" t="n"/>
      <c r="H71" s="928" t="n"/>
      <c r="I71" s="928" t="n"/>
      <c r="J71" s="1134" t="n"/>
    </row>
    <row r="72">
      <c r="A72" s="264" t="inlineStr">
        <is>
          <t>Overall ESG Score</t>
        </is>
      </c>
      <c r="B72" s="300" t="n">
        <v>1</v>
      </c>
      <c r="C72" s="982" t="n"/>
      <c r="D72" s="968" t="n"/>
      <c r="E72" s="928" t="n"/>
      <c r="F72" s="928" t="n"/>
      <c r="G72" s="928" t="n"/>
      <c r="H72" s="928" t="n"/>
      <c r="I72" s="928" t="n"/>
      <c r="J72" s="1134" t="n"/>
    </row>
    <row r="73">
      <c r="A73" s="1134" t="n"/>
      <c r="B73" s="928" t="n"/>
      <c r="C73" s="928" t="n"/>
      <c r="D73" s="928" t="n"/>
      <c r="E73" s="928" t="n"/>
      <c r="F73" s="928" t="n"/>
      <c r="G73" s="928" t="n"/>
      <c r="H73" s="928" t="n"/>
      <c r="I73" s="928" t="n"/>
      <c r="J73" s="1134" t="n"/>
    </row>
    <row r="74">
      <c r="A74" s="1134" t="n"/>
      <c r="B74" s="928" t="n"/>
      <c r="C74" s="928" t="n"/>
      <c r="D74" s="928" t="n"/>
      <c r="E74" s="928" t="n"/>
      <c r="F74" s="928" t="n"/>
      <c r="G74" s="928" t="n"/>
      <c r="H74" s="928" t="n"/>
      <c r="I74" s="928" t="n"/>
      <c r="J74" s="1134" t="n"/>
    </row>
    <row r="75" ht="16.2" customHeight="1" thickBot="1">
      <c r="A75" s="1243" t="inlineStr">
        <is>
          <t>ESG Financial Impact</t>
        </is>
      </c>
      <c r="B75" s="1339" t="n"/>
      <c r="C75" s="1339" t="n"/>
      <c r="D75" s="1339" t="n"/>
      <c r="E75" s="1339" t="n"/>
      <c r="F75" s="1339" t="n"/>
      <c r="G75" s="1339" t="n"/>
      <c r="H75" s="1339" t="n"/>
      <c r="I75" s="787" t="n"/>
      <c r="J75" s="1134" t="n"/>
    </row>
    <row r="76" ht="15" customHeight="1" thickTop="1">
      <c r="A76" s="1193" t="inlineStr">
        <is>
          <t>Driver</t>
        </is>
      </c>
      <c r="B76" s="967" t="inlineStr">
        <is>
          <t>FY27E</t>
        </is>
      </c>
      <c r="C76" s="967" t="inlineStr">
        <is>
          <t>FY28E</t>
        </is>
      </c>
      <c r="D76" s="967" t="inlineStr">
        <is>
          <t>FY29E</t>
        </is>
      </c>
      <c r="E76" s="967" t="inlineStr">
        <is>
          <t>FY30E</t>
        </is>
      </c>
      <c r="F76" s="967" t="inlineStr">
        <is>
          <t>FY31E</t>
        </is>
      </c>
      <c r="G76" s="967" t="inlineStr">
        <is>
          <t>FY32E</t>
        </is>
      </c>
      <c r="H76" s="967" t="inlineStr">
        <is>
          <t>FY33E</t>
        </is>
      </c>
      <c r="I76" s="1096" t="inlineStr">
        <is>
          <t>Audit Code</t>
        </is>
      </c>
      <c r="J76" s="1134" t="n"/>
    </row>
    <row r="77">
      <c r="A77" s="1199" t="inlineStr">
        <is>
          <t>ESG Capex</t>
        </is>
      </c>
      <c r="B77" s="982" t="n"/>
      <c r="C77" s="982" t="n"/>
      <c r="D77" s="982" t="n"/>
      <c r="E77" s="982" t="n"/>
      <c r="F77" s="982" t="n"/>
      <c r="G77" s="982" t="n"/>
      <c r="H77" s="982" t="n"/>
      <c r="I77" s="490" t="n"/>
      <c r="J77" s="1134" t="n"/>
    </row>
    <row r="78">
      <c r="A78" s="1199" t="inlineStr">
        <is>
          <t>Carbon Cost</t>
        </is>
      </c>
      <c r="B78" s="1614">
        <f>D109</f>
        <v/>
      </c>
      <c r="C78" s="1614">
        <f>E109</f>
        <v/>
      </c>
      <c r="D78" s="1614">
        <f>F109</f>
        <v/>
      </c>
      <c r="E78" s="1614">
        <f>G109</f>
        <v/>
      </c>
      <c r="F78" s="1614">
        <f>H109</f>
        <v/>
      </c>
      <c r="G78" s="1614">
        <f>I109</f>
        <v/>
      </c>
      <c r="H78" s="1614">
        <f>J109</f>
        <v/>
      </c>
      <c r="I78" s="490" t="n"/>
      <c r="J78" s="1134" t="n"/>
    </row>
    <row r="79">
      <c r="A79" s="1199" t="inlineStr">
        <is>
          <t>EBITDA Impact</t>
        </is>
      </c>
      <c r="B79" s="1715">
        <f>-D109</f>
        <v/>
      </c>
      <c r="C79" s="1715">
        <f>-E109</f>
        <v/>
      </c>
      <c r="D79" s="1715">
        <f>-F109</f>
        <v/>
      </c>
      <c r="E79" s="1715">
        <f>-G109</f>
        <v/>
      </c>
      <c r="F79" s="1715">
        <f>-H109</f>
        <v/>
      </c>
      <c r="G79" s="1715">
        <f>-I109</f>
        <v/>
      </c>
      <c r="H79" s="1715">
        <f>-J109</f>
        <v/>
      </c>
      <c r="I79" s="490" t="n"/>
      <c r="J79" s="1134" t="n"/>
    </row>
    <row r="80">
      <c r="A80" s="1199" t="inlineStr">
        <is>
          <t>Free Cash Flow Impact</t>
        </is>
      </c>
      <c r="B80" s="1715">
        <f>-D109</f>
        <v/>
      </c>
      <c r="C80" s="1715">
        <f>-E109</f>
        <v/>
      </c>
      <c r="D80" s="1715">
        <f>-F109</f>
        <v/>
      </c>
      <c r="E80" s="1715">
        <f>-G109</f>
        <v/>
      </c>
      <c r="F80" s="1715">
        <f>-H109</f>
        <v/>
      </c>
      <c r="G80" s="1715">
        <f>-I109</f>
        <v/>
      </c>
      <c r="H80" s="1715">
        <f>-J109</f>
        <v/>
      </c>
      <c r="I80" s="490" t="n"/>
      <c r="J80" s="1134" t="n"/>
    </row>
    <row r="81">
      <c r="A81" s="1199" t="inlineStr">
        <is>
          <t>Valuation Impact</t>
        </is>
      </c>
      <c r="B81" s="1757">
        <f>-D109*'Model Assumptions'!E$26</f>
        <v/>
      </c>
      <c r="C81" s="1757">
        <f>-E109*'Model Assumptions'!F$26</f>
        <v/>
      </c>
      <c r="D81" s="1757">
        <f>-F109*'Model Assumptions'!G$26</f>
        <v/>
      </c>
      <c r="E81" s="1757">
        <f>-G109*'Model Assumptions'!H$26</f>
        <v/>
      </c>
      <c r="F81" s="1757">
        <f>-H109*'Model Assumptions'!I$26</f>
        <v/>
      </c>
      <c r="G81" s="1757">
        <f>-I109*'Model Assumptions'!J$26</f>
        <v/>
      </c>
      <c r="H81" s="1757">
        <f>-J109*'Model Assumptions'!K$26</f>
        <v/>
      </c>
      <c r="I81" s="490" t="n"/>
      <c r="J81" s="1134" t="n"/>
    </row>
    <row r="82">
      <c r="A82" s="177" t="n"/>
      <c r="B82" s="696" t="n"/>
      <c r="C82" s="696" t="n"/>
      <c r="D82" s="696" t="n"/>
      <c r="E82" s="696" t="n"/>
      <c r="F82" s="696" t="n"/>
      <c r="G82" s="696" t="n"/>
      <c r="H82" s="696" t="n"/>
      <c r="J82" s="1134" t="n"/>
    </row>
    <row r="83">
      <c r="A83" s="177" t="n"/>
      <c r="B83" s="696" t="n"/>
      <c r="C83" s="696" t="n"/>
      <c r="D83" s="696" t="n"/>
      <c r="E83" s="696" t="n"/>
      <c r="F83" s="696" t="n"/>
      <c r="G83" s="696" t="n"/>
      <c r="H83" s="696" t="n"/>
      <c r="J83" s="1134" t="n"/>
    </row>
    <row r="84" ht="15.6" customHeight="1">
      <c r="A84" s="1243" t="inlineStr">
        <is>
          <t>Scenario Analysis</t>
        </is>
      </c>
      <c r="B84" s="1339" t="n"/>
      <c r="C84" s="1339" t="n"/>
      <c r="D84" s="1339" t="n"/>
      <c r="E84" s="787" t="n"/>
      <c r="F84" s="787" t="n"/>
      <c r="G84" s="787" t="n"/>
      <c r="H84" s="787" t="n"/>
      <c r="I84" s="928" t="n"/>
      <c r="J84" s="1134" t="n"/>
    </row>
    <row r="85">
      <c r="A85" s="1193" t="inlineStr">
        <is>
          <t>Scenario</t>
        </is>
      </c>
      <c r="B85" s="1237" t="inlineStr">
        <is>
          <t>Carbon Price</t>
        </is>
      </c>
      <c r="C85" s="1237" t="inlineStr">
        <is>
          <t>ESG Capex</t>
        </is>
      </c>
      <c r="D85" s="1237" t="inlineStr">
        <is>
          <t>EBITDA Impact</t>
        </is>
      </c>
      <c r="E85" s="928" t="n"/>
      <c r="F85" s="928" t="n"/>
      <c r="G85" s="928" t="n"/>
      <c r="H85" s="928" t="n"/>
      <c r="I85" s="928" t="n"/>
      <c r="J85" s="1134" t="n"/>
    </row>
    <row r="86">
      <c r="A86" s="1199" t="inlineStr">
        <is>
          <t>Base</t>
        </is>
      </c>
      <c r="B86" s="199" t="n"/>
      <c r="C86" s="199" t="n"/>
      <c r="D86" s="199" t="n"/>
      <c r="E86" s="928" t="n"/>
      <c r="F86" s="928" t="n"/>
      <c r="G86" s="928" t="n"/>
      <c r="H86" s="928" t="n"/>
      <c r="I86" s="928" t="n"/>
      <c r="J86" s="1134" t="n"/>
    </row>
    <row r="87">
      <c r="A87" s="1199" t="inlineStr">
        <is>
          <t>Bull</t>
        </is>
      </c>
      <c r="B87" s="199" t="n"/>
      <c r="C87" s="199" t="n"/>
      <c r="D87" s="199" t="n"/>
      <c r="E87" s="928" t="n"/>
      <c r="F87" s="928" t="n"/>
      <c r="G87" s="928" t="n"/>
      <c r="H87" s="928" t="n"/>
      <c r="I87" s="928" t="n"/>
      <c r="J87" s="1134" t="n"/>
    </row>
    <row r="88">
      <c r="A88" s="1199" t="inlineStr">
        <is>
          <t>Bear</t>
        </is>
      </c>
      <c r="B88" s="199" t="n"/>
      <c r="C88" s="199" t="n"/>
      <c r="D88" s="199" t="n"/>
      <c r="E88" s="928" t="n"/>
      <c r="F88" s="928" t="n"/>
      <c r="G88" s="928" t="n"/>
      <c r="H88" s="928" t="n"/>
      <c r="I88" s="928" t="n"/>
      <c r="J88" s="1134" t="n"/>
    </row>
    <row r="89">
      <c r="A89" s="1199" t="inlineStr">
        <is>
          <t>Stress</t>
        </is>
      </c>
      <c r="B89" s="199" t="n"/>
      <c r="C89" s="199" t="n"/>
      <c r="D89" s="199" t="n"/>
      <c r="E89" s="928" t="n"/>
      <c r="F89" s="928" t="n"/>
      <c r="G89" s="928" t="n"/>
      <c r="H89" s="928" t="n"/>
      <c r="I89" s="928" t="n"/>
      <c r="J89" s="1134" t="n"/>
    </row>
    <row r="90">
      <c r="A90" s="177" t="n"/>
      <c r="B90" s="262" t="n"/>
      <c r="C90" s="262" t="n"/>
      <c r="D90" s="262" t="n"/>
      <c r="E90" s="928" t="n"/>
      <c r="F90" s="928" t="n"/>
      <c r="G90" s="928" t="n"/>
      <c r="H90" s="928" t="n"/>
      <c r="I90" s="928" t="n"/>
      <c r="J90" s="1134" t="n"/>
    </row>
    <row r="91">
      <c r="A91" s="177" t="n"/>
      <c r="B91" s="262" t="n"/>
      <c r="C91" s="262" t="n"/>
      <c r="D91" s="262" t="n"/>
      <c r="E91" s="928" t="n"/>
      <c r="F91" s="928" t="n"/>
      <c r="G91" s="928" t="n"/>
      <c r="H91" s="928" t="n"/>
      <c r="I91" s="928" t="n"/>
      <c r="J91" s="1134" t="n"/>
    </row>
    <row r="92" ht="16.2" customHeight="1" thickBot="1">
      <c r="A92" s="1203" t="inlineStr">
        <is>
          <t>Workbook</t>
        </is>
      </c>
      <c r="B92" s="444" t="n"/>
      <c r="C92" s="444" t="n"/>
      <c r="D92" s="444" t="n"/>
      <c r="E92" s="444" t="n"/>
      <c r="F92" s="444" t="n"/>
      <c r="G92" s="444" t="n"/>
      <c r="H92" s="444" t="n"/>
      <c r="I92" s="444" t="n"/>
      <c r="J92" s="444" t="n"/>
      <c r="K92" s="444" t="n"/>
    </row>
    <row r="93" ht="15.6" customHeight="1" thickBot="1" thickTop="1">
      <c r="A93" s="1084" t="inlineStr">
        <is>
          <t>Line item</t>
        </is>
      </c>
      <c r="B93" s="1085" t="inlineStr">
        <is>
          <t>Unit</t>
        </is>
      </c>
      <c r="C93" s="1086" t="inlineStr">
        <is>
          <t>FY2026A</t>
        </is>
      </c>
      <c r="D93" s="1086" t="inlineStr">
        <is>
          <t>FY2027E</t>
        </is>
      </c>
      <c r="E93" s="1086" t="inlineStr">
        <is>
          <t>FY2028E</t>
        </is>
      </c>
      <c r="F93" s="1086" t="inlineStr">
        <is>
          <t>FY2029E</t>
        </is>
      </c>
      <c r="G93" s="1086" t="inlineStr">
        <is>
          <t>FY2030E</t>
        </is>
      </c>
      <c r="H93" s="1086" t="inlineStr">
        <is>
          <t>FY2031E</t>
        </is>
      </c>
      <c r="I93" s="1086" t="inlineStr">
        <is>
          <t>FY2032E</t>
        </is>
      </c>
      <c r="J93" s="1087" t="inlineStr">
        <is>
          <t>FY2033E</t>
        </is>
      </c>
      <c r="K93" s="1088" t="inlineStr">
        <is>
          <t>Audit Code</t>
        </is>
      </c>
    </row>
    <row r="94" ht="15" customHeight="1" thickTop="1">
      <c r="A94" s="1758" t="inlineStr">
        <is>
          <t>GREEN STEEL TAXONOMY THRESHOLDS (notified 23-Dec-2024)</t>
        </is>
      </c>
      <c r="K94" s="1759" t="n"/>
    </row>
    <row r="95">
      <c r="A95" s="761" t="inlineStr">
        <is>
          <t>5-star green steel</t>
        </is>
      </c>
      <c r="B95" s="69" t="inlineStr">
        <is>
          <t>tCO2e/tfs</t>
        </is>
      </c>
      <c r="C95" s="1760" t="n">
        <v>1.6</v>
      </c>
      <c r="D95" s="72" t="n"/>
      <c r="E95" s="72" t="n"/>
      <c r="F95" s="72" t="n"/>
      <c r="G95" s="72" t="n"/>
      <c r="H95" s="72" t="n"/>
      <c r="I95" s="72" t="n"/>
      <c r="J95" s="958" t="n"/>
      <c r="K95" s="1067" t="n"/>
    </row>
    <row r="96">
      <c r="A96" s="761" t="inlineStr">
        <is>
          <t>4-star green steel</t>
        </is>
      </c>
      <c r="B96" s="69" t="inlineStr">
        <is>
          <t>tCO2e/tfs</t>
        </is>
      </c>
      <c r="C96" s="1760" t="n">
        <v>2</v>
      </c>
      <c r="D96" s="72" t="n"/>
      <c r="E96" s="72" t="n"/>
      <c r="F96" s="72" t="n"/>
      <c r="G96" s="72" t="n"/>
      <c r="H96" s="72" t="n"/>
      <c r="I96" s="72" t="n"/>
      <c r="J96" s="958" t="n"/>
      <c r="K96" s="1067" t="n"/>
    </row>
    <row r="97">
      <c r="A97" s="1073" t="inlineStr">
        <is>
          <t>3-star green steel</t>
        </is>
      </c>
      <c r="B97" s="1053" t="inlineStr">
        <is>
          <t>tCO2e/tfs</t>
        </is>
      </c>
      <c r="C97" s="1761" t="n">
        <v>2.2</v>
      </c>
      <c r="D97" s="987" t="n"/>
      <c r="E97" s="987" t="n"/>
      <c r="F97" s="987" t="n"/>
      <c r="G97" s="987" t="n"/>
      <c r="H97" s="987" t="n"/>
      <c r="I97" s="987" t="n"/>
      <c r="J97" s="1055" t="n"/>
      <c r="K97" s="1069" t="n"/>
    </row>
    <row r="98" ht="15" customHeight="1" thickBot="1">
      <c r="A98" s="481" t="inlineStr">
        <is>
          <t>Not classified as green steel</t>
        </is>
      </c>
      <c r="B98" s="482" t="inlineStr">
        <is>
          <t>tCO2e/tfs</t>
        </is>
      </c>
      <c r="C98" s="1762" t="n">
        <v>2.2</v>
      </c>
      <c r="D98" s="1075" t="n"/>
      <c r="E98" s="1075" t="n"/>
      <c r="F98" s="1075" t="n"/>
      <c r="G98" s="1075" t="n"/>
      <c r="H98" s="1075" t="n"/>
      <c r="I98" s="1075" t="n"/>
      <c r="J98" s="483" t="n"/>
      <c r="K98" s="1072" t="n"/>
    </row>
    <row r="99">
      <c r="A99" s="1297" t="inlineStr">
        <is>
          <t>USER INPUTS - NOT SOURCED, EDIT BEFORE USE</t>
        </is>
      </c>
      <c r="B99" s="1763" t="n"/>
      <c r="C99" s="1763" t="n"/>
      <c r="D99" s="1763" t="n"/>
      <c r="E99" s="1763" t="n"/>
      <c r="F99" s="1763" t="n"/>
      <c r="G99" s="1763" t="n"/>
      <c r="H99" s="1763" t="n"/>
      <c r="I99" s="1763" t="n"/>
      <c r="J99" s="1763" t="n"/>
      <c r="K99" s="1764" t="n"/>
    </row>
    <row r="100">
      <c r="A100" s="1064" t="inlineStr">
        <is>
          <t>Indian average emission intensity</t>
        </is>
      </c>
      <c r="B100" s="1056" t="inlineStr">
        <is>
          <t>tCO2e/tfs</t>
        </is>
      </c>
      <c r="C100" s="1765" t="n">
        <v>2.55</v>
      </c>
      <c r="D100" s="1765" t="n">
        <v>2.55</v>
      </c>
      <c r="E100" s="1765" t="n">
        <v>2.55</v>
      </c>
      <c r="F100" s="1765" t="n">
        <v>2.55</v>
      </c>
      <c r="G100" s="1765" t="n">
        <v>2.55</v>
      </c>
      <c r="H100" s="1765" t="n">
        <v>2.55</v>
      </c>
      <c r="I100" s="1765" t="n">
        <v>2.55</v>
      </c>
      <c r="J100" s="1766" t="n">
        <v>2.55</v>
      </c>
      <c r="K100" s="1065" t="n"/>
    </row>
    <row r="101">
      <c r="A101" s="1066" t="inlineStr">
        <is>
          <t>EU benchmark emission intensity</t>
        </is>
      </c>
      <c r="B101" s="118" t="inlineStr">
        <is>
          <t>tCO2e/tfs</t>
        </is>
      </c>
      <c r="C101" s="1767" t="n">
        <v>1.85</v>
      </c>
      <c r="D101" s="1767" t="n">
        <v>1.85</v>
      </c>
      <c r="E101" s="1767" t="n">
        <v>1.85</v>
      </c>
      <c r="F101" s="1767" t="n">
        <v>1.85</v>
      </c>
      <c r="G101" s="1767" t="n">
        <v>1.85</v>
      </c>
      <c r="H101" s="1767" t="n">
        <v>1.85</v>
      </c>
      <c r="I101" s="1767" t="n">
        <v>1.85</v>
      </c>
      <c r="J101" s="1768" t="n">
        <v>1.85</v>
      </c>
      <c r="K101" s="1067" t="n"/>
    </row>
    <row r="102">
      <c r="A102" s="1066" t="inlineStr">
        <is>
          <t>EU carbon price</t>
        </is>
      </c>
      <c r="B102" s="118" t="inlineStr">
        <is>
          <t>EUR/tCO2</t>
        </is>
      </c>
      <c r="C102" s="1769" t="n">
        <v>85</v>
      </c>
      <c r="D102" s="1769" t="n">
        <v>85</v>
      </c>
      <c r="E102" s="1769" t="n">
        <v>85</v>
      </c>
      <c r="F102" s="1769" t="n">
        <v>85</v>
      </c>
      <c r="G102" s="1769" t="n">
        <v>85</v>
      </c>
      <c r="H102" s="1769" t="n">
        <v>85</v>
      </c>
      <c r="I102" s="1769" t="n">
        <v>85</v>
      </c>
      <c r="J102" s="1770" t="n">
        <v>85</v>
      </c>
      <c r="K102" s="1067" t="n"/>
    </row>
    <row r="103">
      <c r="A103" s="1068" t="inlineStr">
        <is>
          <t>EUR/INR</t>
        </is>
      </c>
      <c r="B103" s="1061" t="inlineStr">
        <is>
          <t>Rs/EUR</t>
        </is>
      </c>
      <c r="C103" s="1771" t="n">
        <v>103</v>
      </c>
      <c r="D103" s="1771" t="n">
        <v>103</v>
      </c>
      <c r="E103" s="1771" t="n">
        <v>103</v>
      </c>
      <c r="F103" s="1771" t="n">
        <v>103</v>
      </c>
      <c r="G103" s="1771" t="n">
        <v>103</v>
      </c>
      <c r="H103" s="1771" t="n">
        <v>103</v>
      </c>
      <c r="I103" s="1771" t="n">
        <v>103</v>
      </c>
      <c r="J103" s="1772" t="n">
        <v>103</v>
      </c>
      <c r="K103" s="1069" t="n"/>
    </row>
    <row r="104" ht="15" customHeight="1" thickBot="1">
      <c r="A104" s="481" t="inlineStr">
        <is>
          <t>EU share of Indian exports</t>
        </is>
      </c>
      <c r="B104" s="482" t="inlineStr">
        <is>
          <t>%</t>
        </is>
      </c>
      <c r="C104" s="1773" t="n">
        <v>0.344</v>
      </c>
      <c r="D104" s="1773" t="n">
        <v>0.344</v>
      </c>
      <c r="E104" s="1773" t="n">
        <v>0.344</v>
      </c>
      <c r="F104" s="1773" t="n">
        <v>0.344</v>
      </c>
      <c r="G104" s="1773" t="n">
        <v>0.344</v>
      </c>
      <c r="H104" s="1773" t="n">
        <v>0.344</v>
      </c>
      <c r="I104" s="1773" t="n">
        <v>0.344</v>
      </c>
      <c r="J104" s="1774" t="n">
        <v>0.344</v>
      </c>
      <c r="K104" s="1072" t="n"/>
    </row>
    <row r="105">
      <c r="A105" s="1297" t="inlineStr">
        <is>
          <t>CBAM EXPOSURE (live calculation on the inputs above)</t>
        </is>
      </c>
      <c r="B105" s="1763" t="n"/>
      <c r="C105" s="1763" t="n"/>
      <c r="D105" s="1763" t="n"/>
      <c r="E105" s="1763" t="n"/>
      <c r="F105" s="1763" t="n"/>
      <c r="G105" s="1763" t="n"/>
      <c r="H105" s="1763" t="n"/>
      <c r="I105" s="1763" t="n"/>
      <c r="J105" s="1763" t="n"/>
      <c r="K105" s="1764" t="n"/>
    </row>
    <row r="106">
      <c r="A106" s="1076" t="inlineStr">
        <is>
          <t>Finished steel exports</t>
        </is>
      </c>
      <c r="B106" s="988" t="inlineStr">
        <is>
          <t>Mt</t>
        </is>
      </c>
      <c r="C106" s="1775">
        <f>'Trade Model'!C$72</f>
        <v/>
      </c>
      <c r="D106" s="1775">
        <f>'Trade Model'!D$72</f>
        <v/>
      </c>
      <c r="E106" s="1775">
        <f>'Trade Model'!E$72</f>
        <v/>
      </c>
      <c r="F106" s="1775">
        <f>'Trade Model'!F$72</f>
        <v/>
      </c>
      <c r="G106" s="1775">
        <f>'Trade Model'!G$72</f>
        <v/>
      </c>
      <c r="H106" s="1775">
        <f>'Trade Model'!H$72</f>
        <v/>
      </c>
      <c r="I106" s="1775">
        <f>'Trade Model'!I$72</f>
        <v/>
      </c>
      <c r="J106" s="1776">
        <f>'Trade Model'!J$72</f>
        <v/>
      </c>
      <c r="K106" s="1065" t="n"/>
    </row>
    <row r="107">
      <c r="A107" s="761" t="inlineStr">
        <is>
          <t>EU-destined exports</t>
        </is>
      </c>
      <c r="B107" s="69" t="inlineStr">
        <is>
          <t>Mt</t>
        </is>
      </c>
      <c r="C107" s="1563">
        <f>C106*C104</f>
        <v/>
      </c>
      <c r="D107" s="1563">
        <f>D106*D104</f>
        <v/>
      </c>
      <c r="E107" s="1563">
        <f>E106*E104</f>
        <v/>
      </c>
      <c r="F107" s="1563">
        <f>F106*F104</f>
        <v/>
      </c>
      <c r="G107" s="1563">
        <f>G106*G104</f>
        <v/>
      </c>
      <c r="H107" s="1563">
        <f>H106*H104</f>
        <v/>
      </c>
      <c r="I107" s="1563">
        <f>I106*I104</f>
        <v/>
      </c>
      <c r="J107" s="1777">
        <f>J106*J104</f>
        <v/>
      </c>
      <c r="K107" s="1067" t="n"/>
    </row>
    <row r="108">
      <c r="A108" s="761" t="inlineStr">
        <is>
          <t>Emission intensity excess vs EU benchmark</t>
        </is>
      </c>
      <c r="B108" s="69" t="inlineStr">
        <is>
          <t>tCO2e/tfs</t>
        </is>
      </c>
      <c r="C108" s="1563">
        <f>MAX(0,C100-C101)</f>
        <v/>
      </c>
      <c r="D108" s="1563">
        <f>MAX(0,D100-D101)</f>
        <v/>
      </c>
      <c r="E108" s="1563">
        <f>MAX(0,E100-E101)</f>
        <v/>
      </c>
      <c r="F108" s="1563">
        <f>MAX(0,F100-F101)</f>
        <v/>
      </c>
      <c r="G108" s="1563">
        <f>MAX(0,G100-G101)</f>
        <v/>
      </c>
      <c r="H108" s="1563">
        <f>MAX(0,H100-H101)</f>
        <v/>
      </c>
      <c r="I108" s="1563">
        <f>MAX(0,I100-I101)</f>
        <v/>
      </c>
      <c r="J108" s="1777">
        <f>MAX(0,J100-J101)</f>
        <v/>
      </c>
      <c r="K108" s="1067" t="n"/>
    </row>
    <row r="109">
      <c r="A109" s="1089" t="inlineStr">
        <is>
          <t>CBAM cost</t>
        </is>
      </c>
      <c r="B109" s="1090" t="inlineStr">
        <is>
          <t>Rs cr</t>
        </is>
      </c>
      <c r="C109" s="1778">
        <f>C107*C108*C102*C103/10</f>
        <v/>
      </c>
      <c r="D109" s="1778">
        <f>D107*D108*D102*D103/10</f>
        <v/>
      </c>
      <c r="E109" s="1778">
        <f>E107*E108*E102*E103/10</f>
        <v/>
      </c>
      <c r="F109" s="1778">
        <f>F107*F108*F102*F103/10</f>
        <v/>
      </c>
      <c r="G109" s="1778">
        <f>G107*G108*G102*G103/10</f>
        <v/>
      </c>
      <c r="H109" s="1778">
        <f>H107*H108*H102*H103/10</f>
        <v/>
      </c>
      <c r="I109" s="1778">
        <f>I107*I108*I102*I103/10</f>
        <v/>
      </c>
      <c r="J109" s="1779">
        <f>J107*J108*J102*J103/10</f>
        <v/>
      </c>
      <c r="K109" s="1067" t="n"/>
    </row>
    <row r="110" ht="15" customHeight="1" thickBot="1">
      <c r="A110" s="1077" t="inlineStr">
        <is>
          <t>CBAM cost per tonne of EU-destined export</t>
        </is>
      </c>
      <c r="B110" s="1078" t="inlineStr">
        <is>
          <t>Rs/t</t>
        </is>
      </c>
      <c r="C110" s="1780">
        <f>IFERROR(C109/C107*10,"")</f>
        <v/>
      </c>
      <c r="D110" s="1780">
        <f>IFERROR(D109/D107*10,"")</f>
        <v/>
      </c>
      <c r="E110" s="1780">
        <f>IFERROR(E109/E107*10,"")</f>
        <v/>
      </c>
      <c r="F110" s="1780">
        <f>IFERROR(F109/F107*10,"")</f>
        <v/>
      </c>
      <c r="G110" s="1780">
        <f>IFERROR(G109/G107*10,"")</f>
        <v/>
      </c>
      <c r="H110" s="1780">
        <f>IFERROR(H109/H107*10,"")</f>
        <v/>
      </c>
      <c r="I110" s="1780">
        <f>IFERROR(I109/I107*10,"")</f>
        <v/>
      </c>
      <c r="J110" s="1781">
        <f>IFERROR(J109/J107*10,"")</f>
        <v/>
      </c>
      <c r="K110" s="1081" t="n"/>
    </row>
    <row r="112">
      <c r="A112" s="1132" t="inlineStr">
        <is>
          <t>Also unmodelled: the proposed 37% government procurement share for green steel (a PROPOSAL, not an enacted mandate) and the Tata Steel Netherlands going-concern uncertainty, which is company-specific and outside this India model.</t>
        </is>
      </c>
    </row>
  </sheetData>
  <mergeCells count="19">
    <mergeCell ref="A7:I7"/>
    <mergeCell ref="A5:J5"/>
    <mergeCell ref="A92:K92"/>
    <mergeCell ref="A94:K94"/>
    <mergeCell ref="A112:J112"/>
    <mergeCell ref="A67:D67"/>
    <mergeCell ref="A17:I17"/>
    <mergeCell ref="A99:K99"/>
    <mergeCell ref="A75:H75"/>
    <mergeCell ref="A1:J1"/>
    <mergeCell ref="A105:K105"/>
    <mergeCell ref="A2:E2"/>
    <mergeCell ref="A58:I58"/>
    <mergeCell ref="A84:D84"/>
    <mergeCell ref="H3:I3"/>
    <mergeCell ref="A49:I49"/>
    <mergeCell ref="A29:H29"/>
    <mergeCell ref="A38:H38"/>
    <mergeCell ref="J2:K2"/>
  </mergeCells>
  <pageMargins left="0.7" right="0.7" top="0.75" bottom="0.75" header="0.3" footer="0.3"/>
</worksheet>
</file>

<file path=xl/worksheets/sheet26.xml><?xml version="1.0" encoding="utf-8"?>
<worksheet xmlns="http://schemas.openxmlformats.org/spreadsheetml/2006/main">
  <sheetPr codeName="Sheet26">
    <tabColor rgb="FF002060"/>
    <outlinePr summaryBelow="1" summaryRight="1"/>
    <pageSetUpPr/>
  </sheetPr>
  <dimension ref="A1:K349"/>
  <sheetViews>
    <sheetView showGridLines="0" tabSelected="1" topLeftCell="A135" workbookViewId="0">
      <selection activeCell="D99" sqref="D99"/>
    </sheetView>
  </sheetViews>
  <sheetFormatPr baseColWidth="8" defaultRowHeight="14.4"/>
  <cols>
    <col width="30.88671875" customWidth="1" style="1262" min="1" max="1"/>
    <col width="15.88671875" customWidth="1" style="107" min="2" max="8"/>
    <col width="15.88671875" customWidth="1" style="1262" min="9" max="9"/>
    <col width="13.109375" customWidth="1" style="1262" min="10" max="10"/>
    <col width="12" customWidth="1" style="729" min="11" max="11"/>
    <col width="105" customWidth="1" style="1262" min="12" max="12"/>
    <col width="8.88671875" customWidth="1" style="1262" min="13" max="16384"/>
  </cols>
  <sheetData>
    <row r="1" ht="25.8" customHeight="1">
      <c r="A1" s="1301" t="inlineStr">
        <is>
          <t>SCENARIO MANAGER</t>
        </is>
      </c>
    </row>
    <row r="2" ht="15.6" customHeight="1">
      <c r="A2" s="1136" t="inlineStr">
        <is>
          <t>Industry Financial Model  |  Indian Steel Industry  |  Horizon FY2027E-FY2033E  |  Base year FY2026A</t>
        </is>
      </c>
      <c r="I2" s="1292">
        <f>'Control Panel'!$E$17</f>
        <v/>
      </c>
    </row>
    <row r="3" ht="15.6" customHeight="1">
      <c r="A3" s="1167" t="n"/>
      <c r="H3" s="1099" t="n"/>
      <c r="I3" s="1102" t="n"/>
      <c r="J3" s="1103" t="n"/>
    </row>
    <row r="4">
      <c r="A4" s="1145" t="inlineStr">
        <is>
          <t>OBJECTIVE</t>
        </is>
      </c>
      <c r="B4" s="120" t="n"/>
      <c r="C4" s="120" t="n"/>
      <c r="D4" s="120" t="n"/>
      <c r="E4" s="120" t="n"/>
      <c r="F4" s="120" t="n"/>
      <c r="G4" s="120" t="n"/>
      <c r="H4" s="120" t="n"/>
    </row>
    <row r="5">
      <c r="A5" s="1134" t="inlineStr">
        <is>
          <t>Centralize all scenario assumptions and dynamically drive the entire industry model under Base, Bull, Bear, and Stress cases.</t>
        </is>
      </c>
    </row>
    <row r="6">
      <c r="A6" s="1134" t="n"/>
      <c r="B6" s="1134" t="n"/>
      <c r="C6" s="1134" t="n"/>
      <c r="D6" s="1134" t="n"/>
      <c r="E6" s="1134" t="n"/>
      <c r="F6" s="1134" t="n"/>
      <c r="G6" s="1134" t="n"/>
      <c r="H6" s="1134" t="n"/>
    </row>
    <row r="7" ht="15.6" customHeight="1">
      <c r="A7" s="1137" t="inlineStr">
        <is>
          <t>Scenario Dashboard</t>
        </is>
      </c>
    </row>
    <row r="8">
      <c r="A8" s="1237" t="inlineStr">
        <is>
          <t>Variable</t>
        </is>
      </c>
      <c r="B8" s="1237" t="inlineStr">
        <is>
          <t>Base</t>
        </is>
      </c>
      <c r="C8" s="1237" t="inlineStr">
        <is>
          <t>Bull</t>
        </is>
      </c>
      <c r="D8" s="1237" t="inlineStr">
        <is>
          <t>Bear</t>
        </is>
      </c>
      <c r="E8" s="1237" t="inlineStr">
        <is>
          <t>Stress</t>
        </is>
      </c>
      <c r="F8" s="1237" t="inlineStr">
        <is>
          <t>Active Value</t>
        </is>
      </c>
      <c r="G8" s="341" t="n"/>
      <c r="H8" s="341" t="n"/>
    </row>
    <row r="9">
      <c r="A9" s="1199" t="inlineStr">
        <is>
          <t>GDP Growth (%)</t>
        </is>
      </c>
      <c r="B9" s="1287" t="n"/>
      <c r="C9" s="1287" t="n"/>
      <c r="D9" s="1287" t="n"/>
      <c r="E9" s="1287" t="n"/>
      <c r="F9" s="1287" t="n"/>
      <c r="G9" s="177" t="n"/>
      <c r="H9" s="177" t="n"/>
    </row>
    <row r="10">
      <c r="A10" s="1199" t="inlineStr">
        <is>
          <t>Steel Demand Growth (%)</t>
        </is>
      </c>
      <c r="B10" s="1287" t="n"/>
      <c r="C10" s="1287" t="n"/>
      <c r="D10" s="1287" t="n"/>
      <c r="E10" s="1287" t="n"/>
      <c r="F10" s="1287" t="n"/>
      <c r="G10" s="177" t="n"/>
      <c r="H10" s="177" t="n"/>
    </row>
    <row r="11">
      <c r="A11" s="1199" t="inlineStr">
        <is>
          <t>Steel Price Growth (%)</t>
        </is>
      </c>
      <c r="B11" s="1287" t="n"/>
      <c r="C11" s="1287" t="n"/>
      <c r="D11" s="1287" t="n"/>
      <c r="E11" s="1287" t="n"/>
      <c r="F11" s="1287" t="n"/>
      <c r="G11" s="177" t="n"/>
      <c r="H11" s="177" t="n"/>
    </row>
    <row r="12">
      <c r="A12" s="1199" t="inlineStr">
        <is>
          <t>Capacity Utilisation (%)</t>
        </is>
      </c>
      <c r="B12" s="1287" t="n"/>
      <c r="C12" s="1287" t="n"/>
      <c r="D12" s="1287" t="n"/>
      <c r="E12" s="1287" t="n"/>
      <c r="F12" s="1287" t="n"/>
      <c r="G12" s="177" t="n"/>
      <c r="H12" s="177" t="n"/>
    </row>
    <row r="13">
      <c r="A13" s="1199" t="inlineStr">
        <is>
          <t>Iron Ore Price</t>
        </is>
      </c>
      <c r="B13" s="1287" t="n"/>
      <c r="C13" s="1287" t="n"/>
      <c r="D13" s="1287" t="n"/>
      <c r="E13" s="1287" t="n"/>
      <c r="F13" s="1287" t="n"/>
      <c r="G13" s="177" t="n"/>
      <c r="H13" s="177" t="n"/>
    </row>
    <row r="14">
      <c r="A14" s="1199" t="inlineStr">
        <is>
          <t>Coking Coal Price</t>
        </is>
      </c>
      <c r="B14" s="1287" t="n"/>
      <c r="C14" s="1287" t="n"/>
      <c r="D14" s="1287" t="n"/>
      <c r="E14" s="1287" t="n"/>
      <c r="F14" s="1287" t="n"/>
      <c r="G14" s="1262" t="n"/>
      <c r="H14" s="1262" t="n"/>
    </row>
    <row r="15">
      <c r="A15" s="1199" t="inlineStr">
        <is>
          <t>Power Cost Inflation</t>
        </is>
      </c>
      <c r="B15" s="1287" t="n"/>
      <c r="C15" s="1287" t="n"/>
      <c r="D15" s="1287" t="n"/>
      <c r="E15" s="1287" t="n"/>
      <c r="F15" s="1287" t="n"/>
      <c r="G15" s="1134" t="n"/>
      <c r="H15" s="1134" t="n"/>
    </row>
    <row r="16">
      <c r="A16" s="1199" t="inlineStr">
        <is>
          <t>Logistics Inflation</t>
        </is>
      </c>
      <c r="B16" s="1287" t="n"/>
      <c r="C16" s="1287" t="n"/>
      <c r="D16" s="1287" t="n"/>
      <c r="E16" s="1287" t="n"/>
      <c r="F16" s="1287" t="n"/>
      <c r="G16" s="1134" t="n"/>
      <c r="H16" s="1134" t="n"/>
    </row>
    <row r="17">
      <c r="A17" s="1199" t="inlineStr">
        <is>
          <t>Inflation</t>
        </is>
      </c>
      <c r="B17" s="1287" t="n"/>
      <c r="C17" s="1287" t="n"/>
      <c r="D17" s="1287" t="n"/>
      <c r="E17" s="1287" t="n"/>
      <c r="F17" s="1287" t="n"/>
      <c r="G17" s="1134" t="n"/>
      <c r="H17" s="1134" t="n"/>
    </row>
    <row r="18">
      <c r="A18" s="1199" t="inlineStr">
        <is>
          <t>USD/INR</t>
        </is>
      </c>
      <c r="B18" s="1287" t="n"/>
      <c r="C18" s="1287" t="n"/>
      <c r="D18" s="1287" t="n"/>
      <c r="E18" s="1287" t="n"/>
      <c r="F18" s="1287" t="n"/>
      <c r="G18" s="1134" t="n"/>
      <c r="H18" s="1134" t="n"/>
    </row>
    <row r="19">
      <c r="A19" s="1199" t="inlineStr">
        <is>
          <t>Interest Rate</t>
        </is>
      </c>
      <c r="B19" s="1287" t="n"/>
      <c r="C19" s="1287" t="n"/>
      <c r="D19" s="1287" t="n"/>
      <c r="E19" s="1287" t="n"/>
      <c r="F19" s="1287" t="n"/>
      <c r="G19" s="1134" t="n"/>
      <c r="H19" s="1134" t="n"/>
    </row>
    <row r="20">
      <c r="A20" s="1199" t="inlineStr">
        <is>
          <t>Carbon Price</t>
        </is>
      </c>
      <c r="B20" s="1287" t="n"/>
      <c r="C20" s="1287" t="n"/>
      <c r="D20" s="1287" t="n"/>
      <c r="E20" s="1287" t="n"/>
      <c r="F20" s="1287" t="n"/>
      <c r="G20" s="1134" t="n"/>
      <c r="H20" s="1134" t="n"/>
    </row>
    <row r="21">
      <c r="A21" s="1199" t="inlineStr">
        <is>
          <t>Capex Inflation</t>
        </is>
      </c>
      <c r="B21" s="1287" t="n"/>
      <c r="C21" s="1287" t="n"/>
      <c r="D21" s="1287" t="n"/>
      <c r="E21" s="1287" t="n"/>
      <c r="F21" s="1287" t="n"/>
      <c r="G21" s="1134" t="n"/>
      <c r="H21" s="1134" t="n"/>
    </row>
    <row r="22">
      <c r="A22" s="1199" t="inlineStr">
        <is>
          <t>Working Capital Days</t>
        </is>
      </c>
      <c r="B22" s="1287" t="n"/>
      <c r="C22" s="1287" t="n"/>
      <c r="D22" s="1287" t="n"/>
      <c r="E22" s="1287" t="n"/>
      <c r="F22" s="1287" t="n"/>
      <c r="G22" s="1134" t="n"/>
      <c r="H22" s="1134" t="n"/>
    </row>
    <row r="23">
      <c r="A23" s="1199" t="inlineStr">
        <is>
          <t>Tax Rate</t>
        </is>
      </c>
      <c r="B23" s="1287" t="n"/>
      <c r="C23" s="1287" t="n"/>
      <c r="D23" s="1287" t="n"/>
      <c r="E23" s="1287" t="n"/>
      <c r="F23" s="1287" t="n"/>
      <c r="G23" s="1134" t="n"/>
      <c r="H23" s="1134" t="n"/>
    </row>
    <row r="24">
      <c r="A24" s="1134" t="n"/>
      <c r="B24" s="1134" t="n"/>
      <c r="C24" s="1134" t="n"/>
      <c r="D24" s="1134" t="n"/>
      <c r="E24" s="1134" t="n"/>
      <c r="F24" s="1134" t="n"/>
      <c r="G24" s="1134" t="n"/>
      <c r="H24" s="1134" t="n"/>
    </row>
    <row r="25">
      <c r="A25" s="1134" t="n"/>
      <c r="B25" s="1134" t="n"/>
      <c r="C25" s="1134" t="n"/>
      <c r="D25" s="1134" t="n"/>
      <c r="E25" s="1134" t="n"/>
      <c r="F25" s="1134" t="n"/>
      <c r="G25" s="1134" t="n"/>
      <c r="H25" s="1134" t="n"/>
    </row>
    <row r="26" ht="15.6" customHeight="1">
      <c r="A26" s="1137" t="inlineStr">
        <is>
          <t>Scenario Summary</t>
        </is>
      </c>
    </row>
    <row r="27">
      <c r="A27" s="1237" t="inlineStr">
        <is>
          <t>Metric</t>
        </is>
      </c>
      <c r="B27" s="1237" t="inlineStr">
        <is>
          <t>Base</t>
        </is>
      </c>
      <c r="C27" s="1237" t="inlineStr">
        <is>
          <t>Bull</t>
        </is>
      </c>
      <c r="D27" s="1237" t="inlineStr">
        <is>
          <t>Bear</t>
        </is>
      </c>
      <c r="E27" s="1237" t="inlineStr">
        <is>
          <t>Stress</t>
        </is>
      </c>
      <c r="F27" s="1134" t="n"/>
      <c r="G27" s="1134" t="n"/>
      <c r="H27" s="1134" t="n"/>
    </row>
    <row r="28">
      <c r="A28" s="1199" t="inlineStr">
        <is>
          <t>Revenue</t>
        </is>
      </c>
      <c r="B28" s="1287" t="n"/>
      <c r="C28" s="1287" t="n"/>
      <c r="D28" s="1287" t="n"/>
      <c r="E28" s="1287" t="n"/>
      <c r="F28" s="1134" t="n"/>
      <c r="G28" s="1134" t="n"/>
      <c r="H28" s="1134" t="n"/>
    </row>
    <row r="29">
      <c r="A29" s="1199" t="inlineStr">
        <is>
          <t>EBITDA</t>
        </is>
      </c>
      <c r="B29" s="1287" t="n"/>
      <c r="C29" s="1287" t="n"/>
      <c r="D29" s="1287" t="n"/>
      <c r="E29" s="1287" t="n"/>
      <c r="F29" s="1134" t="n"/>
      <c r="G29" s="1134" t="n"/>
      <c r="H29" s="1134" t="n"/>
    </row>
    <row r="30">
      <c r="A30" s="1199" t="inlineStr">
        <is>
          <t>EBITDA Margin</t>
        </is>
      </c>
      <c r="B30" s="1287" t="n"/>
      <c r="C30" s="1287" t="n"/>
      <c r="D30" s="1287" t="n"/>
      <c r="E30" s="1287" t="n"/>
      <c r="F30" s="1134" t="n"/>
      <c r="G30" s="1134" t="n"/>
      <c r="H30" s="1134" t="n"/>
    </row>
    <row r="31">
      <c r="A31" s="1199" t="inlineStr">
        <is>
          <t>Free Cash Flow</t>
        </is>
      </c>
      <c r="B31" s="1287" t="n"/>
      <c r="C31" s="1287" t="n"/>
      <c r="D31" s="1287" t="n"/>
      <c r="E31" s="1287" t="n"/>
      <c r="F31" s="1134" t="n"/>
      <c r="G31" s="1134" t="n"/>
      <c r="H31" s="1134" t="n"/>
    </row>
    <row r="32">
      <c r="A32" s="1199" t="inlineStr">
        <is>
          <t>Net Working Capital</t>
        </is>
      </c>
      <c r="B32" s="1287" t="n"/>
      <c r="C32" s="1287" t="n"/>
      <c r="D32" s="1287" t="n"/>
      <c r="E32" s="1287" t="n"/>
      <c r="F32" s="1134" t="n"/>
      <c r="G32" s="1134" t="n"/>
      <c r="H32" s="1134" t="n"/>
    </row>
    <row r="33">
      <c r="A33" s="1199" t="inlineStr">
        <is>
          <t>Capacity Utilisation</t>
        </is>
      </c>
      <c r="B33" s="1287" t="n"/>
      <c r="C33" s="1287" t="n"/>
      <c r="D33" s="1287" t="n"/>
      <c r="E33" s="1287" t="n"/>
      <c r="F33" s="1134" t="n"/>
      <c r="G33" s="1134" t="n"/>
      <c r="H33" s="1134" t="n"/>
    </row>
    <row r="34">
      <c r="A34" s="1199" t="inlineStr">
        <is>
          <t>Average Steel Price</t>
        </is>
      </c>
      <c r="B34" s="1287" t="n"/>
      <c r="C34" s="1287" t="n"/>
      <c r="D34" s="1287" t="n"/>
      <c r="E34" s="1287" t="n"/>
      <c r="F34" s="1134" t="n"/>
      <c r="G34" s="1134" t="n"/>
      <c r="H34" s="1134" t="n"/>
    </row>
    <row r="35">
      <c r="A35" s="1199" t="inlineStr">
        <is>
          <t>Industry EV</t>
        </is>
      </c>
      <c r="B35" s="1287" t="n"/>
      <c r="C35" s="1287" t="n"/>
      <c r="D35" s="1287" t="n"/>
      <c r="E35" s="1287" t="n"/>
      <c r="F35" s="1134" t="n"/>
      <c r="G35" s="1134" t="n"/>
      <c r="H35" s="1134" t="n"/>
    </row>
    <row r="36">
      <c r="A36" s="1134" t="n"/>
      <c r="B36" s="1134" t="n"/>
      <c r="C36" s="1134" t="n"/>
      <c r="D36" s="1134" t="n"/>
      <c r="E36" s="1134" t="n"/>
      <c r="F36" s="1134" t="n"/>
      <c r="G36" s="1134" t="n"/>
      <c r="H36" s="1134" t="n"/>
    </row>
    <row r="37">
      <c r="A37" s="1134" t="n"/>
      <c r="B37" s="1134" t="n"/>
      <c r="C37" s="1134" t="n"/>
      <c r="D37" s="1134" t="n"/>
      <c r="E37" s="1134" t="n"/>
      <c r="F37" s="1134" t="n"/>
      <c r="G37" s="1134" t="n"/>
      <c r="H37" s="1134" t="n"/>
    </row>
    <row r="38" ht="15.6" customHeight="1">
      <c r="A38" s="1137" t="inlineStr">
        <is>
          <t>Scenario Comparison</t>
        </is>
      </c>
    </row>
    <row r="39">
      <c r="A39" s="1237" t="inlineStr">
        <is>
          <t>KPI</t>
        </is>
      </c>
      <c r="B39" s="1237" t="inlineStr">
        <is>
          <t>Base</t>
        </is>
      </c>
      <c r="C39" s="1237" t="inlineStr">
        <is>
          <t>Bull</t>
        </is>
      </c>
      <c r="D39" s="1237" t="inlineStr">
        <is>
          <t>Bear</t>
        </is>
      </c>
      <c r="E39" s="1237" t="inlineStr">
        <is>
          <t>Stress</t>
        </is>
      </c>
      <c r="F39" s="1134" t="n"/>
      <c r="G39" s="1134" t="n"/>
      <c r="H39" s="1134" t="n"/>
    </row>
    <row r="40">
      <c r="A40" s="1199" t="inlineStr">
        <is>
          <t>Revenue CAGR</t>
        </is>
      </c>
      <c r="B40" s="1199" t="n"/>
      <c r="C40" s="1199" t="n"/>
      <c r="D40" s="1199" t="n"/>
      <c r="E40" s="1199" t="n"/>
      <c r="F40" s="1134" t="n"/>
      <c r="G40" s="1134" t="n"/>
      <c r="H40" s="1134" t="n"/>
    </row>
    <row r="41">
      <c r="A41" s="1199" t="inlineStr">
        <is>
          <t>EBITDA CAGR</t>
        </is>
      </c>
      <c r="B41" s="1199" t="n"/>
      <c r="C41" s="1199" t="n"/>
      <c r="D41" s="1199" t="n"/>
      <c r="E41" s="1199" t="n"/>
      <c r="F41" s="1134" t="n"/>
      <c r="G41" s="1134" t="n"/>
      <c r="H41" s="1134" t="n"/>
    </row>
    <row r="42">
      <c r="A42" s="1199" t="inlineStr">
        <is>
          <t>FCF CAGR</t>
        </is>
      </c>
      <c r="B42" s="1199" t="n"/>
      <c r="C42" s="1199" t="n"/>
      <c r="D42" s="1199" t="n"/>
      <c r="E42" s="1199" t="n"/>
      <c r="F42" s="1134" t="n"/>
      <c r="G42" s="1134" t="n"/>
      <c r="H42" s="1134" t="n"/>
    </row>
    <row r="43">
      <c r="A43" s="1199" t="inlineStr">
        <is>
          <t>Peak Margin</t>
        </is>
      </c>
      <c r="B43" s="1199" t="n"/>
      <c r="C43" s="1199" t="n"/>
      <c r="D43" s="1199" t="n"/>
      <c r="E43" s="1199" t="n"/>
      <c r="F43" s="1134" t="n"/>
      <c r="G43" s="1134" t="n"/>
      <c r="H43" s="1134" t="n"/>
    </row>
    <row r="44">
      <c r="A44" s="1199" t="inlineStr">
        <is>
          <t>Peak Capacity Utilisation</t>
        </is>
      </c>
      <c r="B44" s="1199" t="n"/>
      <c r="C44" s="1199" t="n"/>
      <c r="D44" s="1199" t="n"/>
      <c r="E44" s="1199" t="n"/>
      <c r="F44" s="1134" t="n"/>
      <c r="G44" s="1134" t="n"/>
      <c r="H44" s="1134" t="n"/>
    </row>
    <row r="45">
      <c r="A45" s="1199" t="inlineStr">
        <is>
          <t>Average ROIC</t>
        </is>
      </c>
      <c r="B45" s="1199" t="n"/>
      <c r="C45" s="1199" t="n"/>
      <c r="D45" s="1199" t="n"/>
      <c r="E45" s="1199" t="n"/>
      <c r="F45" s="1134" t="n"/>
      <c r="G45" s="1134" t="n"/>
      <c r="H45" s="1134" t="n"/>
    </row>
    <row r="46">
      <c r="A46" s="1199" t="inlineStr">
        <is>
          <t>Average EV/EBITDA</t>
        </is>
      </c>
      <c r="B46" s="477" t="n"/>
      <c r="C46" s="477" t="n"/>
      <c r="D46" s="477" t="n"/>
      <c r="E46" s="477" t="n"/>
      <c r="F46" s="1134" t="n"/>
      <c r="G46" s="1134" t="n"/>
      <c r="H46" s="1134" t="n"/>
    </row>
    <row r="47">
      <c r="A47" s="1134" t="n"/>
      <c r="B47" s="1134" t="n"/>
      <c r="C47" s="1134" t="n"/>
      <c r="D47" s="1134" t="n"/>
      <c r="E47" s="1134" t="n"/>
      <c r="F47" s="1134" t="n"/>
      <c r="G47" s="1134" t="n"/>
      <c r="H47" s="1134" t="n"/>
    </row>
    <row r="48">
      <c r="A48" s="1134" t="n"/>
      <c r="B48" s="1134" t="n"/>
      <c r="C48" s="1134" t="n"/>
      <c r="D48" s="1134" t="n"/>
      <c r="E48" s="1134" t="n"/>
      <c r="F48" s="1134" t="n"/>
      <c r="G48" s="1134" t="n"/>
      <c r="H48" s="1134" t="n"/>
    </row>
    <row r="49" ht="15.6" customHeight="1">
      <c r="A49" s="1137" t="inlineStr">
        <is>
          <t>Sensitivity Matrix</t>
        </is>
      </c>
    </row>
    <row r="50">
      <c r="A50" s="1237" t="inlineStr">
        <is>
          <t>Variable</t>
        </is>
      </c>
      <c r="B50" s="1237" t="inlineStr">
        <is>
          <t>Change</t>
        </is>
      </c>
      <c r="C50" s="1237" t="inlineStr">
        <is>
          <t>Revenue Impact</t>
        </is>
      </c>
      <c r="D50" s="1237" t="inlineStr">
        <is>
          <t>EBITDA Impact</t>
        </is>
      </c>
      <c r="E50" s="1237" t="inlineStr">
        <is>
          <t>EV Impact</t>
        </is>
      </c>
      <c r="F50" s="1134" t="n"/>
      <c r="G50" s="1134" t="n"/>
      <c r="H50" s="1134" t="n"/>
    </row>
    <row r="51">
      <c r="A51" s="1199" t="inlineStr">
        <is>
          <t>Steel Price</t>
        </is>
      </c>
      <c r="B51" s="295" t="n">
        <v>0.05</v>
      </c>
      <c r="C51" s="1287" t="n"/>
      <c r="D51" s="1287" t="n"/>
      <c r="E51" s="1287" t="n"/>
      <c r="F51" s="1134" t="n"/>
      <c r="G51" s="1134" t="n"/>
      <c r="H51" s="1134" t="n"/>
    </row>
    <row r="52">
      <c r="A52" s="1199" t="inlineStr">
        <is>
          <t>Steel Price</t>
        </is>
      </c>
      <c r="B52" s="295" t="n">
        <v>-0.05</v>
      </c>
      <c r="C52" s="1287" t="n"/>
      <c r="D52" s="1287" t="n"/>
      <c r="E52" s="1287" t="n"/>
      <c r="F52" s="1134" t="n"/>
      <c r="G52" s="1134" t="n"/>
      <c r="H52" s="1134" t="n"/>
    </row>
    <row r="53">
      <c r="A53" s="1199" t="inlineStr">
        <is>
          <t>Iron Ore</t>
        </is>
      </c>
      <c r="B53" s="295" t="n">
        <v>0.1</v>
      </c>
      <c r="C53" s="1287" t="n"/>
      <c r="D53" s="1287" t="n"/>
      <c r="E53" s="1287" t="n"/>
      <c r="F53" s="1134" t="n"/>
      <c r="G53" s="1134" t="n"/>
      <c r="H53" s="1134" t="n"/>
    </row>
    <row r="54">
      <c r="A54" s="1199" t="inlineStr">
        <is>
          <t>HCC Coal</t>
        </is>
      </c>
      <c r="B54" s="295" t="n">
        <v>0.1</v>
      </c>
      <c r="C54" s="1287" t="n"/>
      <c r="D54" s="1287" t="n"/>
      <c r="E54" s="1287" t="n"/>
      <c r="F54" s="1134" t="n"/>
      <c r="G54" s="1134" t="n"/>
      <c r="H54" s="1134" t="n"/>
    </row>
    <row r="55">
      <c r="A55" s="1199" t="inlineStr">
        <is>
          <t>Demand</t>
        </is>
      </c>
      <c r="B55" s="295" t="n">
        <v>0.05</v>
      </c>
      <c r="C55" s="1287" t="n"/>
      <c r="D55" s="1287" t="n"/>
      <c r="E55" s="1287" t="n"/>
      <c r="F55" s="1134" t="n"/>
      <c r="G55" s="1134" t="n"/>
      <c r="H55" s="1134" t="n"/>
    </row>
    <row r="56">
      <c r="A56" s="1199" t="inlineStr">
        <is>
          <t>Capacity Utilisation</t>
        </is>
      </c>
      <c r="B56" s="295" t="n">
        <v>0.02</v>
      </c>
      <c r="C56" s="1287" t="n"/>
      <c r="D56" s="1287" t="n"/>
      <c r="E56" s="1287" t="n"/>
      <c r="F56" s="1134" t="n"/>
      <c r="G56" s="1134" t="n"/>
      <c r="H56" s="1134" t="n"/>
    </row>
    <row r="57">
      <c r="A57" s="1199" t="inlineStr">
        <is>
          <t>USD/INR</t>
        </is>
      </c>
      <c r="B57" s="295" t="n">
        <v>0.05</v>
      </c>
      <c r="C57" s="1287" t="n"/>
      <c r="D57" s="1287" t="n"/>
      <c r="E57" s="1287" t="n"/>
      <c r="F57" s="1134" t="n"/>
      <c r="G57" s="1134" t="n"/>
      <c r="H57" s="1134" t="n"/>
    </row>
    <row r="58">
      <c r="A58" s="1199" t="inlineStr">
        <is>
          <t>WACC</t>
        </is>
      </c>
      <c r="B58" s="295" t="n">
        <v>0.01</v>
      </c>
      <c r="C58" s="1287" t="n"/>
      <c r="D58" s="1287" t="n"/>
      <c r="E58" s="1287" t="n"/>
      <c r="F58" s="1134" t="n"/>
      <c r="G58" s="1134" t="n"/>
      <c r="H58" s="1134" t="n"/>
    </row>
    <row r="59">
      <c r="A59" s="1134" t="n"/>
      <c r="B59" s="1134" t="n"/>
      <c r="C59" s="1134" t="n"/>
      <c r="D59" s="1134" t="n"/>
      <c r="E59" s="1134" t="n"/>
      <c r="F59" s="1134" t="n"/>
      <c r="G59" s="1134" t="n"/>
      <c r="H59" s="1134" t="n"/>
    </row>
    <row r="60">
      <c r="A60" s="1134" t="n"/>
      <c r="B60" s="1134" t="n"/>
      <c r="C60" s="1134" t="n"/>
      <c r="D60" s="1134" t="n"/>
      <c r="E60" s="1134" t="n"/>
      <c r="F60" s="1134" t="n"/>
      <c r="G60" s="1134" t="n"/>
      <c r="H60" s="1134" t="n"/>
    </row>
    <row r="61" ht="16.2" customHeight="1" thickBot="1">
      <c r="A61" s="1137" t="inlineStr">
        <is>
          <t>Workbook</t>
        </is>
      </c>
    </row>
    <row r="62" ht="27.6" customHeight="1">
      <c r="A62" s="56" t="inlineStr">
        <is>
          <t>FY2033E metric</t>
        </is>
      </c>
      <c r="B62" s="58" t="inlineStr">
        <is>
          <t>Unit</t>
        </is>
      </c>
      <c r="C62" s="58" t="inlineStr">
        <is>
          <t>Base Case</t>
        </is>
      </c>
      <c r="D62" s="58" t="inlineStr">
        <is>
          <t>Bull Case</t>
        </is>
      </c>
      <c r="E62" s="58" t="inlineStr">
        <is>
          <t>Bear Case</t>
        </is>
      </c>
      <c r="F62" s="58" t="inlineStr">
        <is>
          <t>Stress Case</t>
        </is>
      </c>
      <c r="G62" s="58" t="inlineStr">
        <is>
          <t>Live (active scenario)</t>
        </is>
      </c>
      <c r="H62" s="58" t="inlineStr">
        <is>
          <t>Tie-out</t>
        </is>
      </c>
      <c r="I62" s="1082" t="inlineStr">
        <is>
          <t>Audit Code</t>
        </is>
      </c>
    </row>
    <row r="63">
      <c r="A63" s="1328" t="inlineStr">
        <is>
          <t>Apparent consumption</t>
        </is>
      </c>
      <c r="B63" s="69" t="inlineStr">
        <is>
          <t>Mt</t>
        </is>
      </c>
      <c r="C63" s="1782" t="n">
        <v>268.7425318626867</v>
      </c>
      <c r="D63" s="1782" t="n">
        <v>299.4510608127819</v>
      </c>
      <c r="E63" s="1782" t="n">
        <v>243.7266569324859</v>
      </c>
      <c r="F63" s="1782" t="n">
        <v>229.4387110031682</v>
      </c>
      <c r="G63" s="1783">
        <f>'Steel Supply Model'!J$78</f>
        <v/>
      </c>
      <c r="H63" s="24">
        <f t="array" ref="H63">IF(ABS(G63-_xlfn.SINGLE(INDEX(C63:F63,ScenID)))&lt;=ABS(G63)*0.005+0.01,"OK","FAIL")</f>
        <v/>
      </c>
      <c r="I63" s="989" t="n"/>
    </row>
    <row r="64">
      <c r="A64" s="1328" t="inlineStr">
        <is>
          <t>Crude steel production</t>
        </is>
      </c>
      <c r="B64" s="69" t="inlineStr">
        <is>
          <t>Mt</t>
        </is>
      </c>
      <c r="C64" s="1782" t="n">
        <v>285.4250595943017</v>
      </c>
      <c r="D64" s="1782" t="n">
        <v>314.4134564277314</v>
      </c>
      <c r="E64" s="1782" t="n">
        <v>263.7879897791101</v>
      </c>
      <c r="F64" s="1782" t="n">
        <v>237.3869626863361</v>
      </c>
      <c r="G64" s="1783">
        <f>'Steel Supply Model'!J$88</f>
        <v/>
      </c>
      <c r="H64" s="24">
        <f t="array" ref="H64">IF(ABS(G64-_xlfn.SINGLE(INDEX(C64:F64,ScenID)))&lt;=ABS(G64)*0.005+0.01,"OK","FAIL")</f>
        <v/>
      </c>
      <c r="I64" s="74" t="n"/>
    </row>
    <row r="65">
      <c r="A65" s="1328" t="inlineStr">
        <is>
          <t>Crude steel capacity</t>
        </is>
      </c>
      <c r="B65" s="69" t="inlineStr">
        <is>
          <t>Mtpa</t>
        </is>
      </c>
      <c r="C65" s="1782" t="n">
        <v>339.977</v>
      </c>
      <c r="D65" s="1782" t="n">
        <v>357.8390000000001</v>
      </c>
      <c r="E65" s="1782" t="n">
        <v>308.434</v>
      </c>
      <c r="F65" s="1782" t="n">
        <v>275.891</v>
      </c>
      <c r="G65" s="1783">
        <f>'Capacity Forecast'!J$96</f>
        <v/>
      </c>
      <c r="H65" s="24">
        <f t="array" ref="H65">IF(ABS(G65-_xlfn.SINGLE(INDEX(C65:F65,ScenID)))&lt;=ABS(G65)*0.005+0.01,"OK","FAIL")</f>
        <v/>
      </c>
      <c r="I65" s="74" t="n"/>
    </row>
    <row r="66">
      <c r="A66" s="1328" t="inlineStr">
        <is>
          <t>Capacity utilisation</t>
        </is>
      </c>
      <c r="B66" s="69" t="inlineStr">
        <is>
          <t>%</t>
        </is>
      </c>
      <c r="C66" s="1628" t="n">
        <v>0.8395422619597844</v>
      </c>
      <c r="D66" s="1628" t="n">
        <v>0.8786450231185852</v>
      </c>
      <c r="E66" s="1628" t="n">
        <v>0.8552493881320157</v>
      </c>
      <c r="F66" s="1628" t="n">
        <v>0.8604375013550138</v>
      </c>
      <c r="G66" s="1784">
        <f>'Capacity Utilisation'!J$65</f>
        <v/>
      </c>
      <c r="H66" s="24">
        <f t="array" ref="H66">IF(ABS(G66-_xlfn.SINGLE(INDEX(C66:F66,ScenID)))&lt;=ABS(G66)*0.005+0.01,"OK","FAIL")</f>
        <v/>
      </c>
      <c r="I66" s="74" t="n"/>
    </row>
    <row r="67">
      <c r="A67" s="1328" t="inlineStr">
        <is>
          <t>Blended realisation</t>
        </is>
      </c>
      <c r="B67" s="69" t="inlineStr">
        <is>
          <t>Rs/t</t>
        </is>
      </c>
      <c r="C67" s="1785" t="n">
        <v>69005.69014246373</v>
      </c>
      <c r="D67" s="1785" t="n">
        <v>70422.29357485895</v>
      </c>
      <c r="E67" s="1785" t="n">
        <v>60699.69175990533</v>
      </c>
      <c r="F67" s="1785" t="n">
        <v>70221.98630476248</v>
      </c>
      <c r="G67" s="1786">
        <f>'Steel Price Forecast'!J$72</f>
        <v/>
      </c>
      <c r="H67" s="24">
        <f t="array" ref="H67">IF(ABS(G67-_xlfn.SINGLE(INDEX(C67:F67,ScenID)))&lt;=ABS(G67)*0.005+0.01,"OK","FAIL")</f>
        <v/>
      </c>
      <c r="I67" s="74" t="n"/>
    </row>
    <row r="68">
      <c r="A68" s="1328" t="inlineStr">
        <is>
          <t>Cash cost per tonne</t>
        </is>
      </c>
      <c r="B68" s="69" t="inlineStr">
        <is>
          <t>Rs/t</t>
        </is>
      </c>
      <c r="C68" s="1785" t="n">
        <v>57427.43830410502</v>
      </c>
      <c r="D68" s="1785" t="n">
        <v>52672.57298002663</v>
      </c>
      <c r="E68" s="1785" t="n">
        <v>55826.57615631484</v>
      </c>
      <c r="F68" s="1785" t="n">
        <v>63253.10635298373</v>
      </c>
      <c r="G68" s="1786">
        <f>'Cost Curve'!J$65</f>
        <v/>
      </c>
      <c r="H68" s="24">
        <f t="array" ref="H68">IF(ABS(G68-_xlfn.SINGLE(INDEX(C68:F68,ScenID)))&lt;=ABS(G68)*0.005+0.01,"OK","FAIL")</f>
        <v/>
      </c>
      <c r="I68" s="74" t="n"/>
    </row>
    <row r="69">
      <c r="A69" s="1328" t="inlineStr">
        <is>
          <t>EBITDA per tonne</t>
        </is>
      </c>
      <c r="B69" s="69" t="inlineStr">
        <is>
          <t>Rs/t</t>
        </is>
      </c>
      <c r="C69" s="1785" t="n">
        <v>11578.25183835872</v>
      </c>
      <c r="D69" s="1785" t="n">
        <v>17749.72059483232</v>
      </c>
      <c r="E69" s="1785" t="n">
        <v>4873.115603590486</v>
      </c>
      <c r="F69" s="1785" t="n">
        <v>6968.879951778748</v>
      </c>
      <c r="G69" s="1786">
        <f>'EBITDA Model'!J$101</f>
        <v/>
      </c>
      <c r="H69" s="24">
        <f t="array" ref="H69">IF(ABS(G69-_xlfn.SINGLE(INDEX(C69:F69,ScenID)))&lt;=ABS(G69)*0.005+0.01,"OK","FAIL")</f>
        <v/>
      </c>
      <c r="I69" s="74" t="n"/>
    </row>
    <row r="70">
      <c r="A70" s="1328" t="inlineStr">
        <is>
          <t>Industry EBITDA margin</t>
        </is>
      </c>
      <c r="B70" s="69" t="inlineStr">
        <is>
          <t>%</t>
        </is>
      </c>
      <c r="C70" s="1628" t="n">
        <v>0.1677869145929149</v>
      </c>
      <c r="D70" s="1628" t="n">
        <v>0.2520468972792594</v>
      </c>
      <c r="E70" s="1628" t="n">
        <v>0.08028237808629832</v>
      </c>
      <c r="F70" s="1628" t="n">
        <v>0.09924071246765796</v>
      </c>
      <c r="G70" s="1784">
        <f>'Margin Analysis'!J$81</f>
        <v/>
      </c>
      <c r="H70" s="24">
        <f t="array" ref="H70">IF(ABS(G70-_xlfn.SINGLE(INDEX(C70:F70,ScenID)))&lt;=ABS(G70)*0.005+0.01,"OK","FAIL")</f>
        <v/>
      </c>
      <c r="I70" s="74" t="n"/>
    </row>
    <row r="71">
      <c r="A71" s="1328" t="inlineStr">
        <is>
          <t>Industry revenue</t>
        </is>
      </c>
      <c r="B71" s="69" t="inlineStr">
        <is>
          <t>Rs cr</t>
        </is>
      </c>
      <c r="C71" s="1785" t="n">
        <v>1882078.66423876</v>
      </c>
      <c r="D71" s="1785" t="n">
        <v>2122887.510301038</v>
      </c>
      <c r="E71" s="1785" t="n">
        <v>1524938.063767337</v>
      </c>
      <c r="F71" s="1785" t="n">
        <v>1583075.407662778</v>
      </c>
      <c r="G71" s="1786">
        <f>'Revenue Forecast'!J$95</f>
        <v/>
      </c>
      <c r="H71" s="24">
        <f t="array" ref="H71">IF(ABS(G71-_xlfn.SINGLE(INDEX(C71:F71,ScenID)))&lt;=ABS(G71)*0.005+0.01,"OK","FAIL")</f>
        <v/>
      </c>
      <c r="I71" s="74" t="n"/>
    </row>
    <row r="72">
      <c r="A72" s="1328" t="inlineStr">
        <is>
          <t>Industry EBITDA</t>
        </is>
      </c>
      <c r="B72" s="69" t="inlineStr">
        <is>
          <t>Rs cr</t>
        </is>
      </c>
      <c r="C72" s="1785" t="n">
        <v>315788.1720937763</v>
      </c>
      <c r="D72" s="1785" t="n">
        <v>535067.2102442685</v>
      </c>
      <c r="E72" s="1785" t="n">
        <v>122425.6541935571</v>
      </c>
      <c r="F72" s="1785" t="n">
        <v>157105.5313464822</v>
      </c>
      <c r="G72" s="1786">
        <f>'EBITDA Model'!J$103</f>
        <v/>
      </c>
      <c r="H72" s="24">
        <f t="array" ref="H72">IF(ABS(G72-_xlfn.SINGLE(INDEX(C72:F72,ScenID)))&lt;=ABS(G72)*0.005+0.01,"OK","FAIL")</f>
        <v/>
      </c>
      <c r="I72" s="74" t="n"/>
    </row>
    <row r="73" ht="15" customHeight="1" thickBot="1">
      <c r="A73" s="1322" t="inlineStr">
        <is>
          <t>Unlevered free cash flow</t>
        </is>
      </c>
      <c r="B73" s="70" t="inlineStr">
        <is>
          <t>Rs cr</t>
        </is>
      </c>
      <c r="C73" s="1787" t="n">
        <v>66854.32105727059</v>
      </c>
      <c r="D73" s="1787" t="n">
        <v>223085.7465614432</v>
      </c>
      <c r="E73" s="1787" t="n">
        <v>-49522.09145698386</v>
      </c>
      <c r="F73" s="1787" t="n">
        <v>-5039.8635435943</v>
      </c>
      <c r="G73" s="1788">
        <f>'Cash Flow Model'!J$108</f>
        <v/>
      </c>
      <c r="H73" s="26">
        <f t="array" ref="H73">IF(ABS(G73-_xlfn.SINGLE(INDEX(C73:F73,ScenID)))&lt;=ABS(G73)*0.005+0.01,"OK","FAIL")</f>
        <v/>
      </c>
      <c r="I73" s="986" t="n"/>
    </row>
    <row r="74" ht="15" customHeight="1" thickBot="1">
      <c r="A74" s="125" t="inlineStr">
        <is>
          <t>TIE-OUT SUMMARY</t>
        </is>
      </c>
      <c r="B74" s="121" t="n"/>
      <c r="C74" s="121" t="n"/>
      <c r="D74" s="121" t="n"/>
      <c r="E74" s="121" t="n"/>
      <c r="F74" s="121" t="n"/>
      <c r="G74" s="121" t="n"/>
      <c r="H74" s="123">
        <f>IF(COUNTIF(H63:H73,"FAIL")=0,"ALL OK","0 CHECK(S) FAILED")</f>
        <v/>
      </c>
    </row>
    <row r="75">
      <c r="A75" s="164" t="n"/>
      <c r="H75" s="1123" t="n"/>
    </row>
    <row r="77">
      <c r="A77" s="1284" t="inlineStr">
        <is>
          <t>SCENARIO DEFINITIONS</t>
        </is>
      </c>
      <c r="B77" s="1339" t="n"/>
      <c r="C77" s="1339" t="n"/>
      <c r="D77" s="1339" t="n"/>
      <c r="E77" s="1339" t="n"/>
      <c r="F77" s="1339" t="n"/>
      <c r="G77" s="1339" t="n"/>
      <c r="H77" s="1339" t="n"/>
      <c r="I77" s="1339" t="n"/>
      <c r="J77" s="1339" t="n"/>
    </row>
    <row r="78" ht="25.2" customHeight="1">
      <c r="A78" s="1135" t="inlineStr">
        <is>
          <t>Base Case</t>
        </is>
      </c>
      <c r="B78" s="1187" t="inlineStr">
        <is>
          <t>RBI's June-2026 FY2027 GDP projection of 6.6% converging to 6.5%. Elasticity 1.15x tapering to 1.05x. Realisation grows at roughly 2.0% a year, BELOW expected inflation, reflecting structural surplus capacity. Iron ore continues its decline to US$93/dmt; coking coal eases to US$200/t. Terminal margin 16.8% against 17.9% in FY2026 - i.e. the base case assumes mild margin erosion, not expansion.</t>
        </is>
      </c>
      <c r="C78" s="1342" t="n"/>
      <c r="D78" s="1342" t="n"/>
      <c r="E78" s="1342" t="n"/>
      <c r="F78" s="1342" t="n"/>
      <c r="G78" s="1342" t="n"/>
      <c r="H78" s="1342" t="n"/>
      <c r="I78" s="1342" t="n"/>
      <c r="J78" s="1360" t="n"/>
    </row>
    <row r="79" ht="24" customHeight="1">
      <c r="A79" s="1135" t="inlineStr">
        <is>
          <t>Bull Case</t>
        </is>
      </c>
      <c r="B79" s="1187" t="inlineStr">
        <is>
          <t>GDP roughly 80bps above base, elasticity 1.30x tapering to 1.15x, iron ore and coking coal at the low end, INR stable at 96. Calibrated to peak at a 26.0% industry margin in FY2030, matching the FY2022 observed cycle peak. This is a genuine ceiling, not an extrapolation.</t>
        </is>
      </c>
      <c r="C79" s="1342" t="n"/>
      <c r="D79" s="1342" t="n"/>
      <c r="E79" s="1342" t="n"/>
      <c r="F79" s="1342" t="n"/>
      <c r="G79" s="1342" t="n"/>
      <c r="H79" s="1342" t="n"/>
      <c r="I79" s="1342" t="n"/>
      <c r="J79" s="1360" t="n"/>
    </row>
    <row r="80" ht="27.6" customHeight="1">
      <c r="A80" s="1135" t="inlineStr">
        <is>
          <t>Bear Case</t>
        </is>
      </c>
      <c r="B80" s="1187" t="inlineStr">
        <is>
          <t>A DEMAND-LED downturn. GDP roughly 100bps below base and elasticity at 1.00x, but critically iron ore and coking coal FALL WITH demand - to US$83/dmt and US$170/t - because a global demand shortfall is disinflationary for raw materials. Modelling a bear case with demand down AND raw materials up would be internally contradictory. Margins compress to 7-11% rather than collapsing.</t>
        </is>
      </c>
      <c r="C80" s="1342" t="n"/>
      <c r="D80" s="1342" t="n"/>
      <c r="E80" s="1342" t="n"/>
      <c r="F80" s="1342" t="n"/>
      <c r="G80" s="1342" t="n"/>
      <c r="H80" s="1342" t="n"/>
      <c r="I80" s="1342" t="n"/>
      <c r="J80" s="1360" t="n"/>
    </row>
    <row r="81" ht="48.6" customHeight="1">
      <c r="A81" s="1135" t="inlineStr">
        <is>
          <t>Stress Case</t>
        </is>
      </c>
      <c r="B81" s="1187" t="inlineStr">
        <is>
          <t>A STAGFLATIONARY supply shock plus demand shock. Coking coal spikes to US$300/t - roughly 85% of the Oct-2023 peak of US$354/t - the rupee collapses to 113/US$, GDP falls to 4.4% in FY2027 and conversion cost inflation hits 7.5%. Realisation is HIGHER than the bear case in nominal rupees because of the import-parity effect of the currency, yet margin troughs at -9.2% in FY2028, marginally worse than the worst observation in the database (SAIL, FY2016, -7%). IMPORTANT LIMITATION: the model does not endogenise supply response, so it does not idle capacity when margins turn negative. Read the stress case as a lower bound on margin, not a central expectation.</t>
        </is>
      </c>
      <c r="C81" s="1342" t="n"/>
      <c r="D81" s="1342" t="n"/>
      <c r="E81" s="1342" t="n"/>
      <c r="F81" s="1342" t="n"/>
      <c r="G81" s="1342" t="n"/>
      <c r="H81" s="1342" t="n"/>
      <c r="I81" s="1342" t="n"/>
      <c r="J81" s="1360" t="n"/>
    </row>
    <row r="84" ht="15.6" customHeight="1">
      <c r="A84" s="1137" t="inlineStr">
        <is>
          <t>SCENARIO ENGINE - FULL SEVEN-YEAR PATH FOR ALL FOUR SCENARIOS</t>
        </is>
      </c>
    </row>
    <row r="85">
      <c r="A85" s="1188" t="inlineStr">
        <is>
          <t>Line item</t>
        </is>
      </c>
      <c r="B85" s="269" t="inlineStr">
        <is>
          <t>Unit</t>
        </is>
      </c>
      <c r="C85" s="485" t="inlineStr">
        <is>
          <t>FY2026A</t>
        </is>
      </c>
      <c r="D85" s="485" t="inlineStr">
        <is>
          <t>FY2027E</t>
        </is>
      </c>
      <c r="E85" s="485" t="inlineStr">
        <is>
          <t>FY2028E</t>
        </is>
      </c>
      <c r="F85" s="485" t="inlineStr">
        <is>
          <t>FY2029E</t>
        </is>
      </c>
      <c r="G85" s="485" t="inlineStr">
        <is>
          <t>FY2030E</t>
        </is>
      </c>
      <c r="H85" s="485" t="inlineStr">
        <is>
          <t>FY2031E</t>
        </is>
      </c>
      <c r="I85" s="485" t="inlineStr">
        <is>
          <t>FY2032E</t>
        </is>
      </c>
      <c r="J85" s="485" t="inlineStr">
        <is>
          <t>FY2033E</t>
        </is>
      </c>
      <c r="K85" s="485" t="inlineStr">
        <is>
          <t>CAGR</t>
        </is>
      </c>
    </row>
    <row r="86">
      <c r="A86" s="1300" t="inlineStr">
        <is>
          <t>BASE CASE</t>
        </is>
      </c>
      <c r="B86" s="1342" t="n"/>
      <c r="C86" s="1342" t="n"/>
      <c r="D86" s="1342" t="n"/>
      <c r="E86" s="1342" t="n"/>
      <c r="F86" s="1342" t="n"/>
      <c r="G86" s="1342" t="n"/>
      <c r="H86" s="1342" t="n"/>
      <c r="I86" s="1342" t="n"/>
      <c r="J86" s="1342" t="n"/>
      <c r="K86" s="1360" t="n"/>
    </row>
    <row r="87">
      <c r="A87" s="1124" t="inlineStr">
        <is>
          <t>India real GDP growth</t>
        </is>
      </c>
      <c r="B87" s="1105" t="inlineStr">
        <is>
          <t>%</t>
        </is>
      </c>
      <c r="C87" s="1789">
        <f>'Model Assumptions'!$D$8</f>
        <v/>
      </c>
      <c r="D87" s="1789">
        <f>'Model Assumptions'!E38</f>
        <v/>
      </c>
      <c r="E87" s="1789">
        <f>'Model Assumptions'!F38</f>
        <v/>
      </c>
      <c r="F87" s="1789">
        <f>'Model Assumptions'!G38</f>
        <v/>
      </c>
      <c r="G87" s="1789">
        <f>'Model Assumptions'!H38</f>
        <v/>
      </c>
      <c r="H87" s="1789">
        <f>'Model Assumptions'!I38</f>
        <v/>
      </c>
      <c r="I87" s="1789">
        <f>'Model Assumptions'!J38</f>
        <v/>
      </c>
      <c r="J87" s="1789">
        <f>'Model Assumptions'!K38</f>
        <v/>
      </c>
      <c r="K87" s="490" t="n"/>
    </row>
    <row r="88">
      <c r="A88" s="1104" t="inlineStr">
        <is>
          <t>Steel demand elasticity to GDP</t>
        </is>
      </c>
      <c r="B88" s="1105" t="inlineStr">
        <is>
          <t>x</t>
        </is>
      </c>
      <c r="C88" s="1790">
        <f>'Model Assumptions'!$D$9</f>
        <v/>
      </c>
      <c r="D88" s="1790">
        <f>'Model Assumptions'!E$42</f>
        <v/>
      </c>
      <c r="E88" s="1790">
        <f>'Model Assumptions'!F$42</f>
        <v/>
      </c>
      <c r="F88" s="1790">
        <f>'Model Assumptions'!G$42</f>
        <v/>
      </c>
      <c r="G88" s="1790">
        <f>'Model Assumptions'!H$42</f>
        <v/>
      </c>
      <c r="H88" s="1790">
        <f>'Model Assumptions'!I$42</f>
        <v/>
      </c>
      <c r="I88" s="1790">
        <f>'Model Assumptions'!J$42</f>
        <v/>
      </c>
      <c r="J88" s="1790">
        <f>'Model Assumptions'!K$42</f>
        <v/>
      </c>
      <c r="K88" s="490" t="n"/>
    </row>
    <row r="89">
      <c r="A89" s="1104" t="inlineStr">
        <is>
          <t>Implied consumption growth</t>
        </is>
      </c>
      <c r="B89" s="1105" t="inlineStr">
        <is>
          <t>%</t>
        </is>
      </c>
      <c r="C89" s="1791">
        <f>C87*C88</f>
        <v/>
      </c>
      <c r="D89" s="1791">
        <f>D87*D88</f>
        <v/>
      </c>
      <c r="E89" s="1791">
        <f>E87*E88</f>
        <v/>
      </c>
      <c r="F89" s="1791">
        <f>F87*F88</f>
        <v/>
      </c>
      <c r="G89" s="1791">
        <f>G87*G88</f>
        <v/>
      </c>
      <c r="H89" s="1791">
        <f>H87*H88</f>
        <v/>
      </c>
      <c r="I89" s="1791">
        <f>I87*I88</f>
        <v/>
      </c>
      <c r="J89" s="1791">
        <f>J87*J88</f>
        <v/>
      </c>
      <c r="K89" s="490" t="n"/>
    </row>
    <row r="90">
      <c r="A90" s="1104" t="inlineStr">
        <is>
          <t>Apparent finished steel consumption</t>
        </is>
      </c>
      <c r="B90" s="1105" t="inlineStr">
        <is>
          <t>Mt</t>
        </is>
      </c>
      <c r="C90" s="1792">
        <f>'Steel Demand Model'!C75</f>
        <v/>
      </c>
      <c r="D90" s="1793">
        <f>C90*(1+D89)</f>
        <v/>
      </c>
      <c r="E90" s="1793">
        <f>D90*(1+E89)</f>
        <v/>
      </c>
      <c r="F90" s="1793">
        <f>E90*(1+F89)</f>
        <v/>
      </c>
      <c r="G90" s="1793">
        <f>F90*(1+G89)</f>
        <v/>
      </c>
      <c r="H90" s="1793">
        <f>G90*(1+H89)</f>
        <v/>
      </c>
      <c r="I90" s="1793">
        <f>H90*(1+I89)</f>
        <v/>
      </c>
      <c r="J90" s="1793">
        <f>I90*(1+J89)</f>
        <v/>
      </c>
      <c r="K90" s="490" t="n"/>
    </row>
    <row r="91">
      <c r="A91" s="1104" t="inlineStr">
        <is>
          <t>Net finished steel exports</t>
        </is>
      </c>
      <c r="B91" s="1105" t="inlineStr">
        <is>
          <t>Mt</t>
        </is>
      </c>
      <c r="C91" s="1794">
        <f>'Steel Supply Model'!C79</f>
        <v/>
      </c>
      <c r="D91" s="1794">
        <f>'Model Assumptions'!E$62</f>
        <v/>
      </c>
      <c r="E91" s="1794">
        <f>'Model Assumptions'!F$62</f>
        <v/>
      </c>
      <c r="F91" s="1794">
        <f>'Model Assumptions'!G$62</f>
        <v/>
      </c>
      <c r="G91" s="1794">
        <f>'Model Assumptions'!H$62</f>
        <v/>
      </c>
      <c r="H91" s="1794">
        <f>'Model Assumptions'!I$62</f>
        <v/>
      </c>
      <c r="I91" s="1794">
        <f>'Model Assumptions'!J$62</f>
        <v/>
      </c>
      <c r="J91" s="1794">
        <f>'Model Assumptions'!K$62</f>
        <v/>
      </c>
      <c r="K91" s="490" t="n"/>
    </row>
    <row r="92">
      <c r="A92" s="1104" t="inlineStr">
        <is>
          <t>Variation in stock</t>
        </is>
      </c>
      <c r="B92" s="1105" t="inlineStr">
        <is>
          <t>Mt</t>
        </is>
      </c>
      <c r="C92" s="1794">
        <f>'Steel Supply Model'!$C$80</f>
        <v/>
      </c>
      <c r="D92" s="1794">
        <f>'Model Assumptions'!E$66</f>
        <v/>
      </c>
      <c r="E92" s="1794">
        <f>'Model Assumptions'!F$66</f>
        <v/>
      </c>
      <c r="F92" s="1794">
        <f>'Model Assumptions'!G$66</f>
        <v/>
      </c>
      <c r="G92" s="1794">
        <f>'Model Assumptions'!H$66</f>
        <v/>
      </c>
      <c r="H92" s="1794">
        <f>'Model Assumptions'!I$66</f>
        <v/>
      </c>
      <c r="I92" s="1794">
        <f>'Model Assumptions'!J$66</f>
        <v/>
      </c>
      <c r="J92" s="1794">
        <f>'Model Assumptions'!K$66</f>
        <v/>
      </c>
      <c r="K92" s="490" t="n"/>
    </row>
    <row r="93">
      <c r="A93" s="1104" t="inlineStr">
        <is>
          <t>Required finished steel production</t>
        </is>
      </c>
      <c r="B93" s="1105" t="inlineStr">
        <is>
          <t>Mt</t>
        </is>
      </c>
      <c r="C93" s="1793">
        <f>C90+C91+C92</f>
        <v/>
      </c>
      <c r="D93" s="1793">
        <f>D90+D91+D92</f>
        <v/>
      </c>
      <c r="E93" s="1793">
        <f>E90+E91+E92</f>
        <v/>
      </c>
      <c r="F93" s="1793">
        <f>F90+F91+F92</f>
        <v/>
      </c>
      <c r="G93" s="1793">
        <f>G90+G91+G92</f>
        <v/>
      </c>
      <c r="H93" s="1793">
        <f>H90+H91+H92</f>
        <v/>
      </c>
      <c r="I93" s="1793">
        <f>I90+I91+I92</f>
        <v/>
      </c>
      <c r="J93" s="1793">
        <f>J90+J91+J92</f>
        <v/>
      </c>
      <c r="K93" s="490" t="n"/>
    </row>
    <row r="94">
      <c r="A94" s="1104" t="inlineStr">
        <is>
          <t>Crude-to-finished steel ratio</t>
        </is>
      </c>
      <c r="B94" s="1105" t="inlineStr">
        <is>
          <t>x</t>
        </is>
      </c>
      <c r="C94" s="1795">
        <f>'Steel Supply Model'!C82</f>
        <v/>
      </c>
      <c r="D94" s="1795">
        <f>'Model Assumptions'!E$58</f>
        <v/>
      </c>
      <c r="E94" s="1795">
        <f>'Model Assumptions'!F$58</f>
        <v/>
      </c>
      <c r="F94" s="1795">
        <f>'Model Assumptions'!G$58</f>
        <v/>
      </c>
      <c r="G94" s="1795">
        <f>'Model Assumptions'!H$58</f>
        <v/>
      </c>
      <c r="H94" s="1795">
        <f>'Model Assumptions'!I$58</f>
        <v/>
      </c>
      <c r="I94" s="1795">
        <f>'Model Assumptions'!J$58</f>
        <v/>
      </c>
      <c r="J94" s="1795">
        <f>'Model Assumptions'!K$58</f>
        <v/>
      </c>
      <c r="K94" s="490" t="n"/>
    </row>
    <row r="95">
      <c r="A95" s="1104" t="inlineStr">
        <is>
          <t>Unconstrained crude steel production</t>
        </is>
      </c>
      <c r="B95" s="1105" t="inlineStr">
        <is>
          <t>Mt</t>
        </is>
      </c>
      <c r="C95" s="1793">
        <f>C93*C94</f>
        <v/>
      </c>
      <c r="D95" s="1793">
        <f>D93*D94</f>
        <v/>
      </c>
      <c r="E95" s="1793">
        <f>E93*E94</f>
        <v/>
      </c>
      <c r="F95" s="1793">
        <f>F93*F94</f>
        <v/>
      </c>
      <c r="G95" s="1793">
        <f>G93*G94</f>
        <v/>
      </c>
      <c r="H95" s="1793">
        <f>H93*H94</f>
        <v/>
      </c>
      <c r="I95" s="1793">
        <f>I93*I94</f>
        <v/>
      </c>
      <c r="J95" s="1793">
        <f>J93*J94</f>
        <v/>
      </c>
      <c r="K95" s="490" t="n"/>
    </row>
    <row r="96">
      <c r="A96" s="1104" t="inlineStr">
        <is>
          <t>Gross announced capacity additions</t>
        </is>
      </c>
      <c r="B96" s="1105" t="inlineStr">
        <is>
          <t>Mtpa</t>
        </is>
      </c>
      <c r="C96" s="1122">
        <f>'Capacity Expansion Tracker'!$D$89</f>
        <v/>
      </c>
      <c r="D96" s="1122">
        <f>'Capacity Expansion Tracker'!$E$89</f>
        <v/>
      </c>
      <c r="E96" s="1122">
        <f>'Capacity Expansion Tracker'!$F$89</f>
        <v/>
      </c>
      <c r="F96" s="1122">
        <f>'Capacity Expansion Tracker'!$G$89</f>
        <v/>
      </c>
      <c r="G96" s="1122">
        <f>'Capacity Expansion Tracker'!$H$89</f>
        <v/>
      </c>
      <c r="H96" s="1122">
        <f>'Capacity Expansion Tracker'!$I$89</f>
        <v/>
      </c>
      <c r="I96" s="1122">
        <f>'Capacity Expansion Tracker'!$J$89</f>
        <v/>
      </c>
      <c r="J96" s="1122">
        <f>'Capacity Expansion Tracker'!$K$89</f>
        <v/>
      </c>
      <c r="K96" s="490" t="n"/>
    </row>
    <row r="97">
      <c r="A97" s="1104" t="inlineStr">
        <is>
          <t>Pipeline delivery factor</t>
        </is>
      </c>
      <c r="B97" s="1105" t="inlineStr">
        <is>
          <t>%</t>
        </is>
      </c>
      <c r="C97" s="1335" t="n">
        <v>0.85</v>
      </c>
      <c r="D97" s="1113">
        <f>'Model Assumptions'!E$54</f>
        <v/>
      </c>
      <c r="E97" s="1113">
        <f>'Model Assumptions'!F$54</f>
        <v/>
      </c>
      <c r="F97" s="1113">
        <f>'Model Assumptions'!G$54</f>
        <v/>
      </c>
      <c r="G97" s="1113">
        <f>'Model Assumptions'!H$54</f>
        <v/>
      </c>
      <c r="H97" s="1113">
        <f>'Model Assumptions'!I$54</f>
        <v/>
      </c>
      <c r="I97" s="1113">
        <f>'Model Assumptions'!J$54</f>
        <v/>
      </c>
      <c r="J97" s="1113">
        <f>'Model Assumptions'!K$54</f>
        <v/>
      </c>
      <c r="K97" s="490" t="n"/>
    </row>
    <row r="98">
      <c r="A98" s="1104" t="inlineStr">
        <is>
          <t>Secondary and unattributed additions</t>
        </is>
      </c>
      <c r="B98" s="1105" t="inlineStr">
        <is>
          <t>Mtpa</t>
        </is>
      </c>
      <c r="C98" s="1792">
        <f>'Capacity Forecast'!C94</f>
        <v/>
      </c>
      <c r="D98" s="1792">
        <f>'Model Assumptions'!E$122</f>
        <v/>
      </c>
      <c r="E98" s="1792">
        <f>'Model Assumptions'!F$122</f>
        <v/>
      </c>
      <c r="F98" s="1792">
        <f>'Model Assumptions'!G$122</f>
        <v/>
      </c>
      <c r="G98" s="1792">
        <f>'Model Assumptions'!H$122</f>
        <v/>
      </c>
      <c r="H98" s="1792">
        <f>'Model Assumptions'!I$122</f>
        <v/>
      </c>
      <c r="I98" s="1792">
        <f>'Model Assumptions'!J$122</f>
        <v/>
      </c>
      <c r="J98" s="1792">
        <f>'Model Assumptions'!K$122</f>
        <v/>
      </c>
      <c r="K98" s="490" t="n"/>
    </row>
    <row r="99">
      <c r="A99" s="1104" t="inlineStr">
        <is>
          <t>Total capacity additions</t>
        </is>
      </c>
      <c r="B99" s="1105" t="inlineStr">
        <is>
          <t>Mtpa</t>
        </is>
      </c>
      <c r="C99" s="1792">
        <f>'Capacity Forecast'!C95</f>
        <v/>
      </c>
      <c r="D99" s="1793">
        <f>D96*D97+D98</f>
        <v/>
      </c>
      <c r="E99" s="1793">
        <f>E96*E97+E98</f>
        <v/>
      </c>
      <c r="F99" s="1793">
        <f>F96*F97+F98</f>
        <v/>
      </c>
      <c r="G99" s="1793">
        <f>G96*G97+G98</f>
        <v/>
      </c>
      <c r="H99" s="1793">
        <f>H96*H97+H98</f>
        <v/>
      </c>
      <c r="I99" s="1793">
        <f>I96*I97+I98</f>
        <v/>
      </c>
      <c r="J99" s="1793">
        <f>J96*J97+J98</f>
        <v/>
      </c>
      <c r="K99" s="490" t="n"/>
    </row>
    <row r="100">
      <c r="A100" s="1104" t="inlineStr">
        <is>
          <t>Closing crude steel capacity</t>
        </is>
      </c>
      <c r="B100" s="1105" t="inlineStr">
        <is>
          <t>Mtpa</t>
        </is>
      </c>
      <c r="C100" s="1792">
        <f>'Capacity Forecast'!C96</f>
        <v/>
      </c>
      <c r="D100" s="1793">
        <f>C100+D99</f>
        <v/>
      </c>
      <c r="E100" s="1793">
        <f>D100+E99</f>
        <v/>
      </c>
      <c r="F100" s="1793">
        <f>E100+F99</f>
        <v/>
      </c>
      <c r="G100" s="1793">
        <f>F100+G99</f>
        <v/>
      </c>
      <c r="H100" s="1793">
        <f>G100+H99</f>
        <v/>
      </c>
      <c r="I100" s="1793">
        <f>H100+I99</f>
        <v/>
      </c>
      <c r="J100" s="1793">
        <f>I100+J99</f>
        <v/>
      </c>
      <c r="K100" s="490" t="n"/>
    </row>
    <row r="101">
      <c r="A101" s="1104" t="inlineStr">
        <is>
          <t>Maximum practical utilisation</t>
        </is>
      </c>
      <c r="B101" s="1105" t="inlineStr">
        <is>
          <t>%</t>
        </is>
      </c>
      <c r="C101" s="1113">
        <f>'Model Assumptions'!D32</f>
        <v/>
      </c>
      <c r="D101" s="1113">
        <f>'Model Assumptions'!E$134</f>
        <v/>
      </c>
      <c r="E101" s="1113">
        <f>'Model Assumptions'!F$134</f>
        <v/>
      </c>
      <c r="F101" s="1113">
        <f>'Model Assumptions'!G$134</f>
        <v/>
      </c>
      <c r="G101" s="1113">
        <f>'Model Assumptions'!H$134</f>
        <v/>
      </c>
      <c r="H101" s="1113">
        <f>'Model Assumptions'!I$134</f>
        <v/>
      </c>
      <c r="I101" s="1113">
        <f>'Model Assumptions'!J$134</f>
        <v/>
      </c>
      <c r="J101" s="1113">
        <f>'Model Assumptions'!K$134</f>
        <v/>
      </c>
      <c r="K101" s="490" t="n"/>
    </row>
    <row r="102">
      <c r="A102" s="1104" t="inlineStr">
        <is>
          <t>Maximum crude steel production</t>
        </is>
      </c>
      <c r="B102" s="1105" t="inlineStr">
        <is>
          <t>Mt</t>
        </is>
      </c>
      <c r="C102" s="1793">
        <f>C100*C101</f>
        <v/>
      </c>
      <c r="D102" s="1793">
        <f>D100*D101</f>
        <v/>
      </c>
      <c r="E102" s="1793">
        <f>E100*E101</f>
        <v/>
      </c>
      <c r="F102" s="1793">
        <f>F100*F101</f>
        <v/>
      </c>
      <c r="G102" s="1793">
        <f>G100*G101</f>
        <v/>
      </c>
      <c r="H102" s="1793">
        <f>H100*H101</f>
        <v/>
      </c>
      <c r="I102" s="1793">
        <f>I100*I101</f>
        <v/>
      </c>
      <c r="J102" s="1793">
        <f>J100*J101</f>
        <v/>
      </c>
      <c r="K102" s="490" t="n"/>
    </row>
    <row r="103">
      <c r="A103" s="1104" t="inlineStr">
        <is>
          <t>Crude steel production</t>
        </is>
      </c>
      <c r="B103" s="1105" t="inlineStr">
        <is>
          <t>Mt</t>
        </is>
      </c>
      <c r="C103" s="1792">
        <f>'Steel Supply Model'!C88</f>
        <v/>
      </c>
      <c r="D103" s="1793">
        <f>MIN(D95,D102)</f>
        <v/>
      </c>
      <c r="E103" s="1793">
        <f>MIN(E95,E102)</f>
        <v/>
      </c>
      <c r="F103" s="1793">
        <f>MIN(F95,F102)</f>
        <v/>
      </c>
      <c r="G103" s="1793">
        <f>MIN(G95,G102)</f>
        <v/>
      </c>
      <c r="H103" s="1793">
        <f>MIN(H95,H102)</f>
        <v/>
      </c>
      <c r="I103" s="1793">
        <f>MIN(I95,I102)</f>
        <v/>
      </c>
      <c r="J103" s="1793">
        <f>MIN(J95,J102)</f>
        <v/>
      </c>
      <c r="K103" s="490" t="n"/>
    </row>
    <row r="104">
      <c r="A104" s="1104" t="inlineStr">
        <is>
          <t>Capacity utilisation</t>
        </is>
      </c>
      <c r="B104" s="1105" t="inlineStr">
        <is>
          <t>%</t>
        </is>
      </c>
      <c r="C104" s="1791">
        <f>C103/C100</f>
        <v/>
      </c>
      <c r="D104" s="1791">
        <f>D103/D100</f>
        <v/>
      </c>
      <c r="E104" s="1791">
        <f>E103/E100</f>
        <v/>
      </c>
      <c r="F104" s="1791">
        <f>F103/F100</f>
        <v/>
      </c>
      <c r="G104" s="1791">
        <f>G103/G100</f>
        <v/>
      </c>
      <c r="H104" s="1791">
        <f>H103/H100</f>
        <v/>
      </c>
      <c r="I104" s="1791">
        <f>I103/I100</f>
        <v/>
      </c>
      <c r="J104" s="1791">
        <f>J103/J100</f>
        <v/>
      </c>
      <c r="K104" s="490" t="n"/>
    </row>
    <row r="105">
      <c r="A105" s="1104" t="inlineStr">
        <is>
          <t>Finished steel production</t>
        </is>
      </c>
      <c r="B105" s="1105" t="inlineStr">
        <is>
          <t>Mt</t>
        </is>
      </c>
      <c r="C105" s="1792">
        <f>'Steel Supply Model'!C90</f>
        <v/>
      </c>
      <c r="D105" s="1793">
        <f>D103/D94</f>
        <v/>
      </c>
      <c r="E105" s="1793">
        <f>E103/E94</f>
        <v/>
      </c>
      <c r="F105" s="1793">
        <f>F103/F94</f>
        <v/>
      </c>
      <c r="G105" s="1793">
        <f>G103/G94</f>
        <v/>
      </c>
      <c r="H105" s="1793">
        <f>H103/H94</f>
        <v/>
      </c>
      <c r="I105" s="1793">
        <f>I103/I94</f>
        <v/>
      </c>
      <c r="J105" s="1793">
        <f>J103/J94</f>
        <v/>
      </c>
      <c r="K105" s="490" t="n"/>
    </row>
    <row r="106">
      <c r="A106" s="1104" t="inlineStr">
        <is>
          <t>Blended realisation - scenario driver</t>
        </is>
      </c>
      <c r="B106" s="1105" t="inlineStr">
        <is>
          <t>Rs/t</t>
        </is>
      </c>
      <c r="C106" s="1114">
        <f>'Steel Price Forecast'!C72</f>
        <v/>
      </c>
      <c r="D106" s="1114">
        <f>'Model Assumptions'!E$70</f>
        <v/>
      </c>
      <c r="E106" s="1114">
        <f>'Model Assumptions'!F$70</f>
        <v/>
      </c>
      <c r="F106" s="1114">
        <f>'Model Assumptions'!G$70</f>
        <v/>
      </c>
      <c r="G106" s="1114">
        <f>'Model Assumptions'!H$70</f>
        <v/>
      </c>
      <c r="H106" s="1114">
        <f>'Model Assumptions'!I$70</f>
        <v/>
      </c>
      <c r="I106" s="1114">
        <f>'Model Assumptions'!J$70</f>
        <v/>
      </c>
      <c r="J106" s="1114">
        <f>'Model Assumptions'!K$70</f>
        <v/>
      </c>
      <c r="K106" s="490" t="n"/>
    </row>
    <row r="107">
      <c r="A107" s="1104" t="inlineStr">
        <is>
          <t>Normal capacity utilisation</t>
        </is>
      </c>
      <c r="B107" s="1105" t="inlineStr">
        <is>
          <t>%</t>
        </is>
      </c>
      <c r="C107" s="1113">
        <f>'Model Assumptions'!$D$31</f>
        <v/>
      </c>
      <c r="D107" s="1113">
        <f>'Model Assumptions'!E$130</f>
        <v/>
      </c>
      <c r="E107" s="1113">
        <f>'Model Assumptions'!F$130</f>
        <v/>
      </c>
      <c r="F107" s="1113">
        <f>'Model Assumptions'!G$130</f>
        <v/>
      </c>
      <c r="G107" s="1113">
        <f>'Model Assumptions'!H$130</f>
        <v/>
      </c>
      <c r="H107" s="1113">
        <f>'Model Assumptions'!I$130</f>
        <v/>
      </c>
      <c r="I107" s="1113">
        <f>'Model Assumptions'!J$130</f>
        <v/>
      </c>
      <c r="J107" s="1113">
        <f>'Model Assumptions'!K$130</f>
        <v/>
      </c>
      <c r="K107" s="490" t="n"/>
    </row>
    <row r="108">
      <c r="A108" s="1104" t="inlineStr">
        <is>
          <t>Price sensitivity to utilisation</t>
        </is>
      </c>
      <c r="B108" s="1105" t="inlineStr">
        <is>
          <t>x</t>
        </is>
      </c>
      <c r="C108" s="1790">
        <f>'Model Assumptions'!$D$30</f>
        <v/>
      </c>
      <c r="D108" s="1790">
        <f>'Model Assumptions'!E$126</f>
        <v/>
      </c>
      <c r="E108" s="1790">
        <f>'Model Assumptions'!F$126</f>
        <v/>
      </c>
      <c r="F108" s="1790">
        <f>'Model Assumptions'!G$126</f>
        <v/>
      </c>
      <c r="G108" s="1790">
        <f>'Model Assumptions'!H$126</f>
        <v/>
      </c>
      <c r="H108" s="1790">
        <f>'Model Assumptions'!I$126</f>
        <v/>
      </c>
      <c r="I108" s="1790">
        <f>'Model Assumptions'!J$126</f>
        <v/>
      </c>
      <c r="J108" s="1790">
        <f>'Model Assumptions'!K$126</f>
        <v/>
      </c>
      <c r="K108" s="490" t="n"/>
    </row>
    <row r="109">
      <c r="A109" s="1104" t="inlineStr">
        <is>
          <t>Price adjustment factor (lagged one year)</t>
        </is>
      </c>
      <c r="B109" s="1105" t="inlineStr">
        <is>
          <t>x</t>
        </is>
      </c>
      <c r="C109" s="1796">
        <f>1</f>
        <v/>
      </c>
      <c r="D109" s="1797">
        <f>1+D108*(C104-D107)</f>
        <v/>
      </c>
      <c r="E109" s="1797">
        <f>1+E108*(D104-E107)</f>
        <v/>
      </c>
      <c r="F109" s="1797">
        <f>1+F108*(E104-F107)</f>
        <v/>
      </c>
      <c r="G109" s="1797">
        <f>1+G108*(F104-G107)</f>
        <v/>
      </c>
      <c r="H109" s="1797">
        <f>1+H108*(G104-H107)</f>
        <v/>
      </c>
      <c r="I109" s="1797">
        <f>1+I108*(H104-I107)</f>
        <v/>
      </c>
      <c r="J109" s="1797">
        <f>1+J108*(I104-J107)</f>
        <v/>
      </c>
      <c r="K109" s="490" t="n"/>
    </row>
    <row r="110">
      <c r="A110" s="1104" t="inlineStr">
        <is>
          <t>Blended realisation - effective</t>
        </is>
      </c>
      <c r="B110" s="1105" t="inlineStr">
        <is>
          <t>Rs/t</t>
        </is>
      </c>
      <c r="C110" s="1114">
        <f>'Steel Price Forecast'!C72</f>
        <v/>
      </c>
      <c r="D110" s="1117">
        <f>D106*D109</f>
        <v/>
      </c>
      <c r="E110" s="1117">
        <f>E106*E109</f>
        <v/>
      </c>
      <c r="F110" s="1117">
        <f>F106*F109</f>
        <v/>
      </c>
      <c r="G110" s="1117">
        <f>G106*G109</f>
        <v/>
      </c>
      <c r="H110" s="1117">
        <f>H106*H109</f>
        <v/>
      </c>
      <c r="I110" s="1117">
        <f>I106*I109</f>
        <v/>
      </c>
      <c r="J110" s="1117">
        <f>J106*J109</f>
        <v/>
      </c>
      <c r="K110" s="490" t="n"/>
    </row>
    <row r="111">
      <c r="A111" s="1104" t="inlineStr">
        <is>
          <t>Iron ore 62% Fe CFR China</t>
        </is>
      </c>
      <c r="B111" s="1105" t="inlineStr">
        <is>
          <t>US$/dmt</t>
        </is>
      </c>
      <c r="C111" s="1792">
        <f>'Raw Material Forecast'!C61</f>
        <v/>
      </c>
      <c r="D111" s="1792">
        <f>'Model Assumptions'!E$74</f>
        <v/>
      </c>
      <c r="E111" s="1792">
        <f>'Model Assumptions'!F$74</f>
        <v/>
      </c>
      <c r="F111" s="1792">
        <f>'Model Assumptions'!G$74</f>
        <v/>
      </c>
      <c r="G111" s="1792">
        <f>'Model Assumptions'!H$74</f>
        <v/>
      </c>
      <c r="H111" s="1792">
        <f>'Model Assumptions'!I$74</f>
        <v/>
      </c>
      <c r="I111" s="1792">
        <f>'Model Assumptions'!J$74</f>
        <v/>
      </c>
      <c r="J111" s="1792">
        <f>'Model Assumptions'!K$74</f>
        <v/>
      </c>
      <c r="K111" s="490" t="n"/>
    </row>
    <row r="112">
      <c r="A112" s="1104" t="inlineStr">
        <is>
          <t>Premium HCC coking coal FOB Australia</t>
        </is>
      </c>
      <c r="B112" s="1105" t="inlineStr">
        <is>
          <t>US$/t</t>
        </is>
      </c>
      <c r="C112" s="1114">
        <f>'Raw Material Forecast'!C62</f>
        <v/>
      </c>
      <c r="D112" s="1114">
        <f>'Model Assumptions'!E$78</f>
        <v/>
      </c>
      <c r="E112" s="1114">
        <f>'Model Assumptions'!F$78</f>
        <v/>
      </c>
      <c r="F112" s="1114">
        <f>'Model Assumptions'!G$78</f>
        <v/>
      </c>
      <c r="G112" s="1114">
        <f>'Model Assumptions'!H$78</f>
        <v/>
      </c>
      <c r="H112" s="1114">
        <f>'Model Assumptions'!I$78</f>
        <v/>
      </c>
      <c r="I112" s="1114">
        <f>'Model Assumptions'!J$78</f>
        <v/>
      </c>
      <c r="J112" s="1114">
        <f>'Model Assumptions'!K$78</f>
        <v/>
      </c>
      <c r="K112" s="490" t="n"/>
    </row>
    <row r="113">
      <c r="A113" s="1104" t="inlineStr">
        <is>
          <t>USD/INR</t>
        </is>
      </c>
      <c r="B113" s="1105" t="inlineStr">
        <is>
          <t>Rs/US$</t>
        </is>
      </c>
      <c r="C113" s="1792">
        <f>'Raw Material Forecast'!C63</f>
        <v/>
      </c>
      <c r="D113" s="1792">
        <f>'Model Assumptions'!E$46</f>
        <v/>
      </c>
      <c r="E113" s="1792">
        <f>'Model Assumptions'!F$46</f>
        <v/>
      </c>
      <c r="F113" s="1792">
        <f>'Model Assumptions'!G$46</f>
        <v/>
      </c>
      <c r="G113" s="1792">
        <f>'Model Assumptions'!H$46</f>
        <v/>
      </c>
      <c r="H113" s="1792">
        <f>'Model Assumptions'!I$46</f>
        <v/>
      </c>
      <c r="I113" s="1792">
        <f>'Model Assumptions'!J$46</f>
        <v/>
      </c>
      <c r="J113" s="1792">
        <f>'Model Assumptions'!K$46</f>
        <v/>
      </c>
      <c r="K113" s="490" t="n"/>
    </row>
    <row r="114">
      <c r="A114" s="1104" t="inlineStr">
        <is>
          <t>Iron ore in rupees</t>
        </is>
      </c>
      <c r="B114" s="1105" t="inlineStr">
        <is>
          <t>Rs/dmt</t>
        </is>
      </c>
      <c r="C114" s="1114">
        <f>'Raw Material Forecast'!C65</f>
        <v/>
      </c>
      <c r="D114" s="1117">
        <f>D111*D113</f>
        <v/>
      </c>
      <c r="E114" s="1117">
        <f>E111*E113</f>
        <v/>
      </c>
      <c r="F114" s="1117">
        <f>F111*F113</f>
        <v/>
      </c>
      <c r="G114" s="1117">
        <f>G111*G113</f>
        <v/>
      </c>
      <c r="H114" s="1117">
        <f>H111*H113</f>
        <v/>
      </c>
      <c r="I114" s="1117">
        <f>I111*I113</f>
        <v/>
      </c>
      <c r="J114" s="1117">
        <f>J111*J113</f>
        <v/>
      </c>
      <c r="K114" s="490" t="n"/>
    </row>
    <row r="115">
      <c r="A115" s="1104" t="inlineStr">
        <is>
          <t>Coking coal in rupees</t>
        </is>
      </c>
      <c r="B115" s="1105" t="inlineStr">
        <is>
          <t>Rs/t</t>
        </is>
      </c>
      <c r="C115" s="1114">
        <f>'Raw Material Forecast'!C66</f>
        <v/>
      </c>
      <c r="D115" s="1117">
        <f>D112*D113</f>
        <v/>
      </c>
      <c r="E115" s="1117">
        <f>E112*E113</f>
        <v/>
      </c>
      <c r="F115" s="1117">
        <f>F112*F113</f>
        <v/>
      </c>
      <c r="G115" s="1117">
        <f>G112*G113</f>
        <v/>
      </c>
      <c r="H115" s="1117">
        <f>H112*H113</f>
        <v/>
      </c>
      <c r="I115" s="1117">
        <f>I112*I113</f>
        <v/>
      </c>
      <c r="J115" s="1117">
        <f>J112*J113</f>
        <v/>
      </c>
      <c r="K115" s="490" t="n"/>
    </row>
    <row r="116">
      <c r="A116" s="1104" t="inlineStr">
        <is>
          <t>Conversion cost inflation</t>
        </is>
      </c>
      <c r="B116" s="1105" t="inlineStr">
        <is>
          <t>%</t>
        </is>
      </c>
      <c r="C116" s="1121">
        <f>'Model Assumptions'!D19</f>
        <v/>
      </c>
      <c r="D116" s="1789">
        <f>'Model Assumptions'!E$82</f>
        <v/>
      </c>
      <c r="E116" s="1789">
        <f>'Model Assumptions'!F$82</f>
        <v/>
      </c>
      <c r="F116" s="1789">
        <f>'Model Assumptions'!G$82</f>
        <v/>
      </c>
      <c r="G116" s="1789">
        <f>'Model Assumptions'!H$82</f>
        <v/>
      </c>
      <c r="H116" s="1789">
        <f>'Model Assumptions'!I$82</f>
        <v/>
      </c>
      <c r="I116" s="1789">
        <f>'Model Assumptions'!J$82</f>
        <v/>
      </c>
      <c r="J116" s="1789">
        <f>'Model Assumptions'!K$82</f>
        <v/>
      </c>
      <c r="K116" s="490" t="n"/>
    </row>
    <row r="117">
      <c r="A117" s="1104" t="inlineStr">
        <is>
          <t>Conversion cost index</t>
        </is>
      </c>
      <c r="B117" s="1105" t="inlineStr">
        <is>
          <t>x</t>
        </is>
      </c>
      <c r="C117" s="1796">
        <f>1</f>
        <v/>
      </c>
      <c r="D117" s="1797">
        <f>C117*(1+D116)</f>
        <v/>
      </c>
      <c r="E117" s="1797">
        <f>D117*(1+E116)</f>
        <v/>
      </c>
      <c r="F117" s="1797">
        <f>E117*(1+F116)</f>
        <v/>
      </c>
      <c r="G117" s="1797">
        <f>F117*(1+G116)</f>
        <v/>
      </c>
      <c r="H117" s="1797">
        <f>G117*(1+H116)</f>
        <v/>
      </c>
      <c r="I117" s="1797">
        <f>H117*(1+I116)</f>
        <v/>
      </c>
      <c r="J117" s="1797">
        <f>I117*(1+J116)</f>
        <v/>
      </c>
      <c r="K117" s="490" t="n"/>
    </row>
    <row r="118">
      <c r="A118" s="1104" t="inlineStr">
        <is>
          <t>Iron ore weight in the raw material basket</t>
        </is>
      </c>
      <c r="B118" s="1105" t="inlineStr">
        <is>
          <t>%</t>
        </is>
      </c>
      <c r="C118" s="1113">
        <f>'Model Assumptions'!$D$21</f>
        <v/>
      </c>
      <c r="D118" s="1113">
        <f>'Model Assumptions'!E$90</f>
        <v/>
      </c>
      <c r="E118" s="1113">
        <f>'Model Assumptions'!F$90</f>
        <v/>
      </c>
      <c r="F118" s="1113">
        <f>'Model Assumptions'!G$90</f>
        <v/>
      </c>
      <c r="G118" s="1113">
        <f>'Model Assumptions'!H$90</f>
        <v/>
      </c>
      <c r="H118" s="1113">
        <f>'Model Assumptions'!I$90</f>
        <v/>
      </c>
      <c r="I118" s="1113">
        <f>'Model Assumptions'!J$90</f>
        <v/>
      </c>
      <c r="J118" s="1113">
        <f>'Model Assumptions'!K$90</f>
        <v/>
      </c>
      <c r="K118" s="490" t="n"/>
    </row>
    <row r="119">
      <c r="A119" s="1104" t="inlineStr">
        <is>
          <t>Raw material cost index</t>
        </is>
      </c>
      <c r="B119" s="1105" t="inlineStr">
        <is>
          <t>x</t>
        </is>
      </c>
      <c r="C119" s="1796">
        <f>1</f>
        <v/>
      </c>
      <c r="D119" s="1797">
        <f>D118*(D114/$C$114)+D118*(D115/$C$115)+(1-2*D118)*D117</f>
        <v/>
      </c>
      <c r="E119" s="1797">
        <f>E118*(E114/$C$114)+E118*(E115/$C$115)+(1-2*E118)*E117</f>
        <v/>
      </c>
      <c r="F119" s="1797">
        <f>F118*(F114/$C$114)+F118*(F115/$C$115)+(1-2*F118)*F117</f>
        <v/>
      </c>
      <c r="G119" s="1797">
        <f>G118*(G114/$C$114)+G118*(G115/$C$115)+(1-2*G118)*G117</f>
        <v/>
      </c>
      <c r="H119" s="1797">
        <f>H118*(H114/$C$114)+H118*(H115/$C$115)+(1-2*H118)*H117</f>
        <v/>
      </c>
      <c r="I119" s="1797">
        <f>I118*(I114/$C$114)+I118*(I115/$C$115)+(1-2*I118)*I117</f>
        <v/>
      </c>
      <c r="J119" s="1797">
        <f>J118*(J114/$C$114)+J118*(J115/$C$115)+(1-2*J118)*J117</f>
        <v/>
      </c>
      <c r="K119" s="490" t="n"/>
    </row>
    <row r="120">
      <c r="A120" s="1104" t="inlineStr">
        <is>
          <t>Raw material share of cash cost</t>
        </is>
      </c>
      <c r="B120" s="1105" t="inlineStr">
        <is>
          <t>%</t>
        </is>
      </c>
      <c r="C120" s="1113">
        <f>'Model Assumptions'!$D$20</f>
        <v/>
      </c>
      <c r="D120" s="1113">
        <f>'Model Assumptions'!E$86</f>
        <v/>
      </c>
      <c r="E120" s="1113">
        <f>'Model Assumptions'!F$86</f>
        <v/>
      </c>
      <c r="F120" s="1113">
        <f>'Model Assumptions'!G$86</f>
        <v/>
      </c>
      <c r="G120" s="1113">
        <f>'Model Assumptions'!H$86</f>
        <v/>
      </c>
      <c r="H120" s="1113">
        <f>'Model Assumptions'!I$86</f>
        <v/>
      </c>
      <c r="I120" s="1113">
        <f>'Model Assumptions'!J$86</f>
        <v/>
      </c>
      <c r="J120" s="1113">
        <f>'Model Assumptions'!K$86</f>
        <v/>
      </c>
      <c r="K120" s="490" t="n"/>
    </row>
    <row r="121">
      <c r="A121" s="1104" t="inlineStr">
        <is>
          <t>Industry cash cost per tonne</t>
        </is>
      </c>
      <c r="B121" s="1105" t="inlineStr">
        <is>
          <t>Rs/t</t>
        </is>
      </c>
      <c r="C121" s="1114">
        <f>'Cost Curve'!C65</f>
        <v/>
      </c>
      <c r="D121" s="1117">
        <f>$C$121*(D120*D119+(1-D120)*D117)</f>
        <v/>
      </c>
      <c r="E121" s="1117">
        <f>$C$121*(E120*E119+(1-E120)*E117)</f>
        <v/>
      </c>
      <c r="F121" s="1117">
        <f>$C$121*(F120*F119+(1-F120)*F117)</f>
        <v/>
      </c>
      <c r="G121" s="1117">
        <f>$C$121*(G120*G119+(1-G120)*G117)</f>
        <v/>
      </c>
      <c r="H121" s="1117">
        <f>$C$121*(H120*H119+(1-H120)*H117)</f>
        <v/>
      </c>
      <c r="I121" s="1117">
        <f>$C$121*(I120*I119+(1-I120)*I117)</f>
        <v/>
      </c>
      <c r="J121" s="1117">
        <f>$C$121*(J120*J119+(1-J120)*J117)</f>
        <v/>
      </c>
      <c r="K121" s="490" t="n"/>
    </row>
    <row r="122">
      <c r="A122" s="1104" t="inlineStr">
        <is>
          <t>Industry EBITDA per tonne</t>
        </is>
      </c>
      <c r="B122" s="1105" t="inlineStr">
        <is>
          <t>Rs/t</t>
        </is>
      </c>
      <c r="C122" s="1117">
        <f>C110-C121</f>
        <v/>
      </c>
      <c r="D122" s="1117">
        <f>D110-D121</f>
        <v/>
      </c>
      <c r="E122" s="1117">
        <f>E110-E121</f>
        <v/>
      </c>
      <c r="F122" s="1117">
        <f>F110-F121</f>
        <v/>
      </c>
      <c r="G122" s="1117">
        <f>G110-G121</f>
        <v/>
      </c>
      <c r="H122" s="1117">
        <f>H110-H121</f>
        <v/>
      </c>
      <c r="I122" s="1117">
        <f>I110-I121</f>
        <v/>
      </c>
      <c r="J122" s="1117">
        <f>J110-J121</f>
        <v/>
      </c>
      <c r="K122" s="490" t="n"/>
    </row>
    <row r="123">
      <c r="A123" s="1104" t="inlineStr">
        <is>
          <t>Industry revenue</t>
        </is>
      </c>
      <c r="B123" s="1105" t="inlineStr">
        <is>
          <t>Rs cr</t>
        </is>
      </c>
      <c r="C123" s="1114">
        <f>'Revenue Forecast'!C95</f>
        <v/>
      </c>
      <c r="D123" s="1117">
        <f>D105*D110/10</f>
        <v/>
      </c>
      <c r="E123" s="1117">
        <f>E105*E110/10</f>
        <v/>
      </c>
      <c r="F123" s="1117">
        <f>F105*F110/10</f>
        <v/>
      </c>
      <c r="G123" s="1117">
        <f>G105*G110/10</f>
        <v/>
      </c>
      <c r="H123" s="1117">
        <f>H105*H110/10</f>
        <v/>
      </c>
      <c r="I123" s="1117">
        <f>I105*I110/10</f>
        <v/>
      </c>
      <c r="J123" s="1117">
        <f>J105*J110/10</f>
        <v/>
      </c>
      <c r="K123" s="490" t="n"/>
    </row>
    <row r="124">
      <c r="A124" s="1104" t="inlineStr">
        <is>
          <t>Industry EBITDA</t>
        </is>
      </c>
      <c r="B124" s="1105" t="inlineStr">
        <is>
          <t>Rs cr</t>
        </is>
      </c>
      <c r="C124" s="1117">
        <f>C105*C122/10</f>
        <v/>
      </c>
      <c r="D124" s="1117">
        <f>D105*D122/10</f>
        <v/>
      </c>
      <c r="E124" s="1117">
        <f>E105*E122/10</f>
        <v/>
      </c>
      <c r="F124" s="1117">
        <f>F105*F122/10</f>
        <v/>
      </c>
      <c r="G124" s="1117">
        <f>G105*G122/10</f>
        <v/>
      </c>
      <c r="H124" s="1117">
        <f>H105*H122/10</f>
        <v/>
      </c>
      <c r="I124" s="1117">
        <f>I105*I122/10</f>
        <v/>
      </c>
      <c r="J124" s="1117">
        <f>J105*J122/10</f>
        <v/>
      </c>
      <c r="K124" s="490" t="n"/>
    </row>
    <row r="125">
      <c r="A125" s="1104" t="inlineStr">
        <is>
          <t>Industry EBITDA margin</t>
        </is>
      </c>
      <c r="B125" s="1105" t="inlineStr">
        <is>
          <t>%</t>
        </is>
      </c>
      <c r="C125" s="1791">
        <f>C122/C110</f>
        <v/>
      </c>
      <c r="D125" s="1791">
        <f>D122/D110</f>
        <v/>
      </c>
      <c r="E125" s="1791">
        <f>E122/E110</f>
        <v/>
      </c>
      <c r="F125" s="1791">
        <f>F122/F110</f>
        <v/>
      </c>
      <c r="G125" s="1791">
        <f>G122/G110</f>
        <v/>
      </c>
      <c r="H125" s="1791">
        <f>H122/H110</f>
        <v/>
      </c>
      <c r="I125" s="1791">
        <f>I122/I110</f>
        <v/>
      </c>
      <c r="J125" s="1791">
        <f>J122/J110</f>
        <v/>
      </c>
      <c r="K125" s="490" t="n"/>
    </row>
    <row r="126">
      <c r="A126" s="1104" t="inlineStr">
        <is>
          <t>Depreciation and amortisation</t>
        </is>
      </c>
      <c r="B126" s="1105" t="inlineStr">
        <is>
          <t>% of revenue</t>
        </is>
      </c>
      <c r="C126" s="1118">
        <f>'Cash Flow Model'!$C$92</f>
        <v/>
      </c>
      <c r="D126" s="1118">
        <f>'Model Assumptions'!E$138</f>
        <v/>
      </c>
      <c r="E126" s="1118">
        <f>'Model Assumptions'!F$138</f>
        <v/>
      </c>
      <c r="F126" s="1118">
        <f>'Model Assumptions'!G$138</f>
        <v/>
      </c>
      <c r="G126" s="1118">
        <f>'Model Assumptions'!H$138</f>
        <v/>
      </c>
      <c r="H126" s="1118">
        <f>'Model Assumptions'!I$138</f>
        <v/>
      </c>
      <c r="I126" s="1118">
        <f>'Model Assumptions'!J$138</f>
        <v/>
      </c>
      <c r="J126" s="1118">
        <f>'Model Assumptions'!K$138</f>
        <v/>
      </c>
      <c r="K126" s="490" t="n"/>
    </row>
    <row r="127">
      <c r="A127" s="1104" t="inlineStr">
        <is>
          <t>Depreciation and amortisation</t>
        </is>
      </c>
      <c r="B127" s="1105" t="inlineStr">
        <is>
          <t>Rs cr</t>
        </is>
      </c>
      <c r="C127" s="1117">
        <f>C123*C126</f>
        <v/>
      </c>
      <c r="D127" s="1117">
        <f>D123*D126</f>
        <v/>
      </c>
      <c r="E127" s="1117">
        <f>E123*E126</f>
        <v/>
      </c>
      <c r="F127" s="1117">
        <f>F123*F126</f>
        <v/>
      </c>
      <c r="G127" s="1117">
        <f>G123*G126</f>
        <v/>
      </c>
      <c r="H127" s="1117">
        <f>H123*H126</f>
        <v/>
      </c>
      <c r="I127" s="1117">
        <f>I123*I126</f>
        <v/>
      </c>
      <c r="J127" s="1117">
        <f>J123*J126</f>
        <v/>
      </c>
      <c r="K127" s="490" t="n"/>
    </row>
    <row r="128">
      <c r="A128" s="1104" t="inlineStr">
        <is>
          <t>EBIT</t>
        </is>
      </c>
      <c r="B128" s="1105" t="inlineStr">
        <is>
          <t>Rs cr</t>
        </is>
      </c>
      <c r="C128" s="1798">
        <f>C124-C127</f>
        <v/>
      </c>
      <c r="D128" s="1798">
        <f>D124-D127</f>
        <v/>
      </c>
      <c r="E128" s="1798">
        <f>E124-E127</f>
        <v/>
      </c>
      <c r="F128" s="1798">
        <f>F124-F127</f>
        <v/>
      </c>
      <c r="G128" s="1798">
        <f>G124-G127</f>
        <v/>
      </c>
      <c r="H128" s="1798">
        <f>H124-H127</f>
        <v/>
      </c>
      <c r="I128" s="1798">
        <f>I124-I127</f>
        <v/>
      </c>
      <c r="J128" s="1798">
        <f>J124-J127</f>
        <v/>
      </c>
      <c r="K128" s="490" t="n"/>
    </row>
    <row r="129">
      <c r="A129" s="1104" t="inlineStr">
        <is>
          <t>Effective tax rate</t>
        </is>
      </c>
      <c r="B129" s="1105" t="inlineStr">
        <is>
          <t>%</t>
        </is>
      </c>
      <c r="C129" s="1118">
        <f>'Cash Flow Model'!$C$95</f>
        <v/>
      </c>
      <c r="D129" s="1118">
        <f>'Model Assumptions'!E$94</f>
        <v/>
      </c>
      <c r="E129" s="1118">
        <f>'Model Assumptions'!F$94</f>
        <v/>
      </c>
      <c r="F129" s="1118">
        <f>'Model Assumptions'!G$94</f>
        <v/>
      </c>
      <c r="G129" s="1118">
        <f>'Model Assumptions'!H$94</f>
        <v/>
      </c>
      <c r="H129" s="1118">
        <f>'Model Assumptions'!I$94</f>
        <v/>
      </c>
      <c r="I129" s="1118">
        <f>'Model Assumptions'!J$94</f>
        <v/>
      </c>
      <c r="J129" s="1118">
        <f>'Model Assumptions'!K$94</f>
        <v/>
      </c>
      <c r="K129" s="490" t="n"/>
    </row>
    <row r="130">
      <c r="A130" s="1104" t="inlineStr">
        <is>
          <t>Cash tax</t>
        </is>
      </c>
      <c r="B130" s="1105" t="inlineStr">
        <is>
          <t>Rs cr</t>
        </is>
      </c>
      <c r="C130" s="1117">
        <f>MAX(0,C128)*C129</f>
        <v/>
      </c>
      <c r="D130" s="1117">
        <f>MAX(0,D128)*D129</f>
        <v/>
      </c>
      <c r="E130" s="1117">
        <f>MAX(0,E128)*E129</f>
        <v/>
      </c>
      <c r="F130" s="1117">
        <f>MAX(0,F128)*F129</f>
        <v/>
      </c>
      <c r="G130" s="1117">
        <f>MAX(0,G128)*G129</f>
        <v/>
      </c>
      <c r="H130" s="1117">
        <f>MAX(0,H128)*H129</f>
        <v/>
      </c>
      <c r="I130" s="1117">
        <f>MAX(0,I128)*I129</f>
        <v/>
      </c>
      <c r="J130" s="1117">
        <f>MAX(0,J128)*J129</f>
        <v/>
      </c>
      <c r="K130" s="490" t="n"/>
    </row>
    <row r="131">
      <c r="A131" s="1104" t="inlineStr">
        <is>
          <t>Capex intensity</t>
        </is>
      </c>
      <c r="B131" s="1105" t="inlineStr">
        <is>
          <t>Rs/t of capacity</t>
        </is>
      </c>
      <c r="C131" s="1114">
        <f>'Model Assumptions'!$D$23</f>
        <v/>
      </c>
      <c r="D131" s="1114">
        <f>'Model Assumptions'!E$98</f>
        <v/>
      </c>
      <c r="E131" s="1114">
        <f>'Model Assumptions'!F$98</f>
        <v/>
      </c>
      <c r="F131" s="1114">
        <f>'Model Assumptions'!G$98</f>
        <v/>
      </c>
      <c r="G131" s="1114">
        <f>'Model Assumptions'!H$98</f>
        <v/>
      </c>
      <c r="H131" s="1114">
        <f>'Model Assumptions'!I$98</f>
        <v/>
      </c>
      <c r="I131" s="1114">
        <f>'Model Assumptions'!J$98</f>
        <v/>
      </c>
      <c r="J131" s="1114">
        <f>'Model Assumptions'!K$98</f>
        <v/>
      </c>
      <c r="K131" s="490" t="n"/>
    </row>
    <row r="132">
      <c r="A132" s="1104" t="inlineStr">
        <is>
          <t>Growth capex</t>
        </is>
      </c>
      <c r="B132" s="1105" t="inlineStr">
        <is>
          <t>Rs cr</t>
        </is>
      </c>
      <c r="C132" s="490" t="n"/>
      <c r="D132" s="1117">
        <f>D99*D131/10</f>
        <v/>
      </c>
      <c r="E132" s="1117">
        <f>E99*E131/10</f>
        <v/>
      </c>
      <c r="F132" s="1117">
        <f>F99*F131/10</f>
        <v/>
      </c>
      <c r="G132" s="1117">
        <f>G99*G131/10</f>
        <v/>
      </c>
      <c r="H132" s="1117">
        <f>H99*H131/10</f>
        <v/>
      </c>
      <c r="I132" s="1117">
        <f>I99*I131/10</f>
        <v/>
      </c>
      <c r="J132" s="1117">
        <f>J99*J131/10</f>
        <v/>
      </c>
      <c r="K132" s="490" t="n"/>
    </row>
    <row r="133">
      <c r="A133" s="1104" t="inlineStr">
        <is>
          <t>Maintenance capex</t>
        </is>
      </c>
      <c r="B133" s="1105" t="inlineStr">
        <is>
          <t>% of revenue</t>
        </is>
      </c>
      <c r="C133" s="1789">
        <f>'Model Assumptions'!$D$24</f>
        <v/>
      </c>
      <c r="D133" s="1789">
        <f>'Model Assumptions'!E$102</f>
        <v/>
      </c>
      <c r="E133" s="1789">
        <f>'Model Assumptions'!F$102</f>
        <v/>
      </c>
      <c r="F133" s="1789">
        <f>'Model Assumptions'!G$102</f>
        <v/>
      </c>
      <c r="G133" s="1789">
        <f>'Model Assumptions'!H$102</f>
        <v/>
      </c>
      <c r="H133" s="1789">
        <f>'Model Assumptions'!I$102</f>
        <v/>
      </c>
      <c r="I133" s="1789">
        <f>'Model Assumptions'!J$102</f>
        <v/>
      </c>
      <c r="J133" s="1789">
        <f>'Model Assumptions'!K$102</f>
        <v/>
      </c>
      <c r="K133" s="490" t="n"/>
    </row>
    <row r="134">
      <c r="A134" s="1104" t="inlineStr">
        <is>
          <t>Maintenance capex</t>
        </is>
      </c>
      <c r="B134" s="1105" t="inlineStr">
        <is>
          <t>Rs cr</t>
        </is>
      </c>
      <c r="C134" s="490" t="n"/>
      <c r="D134" s="1117">
        <f>D123*D133</f>
        <v/>
      </c>
      <c r="E134" s="1117">
        <f>E123*E133</f>
        <v/>
      </c>
      <c r="F134" s="1117">
        <f>F123*F133</f>
        <v/>
      </c>
      <c r="G134" s="1117">
        <f>G123*G133</f>
        <v/>
      </c>
      <c r="H134" s="1117">
        <f>H123*H133</f>
        <v/>
      </c>
      <c r="I134" s="1117">
        <f>I123*I133</f>
        <v/>
      </c>
      <c r="J134" s="1117">
        <f>J123*J133</f>
        <v/>
      </c>
      <c r="K134" s="490" t="n"/>
    </row>
    <row r="135">
      <c r="A135" s="1104" t="inlineStr">
        <is>
          <t>Total capex</t>
        </is>
      </c>
      <c r="B135" s="1105" t="inlineStr">
        <is>
          <t>Rs cr</t>
        </is>
      </c>
      <c r="C135" s="490" t="n"/>
      <c r="D135" s="1117">
        <f>D132+D134</f>
        <v/>
      </c>
      <c r="E135" s="1117">
        <f>E132+E134</f>
        <v/>
      </c>
      <c r="F135" s="1117">
        <f>F132+F134</f>
        <v/>
      </c>
      <c r="G135" s="1117">
        <f>G132+G134</f>
        <v/>
      </c>
      <c r="H135" s="1117">
        <f>H132+H134</f>
        <v/>
      </c>
      <c r="I135" s="1117">
        <f>I132+I134</f>
        <v/>
      </c>
      <c r="J135" s="1117">
        <f>J132+J134</f>
        <v/>
      </c>
      <c r="K135" s="490" t="n"/>
    </row>
    <row r="136">
      <c r="A136" s="1104" t="inlineStr">
        <is>
          <t>Net working capital</t>
        </is>
      </c>
      <c r="B136" s="1105" t="inlineStr">
        <is>
          <t>days of revenue</t>
        </is>
      </c>
      <c r="C136" s="1114">
        <f>'Working Capital Model'!$C$70</f>
        <v/>
      </c>
      <c r="D136" s="1114">
        <f>'Model Assumptions'!E$106</f>
        <v/>
      </c>
      <c r="E136" s="1114">
        <f>'Model Assumptions'!F$106</f>
        <v/>
      </c>
      <c r="F136" s="1114">
        <f>'Model Assumptions'!G$106</f>
        <v/>
      </c>
      <c r="G136" s="1114">
        <f>'Model Assumptions'!H$106</f>
        <v/>
      </c>
      <c r="H136" s="1114">
        <f>'Model Assumptions'!I$106</f>
        <v/>
      </c>
      <c r="I136" s="1114">
        <f>'Model Assumptions'!J$106</f>
        <v/>
      </c>
      <c r="J136" s="1114">
        <f>'Model Assumptions'!K$106</f>
        <v/>
      </c>
      <c r="K136" s="490" t="n"/>
    </row>
    <row r="137">
      <c r="A137" s="1104" t="inlineStr">
        <is>
          <t>Net working capital</t>
        </is>
      </c>
      <c r="B137" s="1105" t="inlineStr">
        <is>
          <t>Rs cr</t>
        </is>
      </c>
      <c r="C137" s="1114">
        <f>'Working Capital Model'!$C$71</f>
        <v/>
      </c>
      <c r="D137" s="1117">
        <f>D123*D136/365</f>
        <v/>
      </c>
      <c r="E137" s="1117">
        <f>E123*E136/365</f>
        <v/>
      </c>
      <c r="F137" s="1117">
        <f>F123*F136/365</f>
        <v/>
      </c>
      <c r="G137" s="1117">
        <f>G123*G136/365</f>
        <v/>
      </c>
      <c r="H137" s="1117">
        <f>H123*H136/365</f>
        <v/>
      </c>
      <c r="I137" s="1117">
        <f>I123*I136/365</f>
        <v/>
      </c>
      <c r="J137" s="1117">
        <f>J123*J136/365</f>
        <v/>
      </c>
      <c r="K137" s="490" t="n"/>
    </row>
    <row r="138">
      <c r="A138" s="1104" t="inlineStr">
        <is>
          <t>Change in net working capital</t>
        </is>
      </c>
      <c r="B138" s="1105" t="inlineStr">
        <is>
          <t>Rs cr</t>
        </is>
      </c>
      <c r="C138" s="490" t="n"/>
      <c r="D138" s="1798">
        <f>D137-C137</f>
        <v/>
      </c>
      <c r="E138" s="1798">
        <f>E137-D137</f>
        <v/>
      </c>
      <c r="F138" s="1798">
        <f>F137-E137</f>
        <v/>
      </c>
      <c r="G138" s="1798">
        <f>G137-F137</f>
        <v/>
      </c>
      <c r="H138" s="1798">
        <f>H137-G137</f>
        <v/>
      </c>
      <c r="I138" s="1798">
        <f>I137-H137</f>
        <v/>
      </c>
      <c r="J138" s="1798">
        <f>J137-I137</f>
        <v/>
      </c>
      <c r="K138" s="490" t="n"/>
    </row>
    <row r="139">
      <c r="A139" s="1104" t="inlineStr">
        <is>
          <t>Unlevered free cash flow</t>
        </is>
      </c>
      <c r="B139" s="1105" t="inlineStr">
        <is>
          <t>Rs cr</t>
        </is>
      </c>
      <c r="C139" s="490" t="n"/>
      <c r="D139" s="1798">
        <f>D124-D130-D135-D138</f>
        <v/>
      </c>
      <c r="E139" s="1798">
        <f>E124-E130-E135-E138</f>
        <v/>
      </c>
      <c r="F139" s="1798">
        <f>F124-F130-F135-F138</f>
        <v/>
      </c>
      <c r="G139" s="1798">
        <f>G124-G130-G135-G138</f>
        <v/>
      </c>
      <c r="H139" s="1798">
        <f>H124-H130-H135-H138</f>
        <v/>
      </c>
      <c r="I139" s="1798">
        <f>I124-I130-I135-I138</f>
        <v/>
      </c>
      <c r="J139" s="1798">
        <f>J124-J130-J135-J138</f>
        <v/>
      </c>
      <c r="K139" s="490" t="n"/>
    </row>
    <row r="140">
      <c r="A140" s="1104" t="inlineStr">
        <is>
          <t>Exit EV/EBITDA multiple</t>
        </is>
      </c>
      <c r="B140" s="1105" t="inlineStr">
        <is>
          <t>x</t>
        </is>
      </c>
      <c r="C140" s="490" t="n"/>
      <c r="D140" s="1799">
        <f>'Model Assumptions'!E$110</f>
        <v/>
      </c>
      <c r="E140" s="1799">
        <f>'Model Assumptions'!F$110</f>
        <v/>
      </c>
      <c r="F140" s="1799">
        <f>'Model Assumptions'!G$110</f>
        <v/>
      </c>
      <c r="G140" s="1799">
        <f>'Model Assumptions'!H$110</f>
        <v/>
      </c>
      <c r="H140" s="1799">
        <f>'Model Assumptions'!I$110</f>
        <v/>
      </c>
      <c r="I140" s="1799">
        <f>'Model Assumptions'!J$110</f>
        <v/>
      </c>
      <c r="J140" s="1799">
        <f>'Model Assumptions'!K$110</f>
        <v/>
      </c>
      <c r="K140" s="490" t="n"/>
    </row>
    <row r="141">
      <c r="A141" s="1104" t="inlineStr">
        <is>
          <t>WACC (nominal, INR)</t>
        </is>
      </c>
      <c r="B141" s="1105" t="inlineStr">
        <is>
          <t>%</t>
        </is>
      </c>
      <c r="C141" s="490" t="n"/>
      <c r="D141" s="1789">
        <f>'Model Assumptions'!E$114</f>
        <v/>
      </c>
      <c r="E141" s="1789">
        <f>'Model Assumptions'!F$114</f>
        <v/>
      </c>
      <c r="F141" s="1789">
        <f>'Model Assumptions'!G$114</f>
        <v/>
      </c>
      <c r="G141" s="1789">
        <f>'Model Assumptions'!H$114</f>
        <v/>
      </c>
      <c r="H141" s="1789">
        <f>'Model Assumptions'!I$114</f>
        <v/>
      </c>
      <c r="I141" s="1789">
        <f>'Model Assumptions'!J$114</f>
        <v/>
      </c>
      <c r="J141" s="1789">
        <f>'Model Assumptions'!K$114</f>
        <v/>
      </c>
      <c r="K141" s="490" t="n"/>
    </row>
    <row r="142">
      <c r="A142" s="1104" t="inlineStr">
        <is>
          <t>Finished steel imports - driver</t>
        </is>
      </c>
      <c r="B142" s="1105" t="inlineStr">
        <is>
          <t>Mt</t>
        </is>
      </c>
      <c r="C142" s="1792">
        <f>'Trade Model'!$C$68</f>
        <v/>
      </c>
      <c r="D142" s="1792">
        <f>'Model Assumptions'!E$118</f>
        <v/>
      </c>
      <c r="E142" s="1792">
        <f>'Model Assumptions'!F$118</f>
        <v/>
      </c>
      <c r="F142" s="1792">
        <f>'Model Assumptions'!G$118</f>
        <v/>
      </c>
      <c r="G142" s="1792">
        <f>'Model Assumptions'!H$118</f>
        <v/>
      </c>
      <c r="H142" s="1792">
        <f>'Model Assumptions'!I$118</f>
        <v/>
      </c>
      <c r="I142" s="1792">
        <f>'Model Assumptions'!J$118</f>
        <v/>
      </c>
      <c r="J142" s="1792">
        <f>'Model Assumptions'!K$118</f>
        <v/>
      </c>
      <c r="K142" s="490" t="n"/>
    </row>
    <row r="143">
      <c r="A143" s="1104" t="inlineStr">
        <is>
          <t>Shortfall routed from the capacity ceiling</t>
        </is>
      </c>
      <c r="B143" s="1105" t="inlineStr">
        <is>
          <t>Mt</t>
        </is>
      </c>
      <c r="C143" s="1792">
        <f>0</f>
        <v/>
      </c>
      <c r="D143" s="1793">
        <f>MAX(0,D93-D105)</f>
        <v/>
      </c>
      <c r="E143" s="1793">
        <f>MAX(0,E93-E105)</f>
        <v/>
      </c>
      <c r="F143" s="1793">
        <f>MAX(0,F93-F105)</f>
        <v/>
      </c>
      <c r="G143" s="1793">
        <f>MAX(0,G93-G105)</f>
        <v/>
      </c>
      <c r="H143" s="1793">
        <f>MAX(0,H93-H105)</f>
        <v/>
      </c>
      <c r="I143" s="1793">
        <f>MAX(0,I93-I105)</f>
        <v/>
      </c>
      <c r="J143" s="1793">
        <f>MAX(0,J93-J105)</f>
        <v/>
      </c>
      <c r="K143" s="490" t="n"/>
    </row>
    <row r="144">
      <c r="A144" s="1104" t="inlineStr">
        <is>
          <t>Total finished steel imports</t>
        </is>
      </c>
      <c r="B144" s="1105" t="inlineStr">
        <is>
          <t>Mt</t>
        </is>
      </c>
      <c r="C144" s="1793">
        <f>C142+C143</f>
        <v/>
      </c>
      <c r="D144" s="1793">
        <f>D142+D143</f>
        <v/>
      </c>
      <c r="E144" s="1793">
        <f>E142+E143</f>
        <v/>
      </c>
      <c r="F144" s="1793">
        <f>F142+F143</f>
        <v/>
      </c>
      <c r="G144" s="1793">
        <f>G142+G143</f>
        <v/>
      </c>
      <c r="H144" s="1793">
        <f>H142+H143</f>
        <v/>
      </c>
      <c r="I144" s="1793">
        <f>I142+I143</f>
        <v/>
      </c>
      <c r="J144" s="1793">
        <f>J142+J143</f>
        <v/>
      </c>
      <c r="K144" s="490" t="n"/>
    </row>
    <row r="145">
      <c r="A145" s="1104" t="inlineStr">
        <is>
          <t>Finished steel exports</t>
        </is>
      </c>
      <c r="B145" s="1105" t="inlineStr">
        <is>
          <t>Mt</t>
        </is>
      </c>
      <c r="C145" s="1792">
        <f>'Trade Model'!$C$72</f>
        <v/>
      </c>
      <c r="D145" s="1793">
        <f>D142+D91</f>
        <v/>
      </c>
      <c r="E145" s="1793">
        <f>E142+E91</f>
        <v/>
      </c>
      <c r="F145" s="1793">
        <f>F142+F91</f>
        <v/>
      </c>
      <c r="G145" s="1793">
        <f>G142+G91</f>
        <v/>
      </c>
      <c r="H145" s="1793">
        <f>H142+H91</f>
        <v/>
      </c>
      <c r="I145" s="1793">
        <f>I142+I91</f>
        <v/>
      </c>
      <c r="J145" s="1793">
        <f>J142+J91</f>
        <v/>
      </c>
      <c r="K145" s="490" t="n"/>
    </row>
    <row r="146">
      <c r="A146" s="1104" t="inlineStr">
        <is>
          <t>Import penetration</t>
        </is>
      </c>
      <c r="B146" s="1105" t="inlineStr">
        <is>
          <t>% of consumption</t>
        </is>
      </c>
      <c r="C146" s="1791">
        <f>C144/C90</f>
        <v/>
      </c>
      <c r="D146" s="1791">
        <f>D144/D90</f>
        <v/>
      </c>
      <c r="E146" s="1791">
        <f>E144/E90</f>
        <v/>
      </c>
      <c r="F146" s="1791">
        <f>F144/F90</f>
        <v/>
      </c>
      <c r="G146" s="1791">
        <f>G144/G90</f>
        <v/>
      </c>
      <c r="H146" s="1791">
        <f>H144/H90</f>
        <v/>
      </c>
      <c r="I146" s="1791">
        <f>I144/I90</f>
        <v/>
      </c>
      <c r="J146" s="1791">
        <f>J144/J90</f>
        <v/>
      </c>
      <c r="K146" s="490" t="n"/>
    </row>
    <row r="147">
      <c r="A147" s="1104" t="inlineStr">
        <is>
          <t>Per capita finished steel consumption</t>
        </is>
      </c>
      <c r="B147" s="1105" t="inlineStr">
        <is>
          <t>kg</t>
        </is>
      </c>
      <c r="C147" s="1792">
        <f>'Steel Demand Model'!$C$80</f>
        <v/>
      </c>
      <c r="D147" s="1793">
        <f>D90/'Steel Demand Model'!D$78</f>
        <v/>
      </c>
      <c r="E147" s="1793">
        <f>E90/'Steel Demand Model'!E$78</f>
        <v/>
      </c>
      <c r="F147" s="1793">
        <f>F90/'Steel Demand Model'!F$78</f>
        <v/>
      </c>
      <c r="G147" s="1793">
        <f>G90/'Steel Demand Model'!G$78</f>
        <v/>
      </c>
      <c r="H147" s="1793">
        <f>H90/'Steel Demand Model'!H$78</f>
        <v/>
      </c>
      <c r="I147" s="1793">
        <f>I90/'Steel Demand Model'!I$78</f>
        <v/>
      </c>
      <c r="J147" s="1793">
        <f>J90/'Steel Demand Model'!J$78</f>
        <v/>
      </c>
      <c r="K147" s="490" t="n"/>
    </row>
    <row r="148">
      <c r="A148" s="1104" t="inlineStr">
        <is>
          <t>Enterprise value at the exit multiple (terminal-year proxy)</t>
        </is>
      </c>
      <c r="B148" s="1105" t="inlineStr">
        <is>
          <t>Rs cr</t>
        </is>
      </c>
      <c r="C148" s="490" t="n"/>
      <c r="D148" s="1117">
        <f>D124*D140</f>
        <v/>
      </c>
      <c r="E148" s="1117">
        <f>E124*E140</f>
        <v/>
      </c>
      <c r="F148" s="1117">
        <f>F124*F140</f>
        <v/>
      </c>
      <c r="G148" s="1117">
        <f>G124*G140</f>
        <v/>
      </c>
      <c r="H148" s="1117">
        <f>H124*H140</f>
        <v/>
      </c>
      <c r="I148" s="1117">
        <f>I124*I140</f>
        <v/>
      </c>
      <c r="J148" s="1117">
        <f>J124*J140</f>
        <v/>
      </c>
      <c r="K148" s="490" t="n"/>
    </row>
    <row r="149">
      <c r="A149" s="1104" t="inlineStr">
        <is>
          <t>NOPAT</t>
        </is>
      </c>
      <c r="B149" s="1105" t="inlineStr">
        <is>
          <t>Rs cr</t>
        </is>
      </c>
      <c r="C149" s="490" t="n"/>
      <c r="D149" s="1798">
        <f>D128*(1-D129)</f>
        <v/>
      </c>
      <c r="E149" s="1798">
        <f>E128*(1-E129)</f>
        <v/>
      </c>
      <c r="F149" s="1798">
        <f>F128*(1-F129)</f>
        <v/>
      </c>
      <c r="G149" s="1798">
        <f>G128*(1-G129)</f>
        <v/>
      </c>
      <c r="H149" s="1798">
        <f>H128*(1-H129)</f>
        <v/>
      </c>
      <c r="I149" s="1798">
        <f>I128*(1-I129)</f>
        <v/>
      </c>
      <c r="J149" s="1798">
        <f>J128*(1-J129)</f>
        <v/>
      </c>
      <c r="K149" s="490" t="n"/>
    </row>
    <row r="150">
      <c r="A150" s="1104" t="inlineStr">
        <is>
          <t>Invested capital (proxy)</t>
        </is>
      </c>
      <c r="B150" s="1105" t="inlineStr">
        <is>
          <t>Rs cr</t>
        </is>
      </c>
      <c r="C150" s="490" t="n"/>
      <c r="D150" s="1117">
        <f>220.4*D131/10+D137</f>
        <v/>
      </c>
      <c r="E150" s="1117">
        <f>220.4*E131/10+E137</f>
        <v/>
      </c>
      <c r="F150" s="1117">
        <f>220.4*F131/10+F137</f>
        <v/>
      </c>
      <c r="G150" s="1117">
        <f>220.4*G131/10+G137</f>
        <v/>
      </c>
      <c r="H150" s="1117">
        <f>220.4*H131/10+H137</f>
        <v/>
      </c>
      <c r="I150" s="1117">
        <f>220.4*I131/10+I137</f>
        <v/>
      </c>
      <c r="J150" s="1117">
        <f>220.4*J131/10+J137</f>
        <v/>
      </c>
      <c r="K150" s="490" t="n"/>
    </row>
    <row r="151">
      <c r="A151" s="1104" t="inlineStr">
        <is>
          <t>ROIC (indicative)</t>
        </is>
      </c>
      <c r="B151" s="1105" t="inlineStr">
        <is>
          <t>%</t>
        </is>
      </c>
      <c r="C151" s="490" t="n"/>
      <c r="D151" s="1791">
        <f>IFERROR(D149/D150,"")</f>
        <v/>
      </c>
      <c r="E151" s="1791">
        <f>IFERROR(E149/E150,"")</f>
        <v/>
      </c>
      <c r="F151" s="1791">
        <f>IFERROR(F149/F150,"")</f>
        <v/>
      </c>
      <c r="G151" s="1791">
        <f>IFERROR(G149/G150,"")</f>
        <v/>
      </c>
      <c r="H151" s="1791">
        <f>IFERROR(H149/H150,"")</f>
        <v/>
      </c>
      <c r="I151" s="1791">
        <f>IFERROR(I149/I150,"")</f>
        <v/>
      </c>
      <c r="J151" s="1791">
        <f>IFERROR(J149/J150,"")</f>
        <v/>
      </c>
      <c r="K151" s="490" t="n"/>
    </row>
    <row r="152">
      <c r="A152" s="1300" t="inlineStr">
        <is>
          <t>BULL CASE</t>
        </is>
      </c>
      <c r="B152" s="1342" t="n"/>
      <c r="C152" s="1342" t="n"/>
      <c r="D152" s="1342" t="n"/>
      <c r="E152" s="1342" t="n"/>
      <c r="F152" s="1342" t="n"/>
      <c r="G152" s="1342" t="n"/>
      <c r="H152" s="1342" t="n"/>
      <c r="I152" s="1342" t="n"/>
      <c r="J152" s="1342" t="n"/>
      <c r="K152" s="1360" t="n"/>
    </row>
    <row r="153">
      <c r="A153" s="1104" t="inlineStr">
        <is>
          <t>India real GDP growth</t>
        </is>
      </c>
      <c r="B153" s="1105" t="inlineStr">
        <is>
          <t>%</t>
        </is>
      </c>
      <c r="C153" s="1789">
        <f>'Model Assumptions'!$D$8</f>
        <v/>
      </c>
      <c r="D153" s="1789">
        <f>'Model Assumptions'!E39</f>
        <v/>
      </c>
      <c r="E153" s="1789">
        <f>'Model Assumptions'!F39</f>
        <v/>
      </c>
      <c r="F153" s="1789">
        <f>'Model Assumptions'!G39</f>
        <v/>
      </c>
      <c r="G153" s="1789">
        <f>'Model Assumptions'!H39</f>
        <v/>
      </c>
      <c r="H153" s="1789">
        <f>'Model Assumptions'!I39</f>
        <v/>
      </c>
      <c r="I153" s="1789">
        <f>'Model Assumptions'!J39</f>
        <v/>
      </c>
      <c r="J153" s="1789">
        <f>'Model Assumptions'!K39</f>
        <v/>
      </c>
      <c r="K153" s="490" t="n"/>
    </row>
    <row r="154">
      <c r="A154" s="1104" t="inlineStr">
        <is>
          <t>Steel demand elasticity to GDP</t>
        </is>
      </c>
      <c r="B154" s="1105" t="inlineStr">
        <is>
          <t>x</t>
        </is>
      </c>
      <c r="C154" s="1790">
        <f>'Model Assumptions'!$D$9</f>
        <v/>
      </c>
      <c r="D154" s="1790">
        <f>'Model Assumptions'!E$43</f>
        <v/>
      </c>
      <c r="E154" s="1790">
        <f>'Model Assumptions'!F$43</f>
        <v/>
      </c>
      <c r="F154" s="1790">
        <f>'Model Assumptions'!G$43</f>
        <v/>
      </c>
      <c r="G154" s="1790">
        <f>'Model Assumptions'!H$43</f>
        <v/>
      </c>
      <c r="H154" s="1790">
        <f>'Model Assumptions'!I$43</f>
        <v/>
      </c>
      <c r="I154" s="1790">
        <f>'Model Assumptions'!J$43</f>
        <v/>
      </c>
      <c r="J154" s="1790">
        <f>'Model Assumptions'!K$43</f>
        <v/>
      </c>
      <c r="K154" s="490" t="n"/>
    </row>
    <row r="155">
      <c r="A155" s="1104" t="inlineStr">
        <is>
          <t>Implied consumption growth</t>
        </is>
      </c>
      <c r="B155" s="1105" t="inlineStr">
        <is>
          <t>%</t>
        </is>
      </c>
      <c r="C155" s="1791">
        <f>C153*C154</f>
        <v/>
      </c>
      <c r="D155" s="1791">
        <f>D153*D154</f>
        <v/>
      </c>
      <c r="E155" s="1791">
        <f>E153*E154</f>
        <v/>
      </c>
      <c r="F155" s="1791">
        <f>F153*F154</f>
        <v/>
      </c>
      <c r="G155" s="1791">
        <f>G153*G154</f>
        <v/>
      </c>
      <c r="H155" s="1791">
        <f>H153*H154</f>
        <v/>
      </c>
      <c r="I155" s="1791">
        <f>I153*I154</f>
        <v/>
      </c>
      <c r="J155" s="1791">
        <f>J153*J154</f>
        <v/>
      </c>
      <c r="K155" s="490" t="n"/>
    </row>
    <row r="156">
      <c r="A156" s="1104" t="inlineStr">
        <is>
          <t>Apparent finished steel consumption</t>
        </is>
      </c>
      <c r="B156" s="1105" t="inlineStr">
        <is>
          <t>Mt</t>
        </is>
      </c>
      <c r="C156" s="1792">
        <f>'Steel Demand Model'!C75</f>
        <v/>
      </c>
      <c r="D156" s="1793">
        <f>C156*(1+D155)</f>
        <v/>
      </c>
      <c r="E156" s="1793">
        <f>D156*(1+E155)</f>
        <v/>
      </c>
      <c r="F156" s="1793">
        <f>E156*(1+F155)</f>
        <v/>
      </c>
      <c r="G156" s="1793">
        <f>F156*(1+G155)</f>
        <v/>
      </c>
      <c r="H156" s="1793">
        <f>G156*(1+H155)</f>
        <v/>
      </c>
      <c r="I156" s="1793">
        <f>H156*(1+I155)</f>
        <v/>
      </c>
      <c r="J156" s="1793">
        <f>I156*(1+J155)</f>
        <v/>
      </c>
      <c r="K156" s="490" t="n"/>
    </row>
    <row r="157">
      <c r="A157" s="1104" t="inlineStr">
        <is>
          <t>Net finished steel exports</t>
        </is>
      </c>
      <c r="B157" s="1105" t="inlineStr">
        <is>
          <t>Mt</t>
        </is>
      </c>
      <c r="C157" s="1794">
        <f>'Steel Supply Model'!C79</f>
        <v/>
      </c>
      <c r="D157" s="1794">
        <f>'Model Assumptions'!E$63</f>
        <v/>
      </c>
      <c r="E157" s="1794">
        <f>'Model Assumptions'!F$63</f>
        <v/>
      </c>
      <c r="F157" s="1794">
        <f>'Model Assumptions'!G$63</f>
        <v/>
      </c>
      <c r="G157" s="1794">
        <f>'Model Assumptions'!H$63</f>
        <v/>
      </c>
      <c r="H157" s="1794">
        <f>'Model Assumptions'!I$63</f>
        <v/>
      </c>
      <c r="I157" s="1794">
        <f>'Model Assumptions'!J$63</f>
        <v/>
      </c>
      <c r="J157" s="1794">
        <f>'Model Assumptions'!K$63</f>
        <v/>
      </c>
      <c r="K157" s="490" t="n"/>
    </row>
    <row r="158">
      <c r="A158" s="1104" t="inlineStr">
        <is>
          <t>Variation in stock</t>
        </is>
      </c>
      <c r="B158" s="1105" t="inlineStr">
        <is>
          <t>Mt</t>
        </is>
      </c>
      <c r="C158" s="1794">
        <f>'Steel Supply Model'!$C$80</f>
        <v/>
      </c>
      <c r="D158" s="1794">
        <f>'Model Assumptions'!E$67</f>
        <v/>
      </c>
      <c r="E158" s="1794">
        <f>'Model Assumptions'!F$67</f>
        <v/>
      </c>
      <c r="F158" s="1794">
        <f>'Model Assumptions'!G$67</f>
        <v/>
      </c>
      <c r="G158" s="1794">
        <f>'Model Assumptions'!H$67</f>
        <v/>
      </c>
      <c r="H158" s="1794">
        <f>'Model Assumptions'!I$67</f>
        <v/>
      </c>
      <c r="I158" s="1794">
        <f>'Model Assumptions'!J$67</f>
        <v/>
      </c>
      <c r="J158" s="1794">
        <f>'Model Assumptions'!K$67</f>
        <v/>
      </c>
      <c r="K158" s="490" t="n"/>
    </row>
    <row r="159">
      <c r="A159" s="1104" t="inlineStr">
        <is>
          <t>Required finished steel production</t>
        </is>
      </c>
      <c r="B159" s="1105" t="inlineStr">
        <is>
          <t>Mt</t>
        </is>
      </c>
      <c r="C159" s="1793">
        <f>C156+C157+C158</f>
        <v/>
      </c>
      <c r="D159" s="1793">
        <f>D156+D157+D158</f>
        <v/>
      </c>
      <c r="E159" s="1793">
        <f>E156+E157+E158</f>
        <v/>
      </c>
      <c r="F159" s="1793">
        <f>F156+F157+F158</f>
        <v/>
      </c>
      <c r="G159" s="1793">
        <f>G156+G157+G158</f>
        <v/>
      </c>
      <c r="H159" s="1793">
        <f>H156+H157+H158</f>
        <v/>
      </c>
      <c r="I159" s="1793">
        <f>I156+I157+I158</f>
        <v/>
      </c>
      <c r="J159" s="1793">
        <f>J156+J157+J158</f>
        <v/>
      </c>
      <c r="K159" s="490" t="n"/>
    </row>
    <row r="160">
      <c r="A160" s="1104" t="inlineStr">
        <is>
          <t>Crude-to-finished steel ratio</t>
        </is>
      </c>
      <c r="B160" s="1105" t="inlineStr">
        <is>
          <t>x</t>
        </is>
      </c>
      <c r="C160" s="1795">
        <f>'Steel Supply Model'!C82</f>
        <v/>
      </c>
      <c r="D160" s="1795">
        <f>'Model Assumptions'!E$59</f>
        <v/>
      </c>
      <c r="E160" s="1795">
        <f>'Model Assumptions'!F$59</f>
        <v/>
      </c>
      <c r="F160" s="1795">
        <f>'Model Assumptions'!G$59</f>
        <v/>
      </c>
      <c r="G160" s="1795">
        <f>'Model Assumptions'!H$59</f>
        <v/>
      </c>
      <c r="H160" s="1795">
        <f>'Model Assumptions'!I$59</f>
        <v/>
      </c>
      <c r="I160" s="1795">
        <f>'Model Assumptions'!J$59</f>
        <v/>
      </c>
      <c r="J160" s="1795">
        <f>'Model Assumptions'!K$59</f>
        <v/>
      </c>
      <c r="K160" s="490" t="n"/>
    </row>
    <row r="161">
      <c r="A161" s="1104" t="inlineStr">
        <is>
          <t>Unconstrained crude steel production</t>
        </is>
      </c>
      <c r="B161" s="1105" t="inlineStr">
        <is>
          <t>Mt</t>
        </is>
      </c>
      <c r="C161" s="1793">
        <f>C159*C160</f>
        <v/>
      </c>
      <c r="D161" s="1793">
        <f>D159*D160</f>
        <v/>
      </c>
      <c r="E161" s="1793">
        <f>E159*E160</f>
        <v/>
      </c>
      <c r="F161" s="1793">
        <f>F159*F160</f>
        <v/>
      </c>
      <c r="G161" s="1793">
        <f>G159*G160</f>
        <v/>
      </c>
      <c r="H161" s="1793">
        <f>H159*H160</f>
        <v/>
      </c>
      <c r="I161" s="1793">
        <f>I159*I160</f>
        <v/>
      </c>
      <c r="J161" s="1793">
        <f>J159*J160</f>
        <v/>
      </c>
      <c r="K161" s="490" t="n"/>
    </row>
    <row r="162">
      <c r="A162" s="1104" t="inlineStr">
        <is>
          <t>Gross announced capacity additions</t>
        </is>
      </c>
      <c r="B162" s="1105" t="inlineStr">
        <is>
          <t>Mtpa</t>
        </is>
      </c>
      <c r="C162" s="1122">
        <f>'Capacity Expansion Tracker'!$D$89</f>
        <v/>
      </c>
      <c r="D162" s="1122">
        <f>'Capacity Expansion Tracker'!$E$89</f>
        <v/>
      </c>
      <c r="E162" s="1122">
        <f>'Capacity Expansion Tracker'!$F$89</f>
        <v/>
      </c>
      <c r="F162" s="1122">
        <f>'Capacity Expansion Tracker'!$G$89</f>
        <v/>
      </c>
      <c r="G162" s="1122">
        <f>'Capacity Expansion Tracker'!$H$89</f>
        <v/>
      </c>
      <c r="H162" s="1122">
        <f>'Capacity Expansion Tracker'!$I$89</f>
        <v/>
      </c>
      <c r="I162" s="1122">
        <f>'Capacity Expansion Tracker'!$J$89</f>
        <v/>
      </c>
      <c r="J162" s="1122">
        <f>'Capacity Expansion Tracker'!$K$89</f>
        <v/>
      </c>
      <c r="K162" s="490" t="n"/>
    </row>
    <row r="163">
      <c r="A163" s="1104" t="inlineStr">
        <is>
          <t>Pipeline delivery factor</t>
        </is>
      </c>
      <c r="B163" s="1105" t="inlineStr">
        <is>
          <t>%</t>
        </is>
      </c>
      <c r="C163" s="490" t="n"/>
      <c r="D163" s="1113">
        <f>'Model Assumptions'!E$55</f>
        <v/>
      </c>
      <c r="E163" s="1113">
        <f>'Model Assumptions'!F$55</f>
        <v/>
      </c>
      <c r="F163" s="1113">
        <f>'Model Assumptions'!G$55</f>
        <v/>
      </c>
      <c r="G163" s="1113">
        <f>'Model Assumptions'!H$55</f>
        <v/>
      </c>
      <c r="H163" s="1113">
        <f>'Model Assumptions'!I$55</f>
        <v/>
      </c>
      <c r="I163" s="1113">
        <f>'Model Assumptions'!J$55</f>
        <v/>
      </c>
      <c r="J163" s="1113">
        <f>'Model Assumptions'!K$55</f>
        <v/>
      </c>
      <c r="K163" s="490" t="n"/>
    </row>
    <row r="164">
      <c r="A164" s="1104" t="inlineStr">
        <is>
          <t>Secondary and unattributed additions</t>
        </is>
      </c>
      <c r="B164" s="1105" t="inlineStr">
        <is>
          <t>Mtpa</t>
        </is>
      </c>
      <c r="C164" s="1792">
        <f>'Capacity Forecast'!C94</f>
        <v/>
      </c>
      <c r="D164" s="1792">
        <f>'Model Assumptions'!E$123</f>
        <v/>
      </c>
      <c r="E164" s="1792">
        <f>'Model Assumptions'!F$123</f>
        <v/>
      </c>
      <c r="F164" s="1792">
        <f>'Model Assumptions'!G$123</f>
        <v/>
      </c>
      <c r="G164" s="1792">
        <f>'Model Assumptions'!H$123</f>
        <v/>
      </c>
      <c r="H164" s="1792">
        <f>'Model Assumptions'!I$123</f>
        <v/>
      </c>
      <c r="I164" s="1792">
        <f>'Model Assumptions'!J$123</f>
        <v/>
      </c>
      <c r="J164" s="1792">
        <f>'Model Assumptions'!K$123</f>
        <v/>
      </c>
      <c r="K164" s="490" t="n"/>
    </row>
    <row r="165">
      <c r="A165" s="1104" t="inlineStr">
        <is>
          <t>Total capacity additions</t>
        </is>
      </c>
      <c r="B165" s="1105" t="inlineStr">
        <is>
          <t>Mtpa</t>
        </is>
      </c>
      <c r="C165" s="1792">
        <f>'Capacity Forecast'!C95</f>
        <v/>
      </c>
      <c r="D165" s="1793">
        <f>D162*D163+D164</f>
        <v/>
      </c>
      <c r="E165" s="1793">
        <f>E162*E163+E164</f>
        <v/>
      </c>
      <c r="F165" s="1793">
        <f>F162*F163+F164</f>
        <v/>
      </c>
      <c r="G165" s="1793">
        <f>G162*G163+G164</f>
        <v/>
      </c>
      <c r="H165" s="1793">
        <f>H162*H163+H164</f>
        <v/>
      </c>
      <c r="I165" s="1793">
        <f>I162*I163+I164</f>
        <v/>
      </c>
      <c r="J165" s="1793">
        <f>J162*J163+J164</f>
        <v/>
      </c>
      <c r="K165" s="490" t="n"/>
    </row>
    <row r="166">
      <c r="A166" s="1104" t="inlineStr">
        <is>
          <t>Closing crude steel capacity</t>
        </is>
      </c>
      <c r="B166" s="1105" t="inlineStr">
        <is>
          <t>Mtpa</t>
        </is>
      </c>
      <c r="C166" s="1792">
        <f>'Capacity Forecast'!C96</f>
        <v/>
      </c>
      <c r="D166" s="1793">
        <f>C166+D165</f>
        <v/>
      </c>
      <c r="E166" s="1793">
        <f>D166+E165</f>
        <v/>
      </c>
      <c r="F166" s="1793">
        <f>E166+F165</f>
        <v/>
      </c>
      <c r="G166" s="1793">
        <f>F166+G165</f>
        <v/>
      </c>
      <c r="H166" s="1793">
        <f>G166+H165</f>
        <v/>
      </c>
      <c r="I166" s="1793">
        <f>H166+I165</f>
        <v/>
      </c>
      <c r="J166" s="1793">
        <f>I166+J165</f>
        <v/>
      </c>
      <c r="K166" s="490" t="n"/>
    </row>
    <row r="167">
      <c r="A167" s="1104" t="inlineStr">
        <is>
          <t>Maximum practical utilisation</t>
        </is>
      </c>
      <c r="B167" s="1105" t="inlineStr">
        <is>
          <t>%</t>
        </is>
      </c>
      <c r="C167" s="1113">
        <f>'Model Assumptions'!$D$32</f>
        <v/>
      </c>
      <c r="D167" s="1113">
        <f>'Model Assumptions'!E$135</f>
        <v/>
      </c>
      <c r="E167" s="1113">
        <f>'Model Assumptions'!F$135</f>
        <v/>
      </c>
      <c r="F167" s="1113">
        <f>'Model Assumptions'!G$135</f>
        <v/>
      </c>
      <c r="G167" s="1113">
        <f>'Model Assumptions'!H$135</f>
        <v/>
      </c>
      <c r="H167" s="1113">
        <f>'Model Assumptions'!I$135</f>
        <v/>
      </c>
      <c r="I167" s="1113">
        <f>'Model Assumptions'!J$135</f>
        <v/>
      </c>
      <c r="J167" s="1113">
        <f>'Model Assumptions'!K$135</f>
        <v/>
      </c>
      <c r="K167" s="490" t="n"/>
    </row>
    <row r="168">
      <c r="A168" s="1104" t="inlineStr">
        <is>
          <t>Maximum crude steel production</t>
        </is>
      </c>
      <c r="B168" s="1105" t="inlineStr">
        <is>
          <t>Mt</t>
        </is>
      </c>
      <c r="C168" s="1793">
        <f>C166*C167</f>
        <v/>
      </c>
      <c r="D168" s="1793">
        <f>D166*D167</f>
        <v/>
      </c>
      <c r="E168" s="1793">
        <f>E166*E167</f>
        <v/>
      </c>
      <c r="F168" s="1793">
        <f>F166*F167</f>
        <v/>
      </c>
      <c r="G168" s="1793">
        <f>G166*G167</f>
        <v/>
      </c>
      <c r="H168" s="1793">
        <f>H166*H167</f>
        <v/>
      </c>
      <c r="I168" s="1793">
        <f>I166*I167</f>
        <v/>
      </c>
      <c r="J168" s="1793">
        <f>J166*J167</f>
        <v/>
      </c>
      <c r="K168" s="490" t="n"/>
    </row>
    <row r="169">
      <c r="A169" s="1104" t="inlineStr">
        <is>
          <t>Crude steel production</t>
        </is>
      </c>
      <c r="B169" s="1105" t="inlineStr">
        <is>
          <t>Mt</t>
        </is>
      </c>
      <c r="C169" s="1792">
        <f>'Steel Supply Model'!C88</f>
        <v/>
      </c>
      <c r="D169" s="1793">
        <f>MIN(D161,D168)</f>
        <v/>
      </c>
      <c r="E169" s="1793">
        <f>MIN(E161,E168)</f>
        <v/>
      </c>
      <c r="F169" s="1793">
        <f>MIN(F161,F168)</f>
        <v/>
      </c>
      <c r="G169" s="1793">
        <f>MIN(G161,G168)</f>
        <v/>
      </c>
      <c r="H169" s="1793">
        <f>MIN(H161,H168)</f>
        <v/>
      </c>
      <c r="I169" s="1793">
        <f>MIN(I161,I168)</f>
        <v/>
      </c>
      <c r="J169" s="1793">
        <f>MIN(J161,J168)</f>
        <v/>
      </c>
      <c r="K169" s="490" t="n"/>
    </row>
    <row r="170">
      <c r="A170" s="1104" t="inlineStr">
        <is>
          <t>Capacity utilisation</t>
        </is>
      </c>
      <c r="B170" s="1105" t="inlineStr">
        <is>
          <t>%</t>
        </is>
      </c>
      <c r="C170" s="1791">
        <f>C169/C166</f>
        <v/>
      </c>
      <c r="D170" s="1791">
        <f>D169/D166</f>
        <v/>
      </c>
      <c r="E170" s="1791">
        <f>E169/E166</f>
        <v/>
      </c>
      <c r="F170" s="1791">
        <f>F169/F166</f>
        <v/>
      </c>
      <c r="G170" s="1791">
        <f>G169/G166</f>
        <v/>
      </c>
      <c r="H170" s="1791">
        <f>H169/H166</f>
        <v/>
      </c>
      <c r="I170" s="1791">
        <f>I169/I166</f>
        <v/>
      </c>
      <c r="J170" s="1791">
        <f>J169/J166</f>
        <v/>
      </c>
      <c r="K170" s="490" t="n"/>
    </row>
    <row r="171">
      <c r="A171" s="1104" t="inlineStr">
        <is>
          <t>Finished steel production</t>
        </is>
      </c>
      <c r="B171" s="1105" t="inlineStr">
        <is>
          <t>Mt</t>
        </is>
      </c>
      <c r="C171" s="1792">
        <f>'Steel Supply Model'!C90</f>
        <v/>
      </c>
      <c r="D171" s="1793">
        <f>D169/D160</f>
        <v/>
      </c>
      <c r="E171" s="1793">
        <f>E169/E160</f>
        <v/>
      </c>
      <c r="F171" s="1793">
        <f>F169/F160</f>
        <v/>
      </c>
      <c r="G171" s="1793">
        <f>G169/G160</f>
        <v/>
      </c>
      <c r="H171" s="1793">
        <f>H169/H160</f>
        <v/>
      </c>
      <c r="I171" s="1793">
        <f>I169/I160</f>
        <v/>
      </c>
      <c r="J171" s="1793">
        <f>J169/J160</f>
        <v/>
      </c>
      <c r="K171" s="490" t="n"/>
    </row>
    <row r="172">
      <c r="A172" s="1104" t="inlineStr">
        <is>
          <t>Blended realisation - scenario driver</t>
        </is>
      </c>
      <c r="B172" s="1105" t="inlineStr">
        <is>
          <t>Rs/t</t>
        </is>
      </c>
      <c r="C172" s="1114">
        <f>'Steel Price Forecast'!C72</f>
        <v/>
      </c>
      <c r="D172" s="1114">
        <f>'Model Assumptions'!E$71</f>
        <v/>
      </c>
      <c r="E172" s="1114">
        <f>'Model Assumptions'!F$71</f>
        <v/>
      </c>
      <c r="F172" s="1114">
        <f>'Model Assumptions'!G$71</f>
        <v/>
      </c>
      <c r="G172" s="1114">
        <f>'Model Assumptions'!H$71</f>
        <v/>
      </c>
      <c r="H172" s="1114">
        <f>'Model Assumptions'!I$71</f>
        <v/>
      </c>
      <c r="I172" s="1114">
        <f>'Model Assumptions'!J$71</f>
        <v/>
      </c>
      <c r="J172" s="1114">
        <f>'Model Assumptions'!K$71</f>
        <v/>
      </c>
      <c r="K172" s="490" t="n"/>
    </row>
    <row r="173">
      <c r="A173" s="1104" t="inlineStr">
        <is>
          <t>Normal capacity utilisation</t>
        </is>
      </c>
      <c r="B173" s="1105" t="inlineStr">
        <is>
          <t>%</t>
        </is>
      </c>
      <c r="C173" s="1113">
        <f>'Model Assumptions'!$D$31</f>
        <v/>
      </c>
      <c r="D173" s="1113">
        <f>'Model Assumptions'!E$131</f>
        <v/>
      </c>
      <c r="E173" s="1113">
        <f>'Model Assumptions'!F$131</f>
        <v/>
      </c>
      <c r="F173" s="1113">
        <f>'Model Assumptions'!G$131</f>
        <v/>
      </c>
      <c r="G173" s="1113">
        <f>'Model Assumptions'!H$131</f>
        <v/>
      </c>
      <c r="H173" s="1113">
        <f>'Model Assumptions'!I$131</f>
        <v/>
      </c>
      <c r="I173" s="1113">
        <f>'Model Assumptions'!J$131</f>
        <v/>
      </c>
      <c r="J173" s="1113">
        <f>'Model Assumptions'!K$131</f>
        <v/>
      </c>
      <c r="K173" s="490" t="n"/>
    </row>
    <row r="174">
      <c r="A174" s="1104" t="inlineStr">
        <is>
          <t>Price sensitivity to utilisation</t>
        </is>
      </c>
      <c r="B174" s="1105" t="inlineStr">
        <is>
          <t>x</t>
        </is>
      </c>
      <c r="C174" s="1790">
        <f>'Model Assumptions'!$D$30</f>
        <v/>
      </c>
      <c r="D174" s="1790">
        <f>'Model Assumptions'!E$127</f>
        <v/>
      </c>
      <c r="E174" s="1790">
        <f>'Model Assumptions'!F$127</f>
        <v/>
      </c>
      <c r="F174" s="1790">
        <f>'Model Assumptions'!G$127</f>
        <v/>
      </c>
      <c r="G174" s="1790">
        <f>'Model Assumptions'!H$127</f>
        <v/>
      </c>
      <c r="H174" s="1790">
        <f>'Model Assumptions'!I$127</f>
        <v/>
      </c>
      <c r="I174" s="1790">
        <f>'Model Assumptions'!J$127</f>
        <v/>
      </c>
      <c r="J174" s="1790">
        <f>'Model Assumptions'!K$127</f>
        <v/>
      </c>
      <c r="K174" s="490" t="n"/>
    </row>
    <row r="175">
      <c r="A175" s="1104" t="inlineStr">
        <is>
          <t>Price adjustment factor (lagged one year)</t>
        </is>
      </c>
      <c r="B175" s="1105" t="inlineStr">
        <is>
          <t>x</t>
        </is>
      </c>
      <c r="C175" s="1800">
        <f>1</f>
        <v/>
      </c>
      <c r="D175" s="1797">
        <f>1+D174*(C170-D173)</f>
        <v/>
      </c>
      <c r="E175" s="1797">
        <f>1+E174*(D170-E173)</f>
        <v/>
      </c>
      <c r="F175" s="1797">
        <f>1+F174*(E170-F173)</f>
        <v/>
      </c>
      <c r="G175" s="1797">
        <f>1+G174*(F170-G173)</f>
        <v/>
      </c>
      <c r="H175" s="1797">
        <f>1+H174*(G170-H173)</f>
        <v/>
      </c>
      <c r="I175" s="1797">
        <f>1+I174*(H170-I173)</f>
        <v/>
      </c>
      <c r="J175" s="1797">
        <f>1+J174*(I170-J173)</f>
        <v/>
      </c>
      <c r="K175" s="490" t="n"/>
    </row>
    <row r="176">
      <c r="A176" s="1104" t="inlineStr">
        <is>
          <t>Blended realisation - effective</t>
        </is>
      </c>
      <c r="B176" s="1105" t="inlineStr">
        <is>
          <t>Rs/t</t>
        </is>
      </c>
      <c r="C176" s="1114">
        <f>'Steel Price Forecast'!C72</f>
        <v/>
      </c>
      <c r="D176" s="1117">
        <f>D172*D175</f>
        <v/>
      </c>
      <c r="E176" s="1117">
        <f>E172*E175</f>
        <v/>
      </c>
      <c r="F176" s="1117">
        <f>F172*F175</f>
        <v/>
      </c>
      <c r="G176" s="1117">
        <f>G172*G175</f>
        <v/>
      </c>
      <c r="H176" s="1117">
        <f>H172*H175</f>
        <v/>
      </c>
      <c r="I176" s="1117">
        <f>I172*I175</f>
        <v/>
      </c>
      <c r="J176" s="1117">
        <f>J172*J175</f>
        <v/>
      </c>
      <c r="K176" s="490" t="n"/>
    </row>
    <row r="177">
      <c r="A177" s="1104" t="inlineStr">
        <is>
          <t>Iron ore 62% Fe CFR China</t>
        </is>
      </c>
      <c r="B177" s="1105" t="inlineStr">
        <is>
          <t>US$/dmt</t>
        </is>
      </c>
      <c r="C177" s="1792">
        <f>'Raw Material Forecast'!C61</f>
        <v/>
      </c>
      <c r="D177" s="1792">
        <f>'Model Assumptions'!E$75</f>
        <v/>
      </c>
      <c r="E177" s="1792">
        <f>'Model Assumptions'!F$75</f>
        <v/>
      </c>
      <c r="F177" s="1792">
        <f>'Model Assumptions'!G$75</f>
        <v/>
      </c>
      <c r="G177" s="1792">
        <f>'Model Assumptions'!H$75</f>
        <v/>
      </c>
      <c r="H177" s="1792">
        <f>'Model Assumptions'!I$75</f>
        <v/>
      </c>
      <c r="I177" s="1792">
        <f>'Model Assumptions'!J$75</f>
        <v/>
      </c>
      <c r="J177" s="1792">
        <f>'Model Assumptions'!K$75</f>
        <v/>
      </c>
      <c r="K177" s="490" t="n"/>
    </row>
    <row r="178">
      <c r="A178" s="1104" t="inlineStr">
        <is>
          <t>Premium HCC coking coal FOB Australia</t>
        </is>
      </c>
      <c r="B178" s="1105" t="inlineStr">
        <is>
          <t>US$/t</t>
        </is>
      </c>
      <c r="C178" s="1114">
        <f>'Raw Material Forecast'!C62</f>
        <v/>
      </c>
      <c r="D178" s="1114">
        <f>'Model Assumptions'!E$79</f>
        <v/>
      </c>
      <c r="E178" s="1114">
        <f>'Model Assumptions'!F$79</f>
        <v/>
      </c>
      <c r="F178" s="1114">
        <f>'Model Assumptions'!G$79</f>
        <v/>
      </c>
      <c r="G178" s="1114">
        <f>'Model Assumptions'!H$79</f>
        <v/>
      </c>
      <c r="H178" s="1114">
        <f>'Model Assumptions'!I$79</f>
        <v/>
      </c>
      <c r="I178" s="1114">
        <f>'Model Assumptions'!J$79</f>
        <v/>
      </c>
      <c r="J178" s="1114">
        <f>'Model Assumptions'!K$79</f>
        <v/>
      </c>
      <c r="K178" s="490" t="n"/>
    </row>
    <row r="179">
      <c r="A179" s="1104" t="inlineStr">
        <is>
          <t>USD/INR</t>
        </is>
      </c>
      <c r="B179" s="1105" t="inlineStr">
        <is>
          <t>Rs/US$</t>
        </is>
      </c>
      <c r="C179" s="1792">
        <f>'Raw Material Forecast'!C63</f>
        <v/>
      </c>
      <c r="D179" s="1792">
        <f>'Model Assumptions'!E$47</f>
        <v/>
      </c>
      <c r="E179" s="1792">
        <f>'Model Assumptions'!F$47</f>
        <v/>
      </c>
      <c r="F179" s="1792">
        <f>'Model Assumptions'!G$47</f>
        <v/>
      </c>
      <c r="G179" s="1792">
        <f>'Model Assumptions'!H$47</f>
        <v/>
      </c>
      <c r="H179" s="1792">
        <f>'Model Assumptions'!I$47</f>
        <v/>
      </c>
      <c r="I179" s="1792">
        <f>'Model Assumptions'!J$47</f>
        <v/>
      </c>
      <c r="J179" s="1792">
        <f>'Model Assumptions'!K$47</f>
        <v/>
      </c>
      <c r="K179" s="490" t="n"/>
    </row>
    <row r="180">
      <c r="A180" s="1104" t="inlineStr">
        <is>
          <t>Iron ore in rupees</t>
        </is>
      </c>
      <c r="B180" s="1105" t="inlineStr">
        <is>
          <t>Rs/dmt</t>
        </is>
      </c>
      <c r="C180" s="1114">
        <f>'Raw Material Forecast'!C65</f>
        <v/>
      </c>
      <c r="D180" s="1117">
        <f>D177*D179</f>
        <v/>
      </c>
      <c r="E180" s="1117">
        <f>E177*E179</f>
        <v/>
      </c>
      <c r="F180" s="1117">
        <f>F177*F179</f>
        <v/>
      </c>
      <c r="G180" s="1117">
        <f>G177*G179</f>
        <v/>
      </c>
      <c r="H180" s="1117">
        <f>H177*H179</f>
        <v/>
      </c>
      <c r="I180" s="1117">
        <f>I177*I179</f>
        <v/>
      </c>
      <c r="J180" s="1117">
        <f>J177*J179</f>
        <v/>
      </c>
      <c r="K180" s="490" t="n"/>
    </row>
    <row r="181">
      <c r="A181" s="1104" t="inlineStr">
        <is>
          <t>Coking coal in rupees</t>
        </is>
      </c>
      <c r="B181" s="1105" t="inlineStr">
        <is>
          <t>Rs/t</t>
        </is>
      </c>
      <c r="C181" s="1114">
        <f>'Raw Material Forecast'!C66</f>
        <v/>
      </c>
      <c r="D181" s="1117">
        <f>D178*D179</f>
        <v/>
      </c>
      <c r="E181" s="1117">
        <f>E178*E179</f>
        <v/>
      </c>
      <c r="F181" s="1117">
        <f>F178*F179</f>
        <v/>
      </c>
      <c r="G181" s="1117">
        <f>G178*G179</f>
        <v/>
      </c>
      <c r="H181" s="1117">
        <f>H178*H179</f>
        <v/>
      </c>
      <c r="I181" s="1117">
        <f>I178*I179</f>
        <v/>
      </c>
      <c r="J181" s="1117">
        <f>J178*J179</f>
        <v/>
      </c>
      <c r="K181" s="490" t="n"/>
    </row>
    <row r="182">
      <c r="A182" s="1104" t="inlineStr">
        <is>
          <t>Conversion cost inflation</t>
        </is>
      </c>
      <c r="B182" s="1105" t="inlineStr">
        <is>
          <t>%</t>
        </is>
      </c>
      <c r="C182" s="490" t="n"/>
      <c r="D182" s="1789">
        <f>'Model Assumptions'!E$83</f>
        <v/>
      </c>
      <c r="E182" s="1789">
        <f>'Model Assumptions'!F$83</f>
        <v/>
      </c>
      <c r="F182" s="1789">
        <f>'Model Assumptions'!G$83</f>
        <v/>
      </c>
      <c r="G182" s="1789">
        <f>'Model Assumptions'!H$83</f>
        <v/>
      </c>
      <c r="H182" s="1789">
        <f>'Model Assumptions'!I$83</f>
        <v/>
      </c>
      <c r="I182" s="1789">
        <f>'Model Assumptions'!J$83</f>
        <v/>
      </c>
      <c r="J182" s="1789">
        <f>'Model Assumptions'!K$83</f>
        <v/>
      </c>
      <c r="K182" s="490" t="n"/>
    </row>
    <row r="183">
      <c r="A183" s="1104" t="inlineStr">
        <is>
          <t>Conversion cost index</t>
        </is>
      </c>
      <c r="B183" s="1105" t="inlineStr">
        <is>
          <t>x</t>
        </is>
      </c>
      <c r="C183" s="1800">
        <f>1</f>
        <v/>
      </c>
      <c r="D183" s="1797">
        <f>C183*(1+D182)</f>
        <v/>
      </c>
      <c r="E183" s="1797">
        <f>D183*(1+E182)</f>
        <v/>
      </c>
      <c r="F183" s="1797">
        <f>E183*(1+F182)</f>
        <v/>
      </c>
      <c r="G183" s="1797">
        <f>F183*(1+G182)</f>
        <v/>
      </c>
      <c r="H183" s="1797">
        <f>G183*(1+H182)</f>
        <v/>
      </c>
      <c r="I183" s="1797">
        <f>H183*(1+I182)</f>
        <v/>
      </c>
      <c r="J183" s="1797">
        <f>I183*(1+J182)</f>
        <v/>
      </c>
      <c r="K183" s="490" t="n"/>
    </row>
    <row r="184">
      <c r="A184" s="1104" t="inlineStr">
        <is>
          <t>Iron ore weight in the raw material basket</t>
        </is>
      </c>
      <c r="B184" s="1105" t="inlineStr">
        <is>
          <t>%</t>
        </is>
      </c>
      <c r="C184" s="1113">
        <f>'Model Assumptions'!$D$21</f>
        <v/>
      </c>
      <c r="D184" s="1113">
        <f>'Model Assumptions'!E$91</f>
        <v/>
      </c>
      <c r="E184" s="1113">
        <f>'Model Assumptions'!F$91</f>
        <v/>
      </c>
      <c r="F184" s="1113">
        <f>'Model Assumptions'!G$91</f>
        <v/>
      </c>
      <c r="G184" s="1113">
        <f>'Model Assumptions'!H$91</f>
        <v/>
      </c>
      <c r="H184" s="1113">
        <f>'Model Assumptions'!I$91</f>
        <v/>
      </c>
      <c r="I184" s="1113">
        <f>'Model Assumptions'!J$91</f>
        <v/>
      </c>
      <c r="J184" s="1113">
        <f>'Model Assumptions'!K$91</f>
        <v/>
      </c>
      <c r="K184" s="490" t="n"/>
    </row>
    <row r="185">
      <c r="A185" s="1104" t="inlineStr">
        <is>
          <t>Raw material cost index</t>
        </is>
      </c>
      <c r="B185" s="1105" t="inlineStr">
        <is>
          <t>x</t>
        </is>
      </c>
      <c r="C185" s="1800">
        <f>1</f>
        <v/>
      </c>
      <c r="D185" s="1797">
        <f>D184*(D180/$C$183)+D184*(D181/$C$184)+(1-2*D184)*D183</f>
        <v/>
      </c>
      <c r="E185" s="1797">
        <f>E184*(E180/$C$183)+E184*(E181/$C$184)+(1-2*E184)*E183</f>
        <v/>
      </c>
      <c r="F185" s="1797">
        <f>F184*(F180/$C$183)+F184*(F181/$C$184)+(1-2*F184)*F183</f>
        <v/>
      </c>
      <c r="G185" s="1797">
        <f>G184*(G180/$C$183)+G184*(G181/$C$184)+(1-2*G184)*G183</f>
        <v/>
      </c>
      <c r="H185" s="1797">
        <f>H184*(H180/$C$183)+H184*(H181/$C$184)+(1-2*H184)*H183</f>
        <v/>
      </c>
      <c r="I185" s="1797">
        <f>I184*(I180/$C$183)+I184*(I181/$C$184)+(1-2*I184)*I183</f>
        <v/>
      </c>
      <c r="J185" s="1797">
        <f>J184*(J180/$C$183)+J184*(J181/$C$184)+(1-2*J184)*J183</f>
        <v/>
      </c>
      <c r="K185" s="490" t="n"/>
    </row>
    <row r="186">
      <c r="A186" s="1104" t="inlineStr">
        <is>
          <t>Raw material share of cash cost</t>
        </is>
      </c>
      <c r="B186" s="1105" t="inlineStr">
        <is>
          <t>%</t>
        </is>
      </c>
      <c r="C186" s="1113">
        <f>'Model Assumptions'!$D$20</f>
        <v/>
      </c>
      <c r="D186" s="1113">
        <f>'Model Assumptions'!E$87</f>
        <v/>
      </c>
      <c r="E186" s="1113">
        <f>'Model Assumptions'!F$87</f>
        <v/>
      </c>
      <c r="F186" s="1113">
        <f>'Model Assumptions'!G$87</f>
        <v/>
      </c>
      <c r="G186" s="1113">
        <f>'Model Assumptions'!H$87</f>
        <v/>
      </c>
      <c r="H186" s="1113">
        <f>'Model Assumptions'!I$87</f>
        <v/>
      </c>
      <c r="I186" s="1113">
        <f>'Model Assumptions'!J$87</f>
        <v/>
      </c>
      <c r="J186" s="1113">
        <f>'Model Assumptions'!K$87</f>
        <v/>
      </c>
      <c r="K186" s="490" t="n"/>
    </row>
    <row r="187">
      <c r="A187" s="1104" t="inlineStr">
        <is>
          <t>Industry cash cost per tonne</t>
        </is>
      </c>
      <c r="B187" s="1105" t="inlineStr">
        <is>
          <t>Rs/t</t>
        </is>
      </c>
      <c r="C187" s="1114">
        <f>'Cost Curve'!C65</f>
        <v/>
      </c>
      <c r="D187" s="1117">
        <f>$C$190*(D186*D185+(1-D186)*D183)</f>
        <v/>
      </c>
      <c r="E187" s="1117">
        <f>$C$190*(E186*E185+(1-E186)*E183)</f>
        <v/>
      </c>
      <c r="F187" s="1117">
        <f>$C$190*(F186*F185+(1-F186)*F183)</f>
        <v/>
      </c>
      <c r="G187" s="1117">
        <f>$C$190*(G186*G185+(1-G186)*G183)</f>
        <v/>
      </c>
      <c r="H187" s="1117">
        <f>$C$190*(H186*H185+(1-H186)*H183)</f>
        <v/>
      </c>
      <c r="I187" s="1117">
        <f>$C$190*(I186*I185+(1-I186)*I183)</f>
        <v/>
      </c>
      <c r="J187" s="1117">
        <f>$C$190*(J186*J185+(1-J186)*J183)</f>
        <v/>
      </c>
      <c r="K187" s="490" t="n"/>
    </row>
    <row r="188">
      <c r="A188" s="1104" t="inlineStr">
        <is>
          <t>Industry EBITDA per tonne</t>
        </is>
      </c>
      <c r="B188" s="1105" t="inlineStr">
        <is>
          <t>Rs/t</t>
        </is>
      </c>
      <c r="C188" s="1117">
        <f>C176-C187</f>
        <v/>
      </c>
      <c r="D188" s="1117">
        <f>D176-D187</f>
        <v/>
      </c>
      <c r="E188" s="1117">
        <f>E176-E187</f>
        <v/>
      </c>
      <c r="F188" s="1117">
        <f>F176-F187</f>
        <v/>
      </c>
      <c r="G188" s="1117">
        <f>G176-G187</f>
        <v/>
      </c>
      <c r="H188" s="1117">
        <f>H176-H187</f>
        <v/>
      </c>
      <c r="I188" s="1117">
        <f>I176-I187</f>
        <v/>
      </c>
      <c r="J188" s="1117">
        <f>J176-J187</f>
        <v/>
      </c>
      <c r="K188" s="490" t="n"/>
    </row>
    <row r="189">
      <c r="A189" s="1104" t="inlineStr">
        <is>
          <t>Industry revenue</t>
        </is>
      </c>
      <c r="B189" s="1105" t="inlineStr">
        <is>
          <t>Rs cr</t>
        </is>
      </c>
      <c r="C189" s="1114">
        <f>'Revenue Forecast'!C95</f>
        <v/>
      </c>
      <c r="D189" s="1117">
        <f>D171*D176/10</f>
        <v/>
      </c>
      <c r="E189" s="1117">
        <f>E171*E176/10</f>
        <v/>
      </c>
      <c r="F189" s="1117">
        <f>F171*F176/10</f>
        <v/>
      </c>
      <c r="G189" s="1117">
        <f>G171*G176/10</f>
        <v/>
      </c>
      <c r="H189" s="1117">
        <f>H171*H176/10</f>
        <v/>
      </c>
      <c r="I189" s="1117">
        <f>I171*I176/10</f>
        <v/>
      </c>
      <c r="J189" s="1117">
        <f>J171*J176/10</f>
        <v/>
      </c>
      <c r="K189" s="490" t="n"/>
    </row>
    <row r="190">
      <c r="A190" s="1104" t="inlineStr">
        <is>
          <t>Industry EBITDA</t>
        </is>
      </c>
      <c r="B190" s="1105" t="inlineStr">
        <is>
          <t>Rs cr</t>
        </is>
      </c>
      <c r="C190" s="1117">
        <f>C171*C188/10</f>
        <v/>
      </c>
      <c r="D190" s="1117">
        <f>D171*D188/10</f>
        <v/>
      </c>
      <c r="E190" s="1117">
        <f>E171*E188/10</f>
        <v/>
      </c>
      <c r="F190" s="1117">
        <f>F171*F188/10</f>
        <v/>
      </c>
      <c r="G190" s="1117">
        <f>G171*G188/10</f>
        <v/>
      </c>
      <c r="H190" s="1117">
        <f>H171*H188/10</f>
        <v/>
      </c>
      <c r="I190" s="1117">
        <f>I171*I188/10</f>
        <v/>
      </c>
      <c r="J190" s="1117">
        <f>J171*J188/10</f>
        <v/>
      </c>
      <c r="K190" s="490" t="n"/>
    </row>
    <row r="191">
      <c r="A191" s="1104" t="inlineStr">
        <is>
          <t>Industry EBITDA margin</t>
        </is>
      </c>
      <c r="B191" s="1105" t="inlineStr">
        <is>
          <t>%</t>
        </is>
      </c>
      <c r="C191" s="1791">
        <f>C188/C176</f>
        <v/>
      </c>
      <c r="D191" s="1791">
        <f>D188/D176</f>
        <v/>
      </c>
      <c r="E191" s="1791">
        <f>E188/E176</f>
        <v/>
      </c>
      <c r="F191" s="1791">
        <f>F188/F176</f>
        <v/>
      </c>
      <c r="G191" s="1791">
        <f>G188/G176</f>
        <v/>
      </c>
      <c r="H191" s="1791">
        <f>H188/H176</f>
        <v/>
      </c>
      <c r="I191" s="1791">
        <f>I188/I176</f>
        <v/>
      </c>
      <c r="J191" s="1791">
        <f>J188/J176</f>
        <v/>
      </c>
      <c r="K191" s="490" t="n"/>
    </row>
    <row r="192">
      <c r="A192" s="1104" t="inlineStr">
        <is>
          <t>Depreciation and amortisation</t>
        </is>
      </c>
      <c r="B192" s="1105" t="inlineStr">
        <is>
          <t>% of revenue</t>
        </is>
      </c>
      <c r="C192" s="1118">
        <f>'Cash Flow Model'!$C$92</f>
        <v/>
      </c>
      <c r="D192" s="1118">
        <f>'Model Assumptions'!E$139</f>
        <v/>
      </c>
      <c r="E192" s="1118">
        <f>'Model Assumptions'!F$139</f>
        <v/>
      </c>
      <c r="F192" s="1118">
        <f>'Model Assumptions'!G$139</f>
        <v/>
      </c>
      <c r="G192" s="1118">
        <f>'Model Assumptions'!H$139</f>
        <v/>
      </c>
      <c r="H192" s="1118">
        <f>'Model Assumptions'!I$139</f>
        <v/>
      </c>
      <c r="I192" s="1118">
        <f>'Model Assumptions'!J$139</f>
        <v/>
      </c>
      <c r="J192" s="1118">
        <f>'Model Assumptions'!K$139</f>
        <v/>
      </c>
      <c r="K192" s="490" t="n"/>
    </row>
    <row r="193">
      <c r="A193" s="1104" t="inlineStr">
        <is>
          <t>Depreciation and amortisation</t>
        </is>
      </c>
      <c r="B193" s="1105" t="inlineStr">
        <is>
          <t>Rs cr</t>
        </is>
      </c>
      <c r="C193" s="1117">
        <f>C189*C192</f>
        <v/>
      </c>
      <c r="D193" s="1117">
        <f>D189*D192</f>
        <v/>
      </c>
      <c r="E193" s="1117">
        <f>E189*E192</f>
        <v/>
      </c>
      <c r="F193" s="1117">
        <f>F189*F192</f>
        <v/>
      </c>
      <c r="G193" s="1117">
        <f>G189*G192</f>
        <v/>
      </c>
      <c r="H193" s="1117">
        <f>H189*H192</f>
        <v/>
      </c>
      <c r="I193" s="1117">
        <f>I189*I192</f>
        <v/>
      </c>
      <c r="J193" s="1117">
        <f>J189*J192</f>
        <v/>
      </c>
      <c r="K193" s="490" t="n"/>
    </row>
    <row r="194">
      <c r="A194" s="1104" t="inlineStr">
        <is>
          <t>EBIT</t>
        </is>
      </c>
      <c r="B194" s="1105" t="inlineStr">
        <is>
          <t>Rs cr</t>
        </is>
      </c>
      <c r="C194" s="1798">
        <f>C190-C193</f>
        <v/>
      </c>
      <c r="D194" s="1798">
        <f>D190-D193</f>
        <v/>
      </c>
      <c r="E194" s="1798">
        <f>E190-E193</f>
        <v/>
      </c>
      <c r="F194" s="1798">
        <f>F190-F193</f>
        <v/>
      </c>
      <c r="G194" s="1798">
        <f>G190-G193</f>
        <v/>
      </c>
      <c r="H194" s="1798">
        <f>H190-H193</f>
        <v/>
      </c>
      <c r="I194" s="1798">
        <f>I190-I193</f>
        <v/>
      </c>
      <c r="J194" s="1798">
        <f>J190-J193</f>
        <v/>
      </c>
      <c r="K194" s="490" t="n"/>
    </row>
    <row r="195">
      <c r="A195" s="1104" t="inlineStr">
        <is>
          <t>Effective tax rate</t>
        </is>
      </c>
      <c r="B195" s="1105" t="inlineStr">
        <is>
          <t>%</t>
        </is>
      </c>
      <c r="C195" s="1118">
        <f>'Cash Flow Model'!$C$95</f>
        <v/>
      </c>
      <c r="D195" s="1118">
        <f>'Model Assumptions'!E$95</f>
        <v/>
      </c>
      <c r="E195" s="1118">
        <f>'Model Assumptions'!F$95</f>
        <v/>
      </c>
      <c r="F195" s="1118">
        <f>'Model Assumptions'!G$95</f>
        <v/>
      </c>
      <c r="G195" s="1118">
        <f>'Model Assumptions'!H$95</f>
        <v/>
      </c>
      <c r="H195" s="1118">
        <f>'Model Assumptions'!I$95</f>
        <v/>
      </c>
      <c r="I195" s="1118">
        <f>'Model Assumptions'!J$95</f>
        <v/>
      </c>
      <c r="J195" s="1118">
        <f>'Model Assumptions'!K$95</f>
        <v/>
      </c>
      <c r="K195" s="490" t="n"/>
    </row>
    <row r="196">
      <c r="A196" s="1104" t="inlineStr">
        <is>
          <t>Cash tax</t>
        </is>
      </c>
      <c r="B196" s="1105" t="inlineStr">
        <is>
          <t>Rs cr</t>
        </is>
      </c>
      <c r="C196" s="1117">
        <f>MAX(0,C194)*C195</f>
        <v/>
      </c>
      <c r="D196" s="1117">
        <f>MAX(0,D194)*D195</f>
        <v/>
      </c>
      <c r="E196" s="1117">
        <f>MAX(0,E194)*E195</f>
        <v/>
      </c>
      <c r="F196" s="1117">
        <f>MAX(0,F194)*F195</f>
        <v/>
      </c>
      <c r="G196" s="1117">
        <f>MAX(0,G194)*G195</f>
        <v/>
      </c>
      <c r="H196" s="1117">
        <f>MAX(0,H194)*H195</f>
        <v/>
      </c>
      <c r="I196" s="1117">
        <f>MAX(0,I194)*I195</f>
        <v/>
      </c>
      <c r="J196" s="1117">
        <f>MAX(0,J194)*J195</f>
        <v/>
      </c>
      <c r="K196" s="490" t="n"/>
    </row>
    <row r="197">
      <c r="A197" s="1104" t="inlineStr">
        <is>
          <t>Capex intensity</t>
        </is>
      </c>
      <c r="B197" s="1105" t="inlineStr">
        <is>
          <t>Rs/t of capacity</t>
        </is>
      </c>
      <c r="C197" s="1114">
        <f>'Model Assumptions'!$D$23</f>
        <v/>
      </c>
      <c r="D197" s="1114">
        <f>'Model Assumptions'!E$99</f>
        <v/>
      </c>
      <c r="E197" s="1114">
        <f>'Model Assumptions'!F$99</f>
        <v/>
      </c>
      <c r="F197" s="1114">
        <f>'Model Assumptions'!G$99</f>
        <v/>
      </c>
      <c r="G197" s="1114">
        <f>'Model Assumptions'!H$99</f>
        <v/>
      </c>
      <c r="H197" s="1114">
        <f>'Model Assumptions'!I$99</f>
        <v/>
      </c>
      <c r="I197" s="1114">
        <f>'Model Assumptions'!J$99</f>
        <v/>
      </c>
      <c r="J197" s="1114">
        <f>'Model Assumptions'!K$99</f>
        <v/>
      </c>
      <c r="K197" s="490" t="n"/>
    </row>
    <row r="198">
      <c r="A198" s="1104" t="inlineStr">
        <is>
          <t>Growth capex</t>
        </is>
      </c>
      <c r="B198" s="1105" t="inlineStr">
        <is>
          <t>Rs cr</t>
        </is>
      </c>
      <c r="C198" s="490" t="n"/>
      <c r="D198" s="1117">
        <f>D165*D197/10</f>
        <v/>
      </c>
      <c r="E198" s="1117">
        <f>E165*E197/10</f>
        <v/>
      </c>
      <c r="F198" s="1117">
        <f>F165*F197/10</f>
        <v/>
      </c>
      <c r="G198" s="1117">
        <f>G165*G197/10</f>
        <v/>
      </c>
      <c r="H198" s="1117">
        <f>H165*H197/10</f>
        <v/>
      </c>
      <c r="I198" s="1117">
        <f>I165*I197/10</f>
        <v/>
      </c>
      <c r="J198" s="1117">
        <f>J165*J197/10</f>
        <v/>
      </c>
      <c r="K198" s="490" t="n"/>
    </row>
    <row r="199">
      <c r="A199" s="1104" t="inlineStr">
        <is>
          <t>Maintenance capex</t>
        </is>
      </c>
      <c r="B199" s="1105" t="inlineStr">
        <is>
          <t>% of revenue</t>
        </is>
      </c>
      <c r="C199" s="1789">
        <f>'Model Assumptions'!$D$24</f>
        <v/>
      </c>
      <c r="D199" s="1789">
        <f>'Model Assumptions'!E$103</f>
        <v/>
      </c>
      <c r="E199" s="1789">
        <f>'Model Assumptions'!F$103</f>
        <v/>
      </c>
      <c r="F199" s="1789">
        <f>'Model Assumptions'!G$103</f>
        <v/>
      </c>
      <c r="G199" s="1789">
        <f>'Model Assumptions'!H$103</f>
        <v/>
      </c>
      <c r="H199" s="1789">
        <f>'Model Assumptions'!I$103</f>
        <v/>
      </c>
      <c r="I199" s="1789">
        <f>'Model Assumptions'!J$103</f>
        <v/>
      </c>
      <c r="J199" s="1789">
        <f>'Model Assumptions'!K$103</f>
        <v/>
      </c>
      <c r="K199" s="490" t="n"/>
    </row>
    <row r="200">
      <c r="A200" s="1104" t="inlineStr">
        <is>
          <t>Maintenance capex</t>
        </is>
      </c>
      <c r="B200" s="1105" t="inlineStr">
        <is>
          <t>Rs cr</t>
        </is>
      </c>
      <c r="C200" s="490" t="n"/>
      <c r="D200" s="1117">
        <f>D189*D199</f>
        <v/>
      </c>
      <c r="E200" s="1117">
        <f>E189*E199</f>
        <v/>
      </c>
      <c r="F200" s="1117">
        <f>F189*F199</f>
        <v/>
      </c>
      <c r="G200" s="1117">
        <f>G189*G199</f>
        <v/>
      </c>
      <c r="H200" s="1117">
        <f>H189*H199</f>
        <v/>
      </c>
      <c r="I200" s="1117">
        <f>I189*I199</f>
        <v/>
      </c>
      <c r="J200" s="1117">
        <f>J189*J199</f>
        <v/>
      </c>
      <c r="K200" s="490" t="n"/>
    </row>
    <row r="201">
      <c r="A201" s="1104" t="inlineStr">
        <is>
          <t>Total capex</t>
        </is>
      </c>
      <c r="B201" s="1105" t="inlineStr">
        <is>
          <t>Rs cr</t>
        </is>
      </c>
      <c r="C201" s="490" t="n"/>
      <c r="D201" s="1117">
        <f>D198+D200</f>
        <v/>
      </c>
      <c r="E201" s="1117">
        <f>E198+E200</f>
        <v/>
      </c>
      <c r="F201" s="1117">
        <f>F198+F200</f>
        <v/>
      </c>
      <c r="G201" s="1117">
        <f>G198+G200</f>
        <v/>
      </c>
      <c r="H201" s="1117">
        <f>H198+H200</f>
        <v/>
      </c>
      <c r="I201" s="1117">
        <f>I198+I200</f>
        <v/>
      </c>
      <c r="J201" s="1117">
        <f>J198+J200</f>
        <v/>
      </c>
      <c r="K201" s="490" t="n"/>
    </row>
    <row r="202">
      <c r="A202" s="1104" t="inlineStr">
        <is>
          <t>Net working capital</t>
        </is>
      </c>
      <c r="B202" s="1105" t="inlineStr">
        <is>
          <t>days of revenue</t>
        </is>
      </c>
      <c r="C202" s="1114">
        <f>'Working Capital Model'!$C$70</f>
        <v/>
      </c>
      <c r="D202" s="1114">
        <f>'Model Assumptions'!E$107</f>
        <v/>
      </c>
      <c r="E202" s="1114">
        <f>'Model Assumptions'!F$107</f>
        <v/>
      </c>
      <c r="F202" s="1114">
        <f>'Model Assumptions'!G$107</f>
        <v/>
      </c>
      <c r="G202" s="1114">
        <f>'Model Assumptions'!H$107</f>
        <v/>
      </c>
      <c r="H202" s="1114">
        <f>'Model Assumptions'!I$107</f>
        <v/>
      </c>
      <c r="I202" s="1114">
        <f>'Model Assumptions'!J$107</f>
        <v/>
      </c>
      <c r="J202" s="1114">
        <f>'Model Assumptions'!K$107</f>
        <v/>
      </c>
      <c r="K202" s="490" t="n"/>
    </row>
    <row r="203">
      <c r="A203" s="1104" t="inlineStr">
        <is>
          <t>Net working capital</t>
        </is>
      </c>
      <c r="B203" s="1105" t="inlineStr">
        <is>
          <t>Rs cr</t>
        </is>
      </c>
      <c r="C203" s="1114">
        <f>'Working Capital Model'!$C$71</f>
        <v/>
      </c>
      <c r="D203" s="1117">
        <f>D189*D202/365</f>
        <v/>
      </c>
      <c r="E203" s="1117">
        <f>E189*E202/365</f>
        <v/>
      </c>
      <c r="F203" s="1117">
        <f>F189*F202/365</f>
        <v/>
      </c>
      <c r="G203" s="1117">
        <f>G189*G202/365</f>
        <v/>
      </c>
      <c r="H203" s="1117">
        <f>H189*H202/365</f>
        <v/>
      </c>
      <c r="I203" s="1117">
        <f>I189*I202/365</f>
        <v/>
      </c>
      <c r="J203" s="1117">
        <f>J189*J202/365</f>
        <v/>
      </c>
      <c r="K203" s="490" t="n"/>
    </row>
    <row r="204">
      <c r="A204" s="1104" t="inlineStr">
        <is>
          <t>Change in net working capital</t>
        </is>
      </c>
      <c r="B204" s="1105" t="inlineStr">
        <is>
          <t>Rs cr</t>
        </is>
      </c>
      <c r="C204" s="490" t="n"/>
      <c r="D204" s="1798">
        <f>D203-C203</f>
        <v/>
      </c>
      <c r="E204" s="1798">
        <f>E203-D203</f>
        <v/>
      </c>
      <c r="F204" s="1798">
        <f>F203-E203</f>
        <v/>
      </c>
      <c r="G204" s="1798">
        <f>G203-F203</f>
        <v/>
      </c>
      <c r="H204" s="1798">
        <f>H203-G203</f>
        <v/>
      </c>
      <c r="I204" s="1798">
        <f>I203-H203</f>
        <v/>
      </c>
      <c r="J204" s="1798">
        <f>J203-I203</f>
        <v/>
      </c>
      <c r="K204" s="490" t="n"/>
    </row>
    <row r="205">
      <c r="A205" s="1104" t="inlineStr">
        <is>
          <t>Unlevered free cash flow</t>
        </is>
      </c>
      <c r="B205" s="1105" t="inlineStr">
        <is>
          <t>Rs cr</t>
        </is>
      </c>
      <c r="C205" s="490" t="n"/>
      <c r="D205" s="1798">
        <f>D190-D196-D201-D204</f>
        <v/>
      </c>
      <c r="E205" s="1798">
        <f>E190-E196-E201-E204</f>
        <v/>
      </c>
      <c r="F205" s="1798">
        <f>F190-F196-F201-F204</f>
        <v/>
      </c>
      <c r="G205" s="1798">
        <f>G190-G196-G201-G204</f>
        <v/>
      </c>
      <c r="H205" s="1798">
        <f>H190-H196-H201-H204</f>
        <v/>
      </c>
      <c r="I205" s="1798">
        <f>I190-I196-I201-I204</f>
        <v/>
      </c>
      <c r="J205" s="1798">
        <f>J190-J196-J201-J204</f>
        <v/>
      </c>
      <c r="K205" s="490" t="n"/>
    </row>
    <row r="206">
      <c r="A206" s="1104" t="inlineStr">
        <is>
          <t>Exit EV/EBITDA multiple</t>
        </is>
      </c>
      <c r="B206" s="1105" t="inlineStr">
        <is>
          <t>x</t>
        </is>
      </c>
      <c r="C206" s="490" t="n"/>
      <c r="D206" s="1799">
        <f>'Model Assumptions'!E$111</f>
        <v/>
      </c>
      <c r="E206" s="1799">
        <f>'Model Assumptions'!F$111</f>
        <v/>
      </c>
      <c r="F206" s="1799">
        <f>'Model Assumptions'!G$111</f>
        <v/>
      </c>
      <c r="G206" s="1799">
        <f>'Model Assumptions'!H$111</f>
        <v/>
      </c>
      <c r="H206" s="1799">
        <f>'Model Assumptions'!I$111</f>
        <v/>
      </c>
      <c r="I206" s="1799">
        <f>'Model Assumptions'!J$111</f>
        <v/>
      </c>
      <c r="J206" s="1799">
        <f>'Model Assumptions'!K$111</f>
        <v/>
      </c>
      <c r="K206" s="490" t="n"/>
    </row>
    <row r="207">
      <c r="A207" s="1104" t="inlineStr">
        <is>
          <t>WACC (nominal, INR)</t>
        </is>
      </c>
      <c r="B207" s="1105" t="inlineStr">
        <is>
          <t>%</t>
        </is>
      </c>
      <c r="C207" s="490" t="n"/>
      <c r="D207" s="1789">
        <f>'Model Assumptions'!E$115</f>
        <v/>
      </c>
      <c r="E207" s="1789">
        <f>'Model Assumptions'!F$115</f>
        <v/>
      </c>
      <c r="F207" s="1789">
        <f>'Model Assumptions'!G$115</f>
        <v/>
      </c>
      <c r="G207" s="1789">
        <f>'Model Assumptions'!H$115</f>
        <v/>
      </c>
      <c r="H207" s="1789">
        <f>'Model Assumptions'!I$115</f>
        <v/>
      </c>
      <c r="I207" s="1789">
        <f>'Model Assumptions'!J$115</f>
        <v/>
      </c>
      <c r="J207" s="1789">
        <f>'Model Assumptions'!K$115</f>
        <v/>
      </c>
      <c r="K207" s="490" t="n"/>
    </row>
    <row r="208">
      <c r="A208" s="1104" t="inlineStr">
        <is>
          <t>Finished steel imports - driver</t>
        </is>
      </c>
      <c r="B208" s="1105" t="inlineStr">
        <is>
          <t>Mt</t>
        </is>
      </c>
      <c r="C208" s="1792">
        <f>'Trade Model'!$C$68</f>
        <v/>
      </c>
      <c r="D208" s="1792">
        <f>'Model Assumptions'!E$119</f>
        <v/>
      </c>
      <c r="E208" s="1792">
        <f>'Model Assumptions'!F$119</f>
        <v/>
      </c>
      <c r="F208" s="1792">
        <f>'Model Assumptions'!G$119</f>
        <v/>
      </c>
      <c r="G208" s="1792">
        <f>'Model Assumptions'!H$119</f>
        <v/>
      </c>
      <c r="H208" s="1792">
        <f>'Model Assumptions'!I$119</f>
        <v/>
      </c>
      <c r="I208" s="1792">
        <f>'Model Assumptions'!J$119</f>
        <v/>
      </c>
      <c r="J208" s="1792">
        <f>'Model Assumptions'!K$119</f>
        <v/>
      </c>
      <c r="K208" s="490" t="n"/>
    </row>
    <row r="209">
      <c r="A209" s="1104" t="inlineStr">
        <is>
          <t>Shortfall routed from the capacity ceiling</t>
        </is>
      </c>
      <c r="B209" s="1105" t="inlineStr">
        <is>
          <t>Mt</t>
        </is>
      </c>
      <c r="C209" s="1792">
        <f>0</f>
        <v/>
      </c>
      <c r="D209" s="1793">
        <f>MAX(0,D159-D171)</f>
        <v/>
      </c>
      <c r="E209" s="1793">
        <f>MAX(0,E159-E171)</f>
        <v/>
      </c>
      <c r="F209" s="1793">
        <f>MAX(0,F159-F171)</f>
        <v/>
      </c>
      <c r="G209" s="1793">
        <f>MAX(0,G159-G171)</f>
        <v/>
      </c>
      <c r="H209" s="1793">
        <f>MAX(0,H159-H171)</f>
        <v/>
      </c>
      <c r="I209" s="1793">
        <f>MAX(0,I159-I171)</f>
        <v/>
      </c>
      <c r="J209" s="1793">
        <f>MAX(0,J159-J171)</f>
        <v/>
      </c>
      <c r="K209" s="490" t="n"/>
    </row>
    <row r="210">
      <c r="A210" s="1104" t="inlineStr">
        <is>
          <t>Total finished steel imports</t>
        </is>
      </c>
      <c r="B210" s="1105" t="inlineStr">
        <is>
          <t>Mt</t>
        </is>
      </c>
      <c r="C210" s="1793">
        <f>C208+C209</f>
        <v/>
      </c>
      <c r="D210" s="1793">
        <f>D208+D209</f>
        <v/>
      </c>
      <c r="E210" s="1793">
        <f>E208+E209</f>
        <v/>
      </c>
      <c r="F210" s="1793">
        <f>F208+F209</f>
        <v/>
      </c>
      <c r="G210" s="1793">
        <f>G208+G209</f>
        <v/>
      </c>
      <c r="H210" s="1793">
        <f>H208+H209</f>
        <v/>
      </c>
      <c r="I210" s="1793">
        <f>I208+I209</f>
        <v/>
      </c>
      <c r="J210" s="1793">
        <f>J208+J209</f>
        <v/>
      </c>
      <c r="K210" s="490" t="n"/>
    </row>
    <row r="211">
      <c r="A211" s="1104" t="inlineStr">
        <is>
          <t>Finished steel exports</t>
        </is>
      </c>
      <c r="B211" s="1105" t="inlineStr">
        <is>
          <t>Mt</t>
        </is>
      </c>
      <c r="C211" s="1792">
        <f>'Trade Model'!$C$72</f>
        <v/>
      </c>
      <c r="D211" s="1793">
        <f>D208+D157</f>
        <v/>
      </c>
      <c r="E211" s="1793">
        <f>E208+E157</f>
        <v/>
      </c>
      <c r="F211" s="1793">
        <f>F208+F157</f>
        <v/>
      </c>
      <c r="G211" s="1793">
        <f>G208+G157</f>
        <v/>
      </c>
      <c r="H211" s="1793">
        <f>H208+H157</f>
        <v/>
      </c>
      <c r="I211" s="1793">
        <f>I208+I157</f>
        <v/>
      </c>
      <c r="J211" s="1793">
        <f>J208+J157</f>
        <v/>
      </c>
      <c r="K211" s="490" t="n"/>
    </row>
    <row r="212">
      <c r="A212" s="1104" t="inlineStr">
        <is>
          <t>Import penetration</t>
        </is>
      </c>
      <c r="B212" s="1105" t="inlineStr">
        <is>
          <t>% of consumption</t>
        </is>
      </c>
      <c r="C212" s="1791">
        <f>C210/C156</f>
        <v/>
      </c>
      <c r="D212" s="1791">
        <f>D210/D156</f>
        <v/>
      </c>
      <c r="E212" s="1791">
        <f>E210/E156</f>
        <v/>
      </c>
      <c r="F212" s="1791">
        <f>F210/F156</f>
        <v/>
      </c>
      <c r="G212" s="1791">
        <f>G210/G156</f>
        <v/>
      </c>
      <c r="H212" s="1791">
        <f>H210/H156</f>
        <v/>
      </c>
      <c r="I212" s="1791">
        <f>I210/I156</f>
        <v/>
      </c>
      <c r="J212" s="1791">
        <f>J210/J156</f>
        <v/>
      </c>
      <c r="K212" s="490" t="n"/>
    </row>
    <row r="213">
      <c r="A213" s="1104" t="inlineStr">
        <is>
          <t>Per capita finished steel consumption</t>
        </is>
      </c>
      <c r="B213" s="1105" t="inlineStr">
        <is>
          <t>kg</t>
        </is>
      </c>
      <c r="C213" s="1792">
        <f>'Steel Demand Model'!$C$80</f>
        <v/>
      </c>
      <c r="D213" s="1793">
        <f>D156/'Steel Demand Model'!D$78</f>
        <v/>
      </c>
      <c r="E213" s="1793">
        <f>E156/'Steel Demand Model'!E$78</f>
        <v/>
      </c>
      <c r="F213" s="1793">
        <f>F156/'Steel Demand Model'!F$78</f>
        <v/>
      </c>
      <c r="G213" s="1793">
        <f>G156/'Steel Demand Model'!G$78</f>
        <v/>
      </c>
      <c r="H213" s="1793">
        <f>H156/'Steel Demand Model'!H$78</f>
        <v/>
      </c>
      <c r="I213" s="1793">
        <f>I156/'Steel Demand Model'!I$78</f>
        <v/>
      </c>
      <c r="J213" s="1793">
        <f>J156/'Steel Demand Model'!J$78</f>
        <v/>
      </c>
      <c r="K213" s="490" t="n"/>
    </row>
    <row r="214">
      <c r="A214" s="1104" t="inlineStr">
        <is>
          <t>Enterprise value at the exit multiple (terminal-year proxy)</t>
        </is>
      </c>
      <c r="B214" s="1105" t="inlineStr">
        <is>
          <t>Rs cr</t>
        </is>
      </c>
      <c r="C214" s="490" t="n"/>
      <c r="D214" s="1117">
        <f>D190*D206</f>
        <v/>
      </c>
      <c r="E214" s="1117">
        <f>E190*E206</f>
        <v/>
      </c>
      <c r="F214" s="1117">
        <f>F190*F206</f>
        <v/>
      </c>
      <c r="G214" s="1117">
        <f>G190*G206</f>
        <v/>
      </c>
      <c r="H214" s="1117">
        <f>H190*H206</f>
        <v/>
      </c>
      <c r="I214" s="1117">
        <f>I190*I206</f>
        <v/>
      </c>
      <c r="J214" s="1117">
        <f>J190*J206</f>
        <v/>
      </c>
      <c r="K214" s="490" t="n"/>
    </row>
    <row r="215">
      <c r="A215" s="1104" t="inlineStr">
        <is>
          <t>NOPAT</t>
        </is>
      </c>
      <c r="B215" s="1105" t="inlineStr">
        <is>
          <t>Rs cr</t>
        </is>
      </c>
      <c r="C215" s="490" t="n"/>
      <c r="D215" s="1798">
        <f>D194*(1-D195)</f>
        <v/>
      </c>
      <c r="E215" s="1798">
        <f>E194*(1-E195)</f>
        <v/>
      </c>
      <c r="F215" s="1798">
        <f>F194*(1-F195)</f>
        <v/>
      </c>
      <c r="G215" s="1798">
        <f>G194*(1-G195)</f>
        <v/>
      </c>
      <c r="H215" s="1798">
        <f>H194*(1-H195)</f>
        <v/>
      </c>
      <c r="I215" s="1798">
        <f>I194*(1-I195)</f>
        <v/>
      </c>
      <c r="J215" s="1798">
        <f>J194*(1-J195)</f>
        <v/>
      </c>
      <c r="K215" s="490" t="n"/>
    </row>
    <row r="216">
      <c r="A216" s="1104" t="inlineStr">
        <is>
          <t>Invested capital (proxy)</t>
        </is>
      </c>
      <c r="B216" s="1105" t="inlineStr">
        <is>
          <t>Rs cr</t>
        </is>
      </c>
      <c r="C216" s="490" t="n"/>
      <c r="D216" s="1117">
        <f>220.4*D197/10+D203</f>
        <v/>
      </c>
      <c r="E216" s="1117">
        <f>220.4*E197/10+E203</f>
        <v/>
      </c>
      <c r="F216" s="1117">
        <f>220.4*F197/10+F203</f>
        <v/>
      </c>
      <c r="G216" s="1117">
        <f>220.4*G197/10+G203</f>
        <v/>
      </c>
      <c r="H216" s="1117">
        <f>220.4*H197/10+H203</f>
        <v/>
      </c>
      <c r="I216" s="1117">
        <f>220.4*I197/10+I203</f>
        <v/>
      </c>
      <c r="J216" s="1117">
        <f>220.4*J197/10+J203</f>
        <v/>
      </c>
      <c r="K216" s="490" t="n"/>
    </row>
    <row r="217">
      <c r="A217" s="1104" t="inlineStr">
        <is>
          <t>ROIC (indicative)</t>
        </is>
      </c>
      <c r="B217" s="1105" t="inlineStr">
        <is>
          <t>%</t>
        </is>
      </c>
      <c r="C217" s="490" t="n"/>
      <c r="D217" s="1791">
        <f>IFERROR(D215/D216,"")</f>
        <v/>
      </c>
      <c r="E217" s="1791">
        <f>IFERROR(E215/E216,"")</f>
        <v/>
      </c>
      <c r="F217" s="1791">
        <f>IFERROR(F215/F216,"")</f>
        <v/>
      </c>
      <c r="G217" s="1791">
        <f>IFERROR(G215/G216,"")</f>
        <v/>
      </c>
      <c r="H217" s="1791">
        <f>IFERROR(H215/H216,"")</f>
        <v/>
      </c>
      <c r="I217" s="1791">
        <f>IFERROR(I215/I216,"")</f>
        <v/>
      </c>
      <c r="J217" s="1791">
        <f>IFERROR(J215/J216,"")</f>
        <v/>
      </c>
      <c r="K217" s="490" t="n"/>
    </row>
    <row r="218">
      <c r="A218" s="1300" t="inlineStr">
        <is>
          <t>BEAR CASE</t>
        </is>
      </c>
      <c r="B218" s="1342" t="n"/>
      <c r="C218" s="1342" t="n"/>
      <c r="D218" s="1342" t="n"/>
      <c r="E218" s="1342" t="n"/>
      <c r="F218" s="1342" t="n"/>
      <c r="G218" s="1342" t="n"/>
      <c r="H218" s="1342" t="n"/>
      <c r="I218" s="1342" t="n"/>
      <c r="J218" s="1342" t="n"/>
      <c r="K218" s="1360" t="n"/>
    </row>
    <row r="219">
      <c r="A219" s="1104" t="inlineStr">
        <is>
          <t>India real GDP growth</t>
        </is>
      </c>
      <c r="B219" s="1105" t="inlineStr">
        <is>
          <t>%</t>
        </is>
      </c>
      <c r="C219" s="1789">
        <f>'Model Assumptions'!$D$8</f>
        <v/>
      </c>
      <c r="D219" s="1789">
        <f>'Model Assumptions'!E40</f>
        <v/>
      </c>
      <c r="E219" s="1789">
        <f>'Model Assumptions'!F40</f>
        <v/>
      </c>
      <c r="F219" s="1789">
        <f>'Model Assumptions'!G40</f>
        <v/>
      </c>
      <c r="G219" s="1789">
        <f>'Model Assumptions'!H40</f>
        <v/>
      </c>
      <c r="H219" s="1789">
        <f>'Model Assumptions'!I40</f>
        <v/>
      </c>
      <c r="I219" s="1789">
        <f>'Model Assumptions'!J40</f>
        <v/>
      </c>
      <c r="J219" s="1789">
        <f>'Model Assumptions'!K40</f>
        <v/>
      </c>
      <c r="K219" s="490" t="n"/>
    </row>
    <row r="220">
      <c r="A220" s="1104" t="inlineStr">
        <is>
          <t>Steel demand elasticity to GDP</t>
        </is>
      </c>
      <c r="B220" s="1105" t="inlineStr">
        <is>
          <t>x</t>
        </is>
      </c>
      <c r="C220" s="1790">
        <f>'Model Assumptions'!$D$9</f>
        <v/>
      </c>
      <c r="D220" s="1790">
        <f>'Model Assumptions'!E$44</f>
        <v/>
      </c>
      <c r="E220" s="1790">
        <f>'Model Assumptions'!F$44</f>
        <v/>
      </c>
      <c r="F220" s="1790">
        <f>'Model Assumptions'!G$44</f>
        <v/>
      </c>
      <c r="G220" s="1790">
        <f>'Model Assumptions'!H$44</f>
        <v/>
      </c>
      <c r="H220" s="1790">
        <f>'Model Assumptions'!I$44</f>
        <v/>
      </c>
      <c r="I220" s="1790">
        <f>'Model Assumptions'!J$44</f>
        <v/>
      </c>
      <c r="J220" s="1790">
        <f>'Model Assumptions'!K$44</f>
        <v/>
      </c>
      <c r="K220" s="490" t="n"/>
    </row>
    <row r="221">
      <c r="A221" s="1104" t="inlineStr">
        <is>
          <t>Implied consumption growth</t>
        </is>
      </c>
      <c r="B221" s="1105" t="inlineStr">
        <is>
          <t>%</t>
        </is>
      </c>
      <c r="C221" s="1791">
        <f>C219*C220</f>
        <v/>
      </c>
      <c r="D221" s="1791">
        <f>D219*D220</f>
        <v/>
      </c>
      <c r="E221" s="1791">
        <f>E219*E220</f>
        <v/>
      </c>
      <c r="F221" s="1791">
        <f>F219*F220</f>
        <v/>
      </c>
      <c r="G221" s="1791">
        <f>G219*G220</f>
        <v/>
      </c>
      <c r="H221" s="1791">
        <f>H219*H220</f>
        <v/>
      </c>
      <c r="I221" s="1791">
        <f>I219*I220</f>
        <v/>
      </c>
      <c r="J221" s="1791">
        <f>J219*J220</f>
        <v/>
      </c>
      <c r="K221" s="490" t="n"/>
    </row>
    <row r="222">
      <c r="A222" s="1104" t="inlineStr">
        <is>
          <t>Apparent finished steel consumption</t>
        </is>
      </c>
      <c r="B222" s="1105" t="inlineStr">
        <is>
          <t>Mt</t>
        </is>
      </c>
      <c r="C222" s="1792">
        <f>'Steel Demand Model'!C75</f>
        <v/>
      </c>
      <c r="D222" s="1793">
        <f>C222*(1+D221)</f>
        <v/>
      </c>
      <c r="E222" s="1793">
        <f>D222*(1+E221)</f>
        <v/>
      </c>
      <c r="F222" s="1793">
        <f>E222*(1+F221)</f>
        <v/>
      </c>
      <c r="G222" s="1793">
        <f>F222*(1+G221)</f>
        <v/>
      </c>
      <c r="H222" s="1793">
        <f>G222*(1+H221)</f>
        <v/>
      </c>
      <c r="I222" s="1793">
        <f>H222*(1+I221)</f>
        <v/>
      </c>
      <c r="J222" s="1793">
        <f>I222*(1+J221)</f>
        <v/>
      </c>
      <c r="K222" s="490" t="n"/>
    </row>
    <row r="223">
      <c r="A223" s="1104" t="inlineStr">
        <is>
          <t>Net finished steel exports</t>
        </is>
      </c>
      <c r="B223" s="1105" t="inlineStr">
        <is>
          <t>Mt</t>
        </is>
      </c>
      <c r="C223" s="1794">
        <f>'Steel Supply Model'!C79</f>
        <v/>
      </c>
      <c r="D223" s="1794">
        <f>'Model Assumptions'!E$64</f>
        <v/>
      </c>
      <c r="E223" s="1794">
        <f>'Model Assumptions'!F$64</f>
        <v/>
      </c>
      <c r="F223" s="1794">
        <f>'Model Assumptions'!G$64</f>
        <v/>
      </c>
      <c r="G223" s="1794">
        <f>'Model Assumptions'!H$64</f>
        <v/>
      </c>
      <c r="H223" s="1794">
        <f>'Model Assumptions'!I$64</f>
        <v/>
      </c>
      <c r="I223" s="1794">
        <f>'Model Assumptions'!J$64</f>
        <v/>
      </c>
      <c r="J223" s="1794">
        <f>'Model Assumptions'!K$64</f>
        <v/>
      </c>
      <c r="K223" s="490" t="n"/>
    </row>
    <row r="224">
      <c r="A224" s="1104" t="inlineStr">
        <is>
          <t>Variation in stock</t>
        </is>
      </c>
      <c r="B224" s="1105" t="inlineStr">
        <is>
          <t>Mt</t>
        </is>
      </c>
      <c r="C224" s="1794">
        <f>'Steel Supply Model'!$C$80</f>
        <v/>
      </c>
      <c r="D224" s="1794">
        <f>'Model Assumptions'!E$68</f>
        <v/>
      </c>
      <c r="E224" s="1794">
        <f>'Model Assumptions'!F$68</f>
        <v/>
      </c>
      <c r="F224" s="1794">
        <f>'Model Assumptions'!G$68</f>
        <v/>
      </c>
      <c r="G224" s="1794">
        <f>'Model Assumptions'!H$68</f>
        <v/>
      </c>
      <c r="H224" s="1794">
        <f>'Model Assumptions'!I$68</f>
        <v/>
      </c>
      <c r="I224" s="1794">
        <f>'Model Assumptions'!J$68</f>
        <v/>
      </c>
      <c r="J224" s="1794">
        <f>'Model Assumptions'!K$68</f>
        <v/>
      </c>
      <c r="K224" s="490" t="n"/>
    </row>
    <row r="225">
      <c r="A225" s="1104" t="inlineStr">
        <is>
          <t>Required finished steel production</t>
        </is>
      </c>
      <c r="B225" s="1105" t="inlineStr">
        <is>
          <t>Mt</t>
        </is>
      </c>
      <c r="C225" s="1793">
        <f>C222+C223+C224</f>
        <v/>
      </c>
      <c r="D225" s="1793">
        <f>D222+D223+D224</f>
        <v/>
      </c>
      <c r="E225" s="1793">
        <f>E222+E223+E224</f>
        <v/>
      </c>
      <c r="F225" s="1793">
        <f>F222+F223+F224</f>
        <v/>
      </c>
      <c r="G225" s="1793">
        <f>G222+G223+G224</f>
        <v/>
      </c>
      <c r="H225" s="1793">
        <f>H222+H223+H224</f>
        <v/>
      </c>
      <c r="I225" s="1793">
        <f>I222+I223+I224</f>
        <v/>
      </c>
      <c r="J225" s="1793">
        <f>J222+J223+J224</f>
        <v/>
      </c>
      <c r="K225" s="490" t="n"/>
    </row>
    <row r="226">
      <c r="A226" s="1104" t="inlineStr">
        <is>
          <t>Crude-to-finished steel ratio</t>
        </is>
      </c>
      <c r="B226" s="1105" t="inlineStr">
        <is>
          <t>x</t>
        </is>
      </c>
      <c r="C226" s="1795">
        <f>'Steel Supply Model'!C82</f>
        <v/>
      </c>
      <c r="D226" s="1795">
        <f>'Model Assumptions'!E$60</f>
        <v/>
      </c>
      <c r="E226" s="1795">
        <f>'Model Assumptions'!F$60</f>
        <v/>
      </c>
      <c r="F226" s="1795">
        <f>'Model Assumptions'!G$60</f>
        <v/>
      </c>
      <c r="G226" s="1795">
        <f>'Model Assumptions'!H$60</f>
        <v/>
      </c>
      <c r="H226" s="1795">
        <f>'Model Assumptions'!I$60</f>
        <v/>
      </c>
      <c r="I226" s="1795">
        <f>'Model Assumptions'!J$60</f>
        <v/>
      </c>
      <c r="J226" s="1795">
        <f>'Model Assumptions'!K$60</f>
        <v/>
      </c>
      <c r="K226" s="490" t="n"/>
    </row>
    <row r="227">
      <c r="A227" s="1104" t="inlineStr">
        <is>
          <t>Unconstrained crude steel production</t>
        </is>
      </c>
      <c r="B227" s="1105" t="inlineStr">
        <is>
          <t>Mt</t>
        </is>
      </c>
      <c r="C227" s="1793">
        <f>C225*C226</f>
        <v/>
      </c>
      <c r="D227" s="1793">
        <f>D225*D226</f>
        <v/>
      </c>
      <c r="E227" s="1793">
        <f>E225*E226</f>
        <v/>
      </c>
      <c r="F227" s="1793">
        <f>F225*F226</f>
        <v/>
      </c>
      <c r="G227" s="1793">
        <f>G225*G226</f>
        <v/>
      </c>
      <c r="H227" s="1793">
        <f>H225*H226</f>
        <v/>
      </c>
      <c r="I227" s="1793">
        <f>I225*I226</f>
        <v/>
      </c>
      <c r="J227" s="1793">
        <f>J225*J226</f>
        <v/>
      </c>
      <c r="K227" s="490" t="n"/>
    </row>
    <row r="228">
      <c r="A228" s="1104" t="inlineStr">
        <is>
          <t>Gross announced capacity additions</t>
        </is>
      </c>
      <c r="B228" s="1105" t="inlineStr">
        <is>
          <t>Mtpa</t>
        </is>
      </c>
      <c r="C228" s="1122">
        <f>'Capacity Expansion Tracker'!$D$89</f>
        <v/>
      </c>
      <c r="D228" s="1122">
        <f>'Capacity Expansion Tracker'!$E$89</f>
        <v/>
      </c>
      <c r="E228" s="1122">
        <f>'Capacity Expansion Tracker'!$F$89</f>
        <v/>
      </c>
      <c r="F228" s="1122">
        <f>'Capacity Expansion Tracker'!$G$89</f>
        <v/>
      </c>
      <c r="G228" s="1122">
        <f>'Capacity Expansion Tracker'!$H$89</f>
        <v/>
      </c>
      <c r="H228" s="1122">
        <f>'Capacity Expansion Tracker'!$I$89</f>
        <v/>
      </c>
      <c r="I228" s="1122">
        <f>'Capacity Expansion Tracker'!$J$89</f>
        <v/>
      </c>
      <c r="J228" s="1122">
        <f>'Capacity Expansion Tracker'!$K$89</f>
        <v/>
      </c>
      <c r="K228" s="490" t="n"/>
    </row>
    <row r="229">
      <c r="A229" s="1104" t="inlineStr">
        <is>
          <t>Pipeline delivery factor</t>
        </is>
      </c>
      <c r="B229" s="1105" t="inlineStr">
        <is>
          <t>%</t>
        </is>
      </c>
      <c r="C229" s="490" t="n"/>
      <c r="D229" s="1113">
        <f>'Model Assumptions'!E$56</f>
        <v/>
      </c>
      <c r="E229" s="1113">
        <f>'Model Assumptions'!F$56</f>
        <v/>
      </c>
      <c r="F229" s="1113">
        <f>'Model Assumptions'!G$56</f>
        <v/>
      </c>
      <c r="G229" s="1113">
        <f>'Model Assumptions'!H$56</f>
        <v/>
      </c>
      <c r="H229" s="1113">
        <f>'Model Assumptions'!I$56</f>
        <v/>
      </c>
      <c r="I229" s="1113">
        <f>'Model Assumptions'!J$56</f>
        <v/>
      </c>
      <c r="J229" s="1113">
        <f>'Model Assumptions'!K$56</f>
        <v/>
      </c>
      <c r="K229" s="490" t="n"/>
    </row>
    <row r="230">
      <c r="A230" s="1104" t="inlineStr">
        <is>
          <t>Secondary and unattributed additions</t>
        </is>
      </c>
      <c r="B230" s="1105" t="inlineStr">
        <is>
          <t>Mtpa</t>
        </is>
      </c>
      <c r="C230" s="1792">
        <f>'Capacity Forecast'!C94</f>
        <v/>
      </c>
      <c r="D230" s="1792">
        <f>'Model Assumptions'!E$124</f>
        <v/>
      </c>
      <c r="E230" s="1792">
        <f>'Model Assumptions'!F$124</f>
        <v/>
      </c>
      <c r="F230" s="1792">
        <f>'Model Assumptions'!G$124</f>
        <v/>
      </c>
      <c r="G230" s="1792">
        <f>'Model Assumptions'!H$124</f>
        <v/>
      </c>
      <c r="H230" s="1792">
        <f>'Model Assumptions'!I$124</f>
        <v/>
      </c>
      <c r="I230" s="1792">
        <f>'Model Assumptions'!J$124</f>
        <v/>
      </c>
      <c r="J230" s="1792">
        <f>'Model Assumptions'!K$124</f>
        <v/>
      </c>
      <c r="K230" s="490" t="n"/>
    </row>
    <row r="231">
      <c r="A231" s="1104" t="inlineStr">
        <is>
          <t>Total capacity additions</t>
        </is>
      </c>
      <c r="B231" s="1105" t="inlineStr">
        <is>
          <t>Mtpa</t>
        </is>
      </c>
      <c r="C231" s="1792">
        <f>'Capacity Forecast'!C95</f>
        <v/>
      </c>
      <c r="D231" s="1793">
        <f>D228*D229+D230</f>
        <v/>
      </c>
      <c r="E231" s="1793">
        <f>E228*E229+E230</f>
        <v/>
      </c>
      <c r="F231" s="1793">
        <f>F228*F229+F230</f>
        <v/>
      </c>
      <c r="G231" s="1793">
        <f>G228*G229+G230</f>
        <v/>
      </c>
      <c r="H231" s="1793">
        <f>H228*H229+H230</f>
        <v/>
      </c>
      <c r="I231" s="1793">
        <f>I228*I229+I230</f>
        <v/>
      </c>
      <c r="J231" s="1793">
        <f>J228*J229+J230</f>
        <v/>
      </c>
      <c r="K231" s="490" t="n"/>
    </row>
    <row r="232">
      <c r="A232" s="1104" t="inlineStr">
        <is>
          <t>Closing crude steel capacity</t>
        </is>
      </c>
      <c r="B232" s="1105" t="inlineStr">
        <is>
          <t>Mtpa</t>
        </is>
      </c>
      <c r="C232" s="1792">
        <f>'Capacity Forecast'!C96</f>
        <v/>
      </c>
      <c r="D232" s="1793">
        <f>C232+D231</f>
        <v/>
      </c>
      <c r="E232" s="1793">
        <f>D232+E231</f>
        <v/>
      </c>
      <c r="F232" s="1793">
        <f>E232+F231</f>
        <v/>
      </c>
      <c r="G232" s="1793">
        <f>F232+G231</f>
        <v/>
      </c>
      <c r="H232" s="1793">
        <f>G232+H231</f>
        <v/>
      </c>
      <c r="I232" s="1793">
        <f>H232+I231</f>
        <v/>
      </c>
      <c r="J232" s="1793">
        <f>I232+J231</f>
        <v/>
      </c>
      <c r="K232" s="490" t="n"/>
    </row>
    <row r="233">
      <c r="A233" s="1104" t="inlineStr">
        <is>
          <t>Maximum practical utilisation</t>
        </is>
      </c>
      <c r="B233" s="1105" t="inlineStr">
        <is>
          <t>%</t>
        </is>
      </c>
      <c r="C233" s="1113">
        <f>'Model Assumptions'!$D$32</f>
        <v/>
      </c>
      <c r="D233" s="1113">
        <f>'Model Assumptions'!E$136</f>
        <v/>
      </c>
      <c r="E233" s="1113">
        <f>'Model Assumptions'!F$136</f>
        <v/>
      </c>
      <c r="F233" s="1113">
        <f>'Model Assumptions'!G$136</f>
        <v/>
      </c>
      <c r="G233" s="1113">
        <f>'Model Assumptions'!H$136</f>
        <v/>
      </c>
      <c r="H233" s="1113">
        <f>'Model Assumptions'!I$136</f>
        <v/>
      </c>
      <c r="I233" s="1113">
        <f>'Model Assumptions'!J$136</f>
        <v/>
      </c>
      <c r="J233" s="1113">
        <f>'Model Assumptions'!K$136</f>
        <v/>
      </c>
      <c r="K233" s="490" t="n"/>
    </row>
    <row r="234">
      <c r="A234" s="1104" t="inlineStr">
        <is>
          <t>Maximum crude steel production</t>
        </is>
      </c>
      <c r="B234" s="1105" t="inlineStr">
        <is>
          <t>Mt</t>
        </is>
      </c>
      <c r="C234" s="1793">
        <f>C232*C233</f>
        <v/>
      </c>
      <c r="D234" s="1793">
        <f>D232*D233</f>
        <v/>
      </c>
      <c r="E234" s="1793">
        <f>E232*E233</f>
        <v/>
      </c>
      <c r="F234" s="1793">
        <f>F232*F233</f>
        <v/>
      </c>
      <c r="G234" s="1793">
        <f>G232*G233</f>
        <v/>
      </c>
      <c r="H234" s="1793">
        <f>H232*H233</f>
        <v/>
      </c>
      <c r="I234" s="1793">
        <f>I232*I233</f>
        <v/>
      </c>
      <c r="J234" s="1793">
        <f>J232*J233</f>
        <v/>
      </c>
      <c r="K234" s="490" t="n"/>
    </row>
    <row r="235">
      <c r="A235" s="1104" t="inlineStr">
        <is>
          <t>Crude steel production</t>
        </is>
      </c>
      <c r="B235" s="1105" t="inlineStr">
        <is>
          <t>Mt</t>
        </is>
      </c>
      <c r="C235" s="1792">
        <f>'Steel Supply Model'!C88</f>
        <v/>
      </c>
      <c r="D235" s="1793">
        <f>MIN(D227,D234)</f>
        <v/>
      </c>
      <c r="E235" s="1793">
        <f>MIN(E227,E234)</f>
        <v/>
      </c>
      <c r="F235" s="1793">
        <f>MIN(F227,F234)</f>
        <v/>
      </c>
      <c r="G235" s="1793">
        <f>MIN(G227,G234)</f>
        <v/>
      </c>
      <c r="H235" s="1793">
        <f>MIN(H227,H234)</f>
        <v/>
      </c>
      <c r="I235" s="1793">
        <f>MIN(I227,I234)</f>
        <v/>
      </c>
      <c r="J235" s="1793">
        <f>MIN(J227,J234)</f>
        <v/>
      </c>
      <c r="K235" s="490" t="n"/>
    </row>
    <row r="236">
      <c r="A236" s="1104" t="inlineStr">
        <is>
          <t>Capacity utilisation</t>
        </is>
      </c>
      <c r="B236" s="1105" t="inlineStr">
        <is>
          <t>%</t>
        </is>
      </c>
      <c r="C236" s="1791">
        <f>C235/C232</f>
        <v/>
      </c>
      <c r="D236" s="1791">
        <f>D235/D232</f>
        <v/>
      </c>
      <c r="E236" s="1791">
        <f>E235/E232</f>
        <v/>
      </c>
      <c r="F236" s="1791">
        <f>F235/F232</f>
        <v/>
      </c>
      <c r="G236" s="1791">
        <f>G235/G232</f>
        <v/>
      </c>
      <c r="H236" s="1791">
        <f>H235/H232</f>
        <v/>
      </c>
      <c r="I236" s="1791">
        <f>I235/I232</f>
        <v/>
      </c>
      <c r="J236" s="1791">
        <f>J235/J232</f>
        <v/>
      </c>
      <c r="K236" s="490" t="n"/>
    </row>
    <row r="237">
      <c r="A237" s="1104" t="inlineStr">
        <is>
          <t>Finished steel production</t>
        </is>
      </c>
      <c r="B237" s="1105" t="inlineStr">
        <is>
          <t>Mt</t>
        </is>
      </c>
      <c r="C237" s="1792">
        <f>'Steel Supply Model'!C90</f>
        <v/>
      </c>
      <c r="D237" s="1793">
        <f>D235/D226</f>
        <v/>
      </c>
      <c r="E237" s="1793">
        <f>E235/E226</f>
        <v/>
      </c>
      <c r="F237" s="1793">
        <f>F235/F226</f>
        <v/>
      </c>
      <c r="G237" s="1793">
        <f>G235/G226</f>
        <v/>
      </c>
      <c r="H237" s="1793">
        <f>H235/H226</f>
        <v/>
      </c>
      <c r="I237" s="1793">
        <f>I235/I226</f>
        <v/>
      </c>
      <c r="J237" s="1793">
        <f>J235/J226</f>
        <v/>
      </c>
      <c r="K237" s="490" t="n"/>
    </row>
    <row r="238">
      <c r="A238" s="1104" t="inlineStr">
        <is>
          <t>Blended realisation - scenario driver</t>
        </is>
      </c>
      <c r="B238" s="1105" t="inlineStr">
        <is>
          <t>Rs/t</t>
        </is>
      </c>
      <c r="C238" s="1114">
        <f>'Steel Price Forecast'!C72</f>
        <v/>
      </c>
      <c r="D238" s="1114">
        <f>'Model Assumptions'!E$72</f>
        <v/>
      </c>
      <c r="E238" s="1114">
        <f>'Model Assumptions'!F$72</f>
        <v/>
      </c>
      <c r="F238" s="1114">
        <f>'Model Assumptions'!G$72</f>
        <v/>
      </c>
      <c r="G238" s="1114">
        <f>'Model Assumptions'!H$72</f>
        <v/>
      </c>
      <c r="H238" s="1114">
        <f>'Model Assumptions'!I$72</f>
        <v/>
      </c>
      <c r="I238" s="1114">
        <f>'Model Assumptions'!J$72</f>
        <v/>
      </c>
      <c r="J238" s="1114">
        <f>'Model Assumptions'!K$72</f>
        <v/>
      </c>
      <c r="K238" s="490" t="n"/>
    </row>
    <row r="239">
      <c r="A239" s="1104" t="inlineStr">
        <is>
          <t>Normal capacity utilisation</t>
        </is>
      </c>
      <c r="B239" s="1105" t="inlineStr">
        <is>
          <t>%</t>
        </is>
      </c>
      <c r="C239" s="1113">
        <f>'Model Assumptions'!$D$31</f>
        <v/>
      </c>
      <c r="D239" s="1113">
        <f>'Model Assumptions'!E$132</f>
        <v/>
      </c>
      <c r="E239" s="1113">
        <f>'Model Assumptions'!F$132</f>
        <v/>
      </c>
      <c r="F239" s="1113">
        <f>'Model Assumptions'!G$132</f>
        <v/>
      </c>
      <c r="G239" s="1113">
        <f>'Model Assumptions'!H$132</f>
        <v/>
      </c>
      <c r="H239" s="1113">
        <f>'Model Assumptions'!I$132</f>
        <v/>
      </c>
      <c r="I239" s="1113">
        <f>'Model Assumptions'!J$132</f>
        <v/>
      </c>
      <c r="J239" s="1113">
        <f>'Model Assumptions'!K$132</f>
        <v/>
      </c>
      <c r="K239" s="490" t="n"/>
    </row>
    <row r="240">
      <c r="A240" s="1104" t="inlineStr">
        <is>
          <t>Price sensitivity to utilisation</t>
        </is>
      </c>
      <c r="B240" s="1105" t="inlineStr">
        <is>
          <t>x</t>
        </is>
      </c>
      <c r="C240" s="1790">
        <f>'Model Assumptions'!$D$30</f>
        <v/>
      </c>
      <c r="D240" s="1790">
        <f>'Model Assumptions'!E$128</f>
        <v/>
      </c>
      <c r="E240" s="1790">
        <f>'Model Assumptions'!F$128</f>
        <v/>
      </c>
      <c r="F240" s="1790">
        <f>'Model Assumptions'!G$128</f>
        <v/>
      </c>
      <c r="G240" s="1790">
        <f>'Model Assumptions'!H$128</f>
        <v/>
      </c>
      <c r="H240" s="1790">
        <f>'Model Assumptions'!I$128</f>
        <v/>
      </c>
      <c r="I240" s="1790">
        <f>'Model Assumptions'!J$128</f>
        <v/>
      </c>
      <c r="J240" s="1790">
        <f>'Model Assumptions'!K$128</f>
        <v/>
      </c>
      <c r="K240" s="490" t="n"/>
    </row>
    <row r="241">
      <c r="A241" s="1104" t="inlineStr">
        <is>
          <t>Price adjustment factor (lagged one year)</t>
        </is>
      </c>
      <c r="B241" s="1105" t="inlineStr">
        <is>
          <t>x</t>
        </is>
      </c>
      <c r="C241" s="1800">
        <f>1</f>
        <v/>
      </c>
      <c r="D241" s="1797">
        <f>1+D240*(C236-D239)</f>
        <v/>
      </c>
      <c r="E241" s="1797">
        <f>1+E240*(D236-E239)</f>
        <v/>
      </c>
      <c r="F241" s="1797">
        <f>1+F240*(E236-F239)</f>
        <v/>
      </c>
      <c r="G241" s="1797">
        <f>1+G240*(F236-G239)</f>
        <v/>
      </c>
      <c r="H241" s="1797">
        <f>1+H240*(G236-H239)</f>
        <v/>
      </c>
      <c r="I241" s="1797">
        <f>1+I240*(H236-I239)</f>
        <v/>
      </c>
      <c r="J241" s="1797">
        <f>1+J240*(I236-J239)</f>
        <v/>
      </c>
      <c r="K241" s="490" t="n"/>
    </row>
    <row r="242">
      <c r="A242" s="1104" t="inlineStr">
        <is>
          <t>Blended realisation - effective</t>
        </is>
      </c>
      <c r="B242" s="1105" t="inlineStr">
        <is>
          <t>Rs/t</t>
        </is>
      </c>
      <c r="C242" s="1114">
        <f>'Steel Price Forecast'!C72</f>
        <v/>
      </c>
      <c r="D242" s="1117">
        <f>D238*D241</f>
        <v/>
      </c>
      <c r="E242" s="1117">
        <f>E238*E241</f>
        <v/>
      </c>
      <c r="F242" s="1117">
        <f>F238*F241</f>
        <v/>
      </c>
      <c r="G242" s="1117">
        <f>G238*G241</f>
        <v/>
      </c>
      <c r="H242" s="1117">
        <f>H238*H241</f>
        <v/>
      </c>
      <c r="I242" s="1117">
        <f>I238*I241</f>
        <v/>
      </c>
      <c r="J242" s="1117">
        <f>J238*J241</f>
        <v/>
      </c>
      <c r="K242" s="490" t="n"/>
    </row>
    <row r="243">
      <c r="A243" s="1104" t="inlineStr">
        <is>
          <t>Iron ore 62% Fe CFR China</t>
        </is>
      </c>
      <c r="B243" s="1105" t="inlineStr">
        <is>
          <t>US$/dmt</t>
        </is>
      </c>
      <c r="C243" s="1792">
        <f>'Raw Material Forecast'!C61</f>
        <v/>
      </c>
      <c r="D243" s="1792">
        <f>'Model Assumptions'!E$76</f>
        <v/>
      </c>
      <c r="E243" s="1792">
        <f>'Model Assumptions'!F$76</f>
        <v/>
      </c>
      <c r="F243" s="1792">
        <f>'Model Assumptions'!G$76</f>
        <v/>
      </c>
      <c r="G243" s="1792">
        <f>'Model Assumptions'!H$76</f>
        <v/>
      </c>
      <c r="H243" s="1792">
        <f>'Model Assumptions'!I$76</f>
        <v/>
      </c>
      <c r="I243" s="1792">
        <f>'Model Assumptions'!J$76</f>
        <v/>
      </c>
      <c r="J243" s="1792">
        <f>'Model Assumptions'!K$76</f>
        <v/>
      </c>
      <c r="K243" s="490" t="n"/>
    </row>
    <row r="244">
      <c r="A244" s="1104" t="inlineStr">
        <is>
          <t>Premium HCC coking coal FOB Australia</t>
        </is>
      </c>
      <c r="B244" s="1105" t="inlineStr">
        <is>
          <t>US$/t</t>
        </is>
      </c>
      <c r="C244" s="1114">
        <f>'Raw Material Forecast'!C62</f>
        <v/>
      </c>
      <c r="D244" s="1114">
        <f>'Model Assumptions'!E$80</f>
        <v/>
      </c>
      <c r="E244" s="1114">
        <f>'Model Assumptions'!F$80</f>
        <v/>
      </c>
      <c r="F244" s="1114">
        <f>'Model Assumptions'!G$80</f>
        <v/>
      </c>
      <c r="G244" s="1114">
        <f>'Model Assumptions'!H$80</f>
        <v/>
      </c>
      <c r="H244" s="1114">
        <f>'Model Assumptions'!I$80</f>
        <v/>
      </c>
      <c r="I244" s="1114">
        <f>'Model Assumptions'!J$80</f>
        <v/>
      </c>
      <c r="J244" s="1114">
        <f>'Model Assumptions'!K$80</f>
        <v/>
      </c>
      <c r="K244" s="490" t="n"/>
    </row>
    <row r="245">
      <c r="A245" s="1104" t="inlineStr">
        <is>
          <t>USD/INR</t>
        </is>
      </c>
      <c r="B245" s="1105" t="inlineStr">
        <is>
          <t>Rs/US$</t>
        </is>
      </c>
      <c r="C245" s="1792">
        <f>'Raw Material Forecast'!C63</f>
        <v/>
      </c>
      <c r="D245" s="1792">
        <f>'Model Assumptions'!E$48</f>
        <v/>
      </c>
      <c r="E245" s="1792">
        <f>'Model Assumptions'!F$48</f>
        <v/>
      </c>
      <c r="F245" s="1792">
        <f>'Model Assumptions'!G$48</f>
        <v/>
      </c>
      <c r="G245" s="1792">
        <f>'Model Assumptions'!H$48</f>
        <v/>
      </c>
      <c r="H245" s="1792">
        <f>'Model Assumptions'!I$48</f>
        <v/>
      </c>
      <c r="I245" s="1792">
        <f>'Model Assumptions'!J$48</f>
        <v/>
      </c>
      <c r="J245" s="1792">
        <f>'Model Assumptions'!K$48</f>
        <v/>
      </c>
      <c r="K245" s="490" t="n"/>
    </row>
    <row r="246">
      <c r="A246" s="1104" t="inlineStr">
        <is>
          <t>Iron ore in rupees</t>
        </is>
      </c>
      <c r="B246" s="1105" t="inlineStr">
        <is>
          <t>Rs/dmt</t>
        </is>
      </c>
      <c r="C246" s="1114">
        <f>'Raw Material Forecast'!C65</f>
        <v/>
      </c>
      <c r="D246" s="1117">
        <f>D243*D245</f>
        <v/>
      </c>
      <c r="E246" s="1117">
        <f>E243*E245</f>
        <v/>
      </c>
      <c r="F246" s="1117">
        <f>F243*F245</f>
        <v/>
      </c>
      <c r="G246" s="1117">
        <f>G243*G245</f>
        <v/>
      </c>
      <c r="H246" s="1117">
        <f>H243*H245</f>
        <v/>
      </c>
      <c r="I246" s="1117">
        <f>I243*I245</f>
        <v/>
      </c>
      <c r="J246" s="1117">
        <f>J243*J245</f>
        <v/>
      </c>
      <c r="K246" s="490" t="n"/>
    </row>
    <row r="247">
      <c r="A247" s="1104" t="inlineStr">
        <is>
          <t>Coking coal in rupees</t>
        </is>
      </c>
      <c r="B247" s="1105" t="inlineStr">
        <is>
          <t>Rs/t</t>
        </is>
      </c>
      <c r="C247" s="1114">
        <f>'Raw Material Forecast'!C66</f>
        <v/>
      </c>
      <c r="D247" s="1117">
        <f>D244*D245</f>
        <v/>
      </c>
      <c r="E247" s="1117">
        <f>E244*E245</f>
        <v/>
      </c>
      <c r="F247" s="1117">
        <f>F244*F245</f>
        <v/>
      </c>
      <c r="G247" s="1117">
        <f>G244*G245</f>
        <v/>
      </c>
      <c r="H247" s="1117">
        <f>H244*H245</f>
        <v/>
      </c>
      <c r="I247" s="1117">
        <f>I244*I245</f>
        <v/>
      </c>
      <c r="J247" s="1117">
        <f>J244*J245</f>
        <v/>
      </c>
      <c r="K247" s="490" t="n"/>
    </row>
    <row r="248">
      <c r="A248" s="1104" t="inlineStr">
        <is>
          <t>Conversion cost inflation</t>
        </is>
      </c>
      <c r="B248" s="1105" t="inlineStr">
        <is>
          <t>%</t>
        </is>
      </c>
      <c r="C248" s="490" t="n"/>
      <c r="D248" s="1789">
        <f>'Model Assumptions'!E$84</f>
        <v/>
      </c>
      <c r="E248" s="1789">
        <f>'Model Assumptions'!F$84</f>
        <v/>
      </c>
      <c r="F248" s="1789">
        <f>'Model Assumptions'!G$84</f>
        <v/>
      </c>
      <c r="G248" s="1789">
        <f>'Model Assumptions'!H$84</f>
        <v/>
      </c>
      <c r="H248" s="1789">
        <f>'Model Assumptions'!I$84</f>
        <v/>
      </c>
      <c r="I248" s="1789">
        <f>'Model Assumptions'!J$84</f>
        <v/>
      </c>
      <c r="J248" s="1789">
        <f>'Model Assumptions'!K$84</f>
        <v/>
      </c>
      <c r="K248" s="490" t="n"/>
    </row>
    <row r="249">
      <c r="A249" s="1104" t="inlineStr">
        <is>
          <t>Conversion cost index</t>
        </is>
      </c>
      <c r="B249" s="1105" t="inlineStr">
        <is>
          <t>x</t>
        </is>
      </c>
      <c r="C249" s="1800">
        <f>1</f>
        <v/>
      </c>
      <c r="D249" s="1797">
        <f>C249*(1+D248)</f>
        <v/>
      </c>
      <c r="E249" s="1797">
        <f>D249*(1+E248)</f>
        <v/>
      </c>
      <c r="F249" s="1797">
        <f>E249*(1+F248)</f>
        <v/>
      </c>
      <c r="G249" s="1797">
        <f>F249*(1+G248)</f>
        <v/>
      </c>
      <c r="H249" s="1797">
        <f>G249*(1+H248)</f>
        <v/>
      </c>
      <c r="I249" s="1797">
        <f>H249*(1+I248)</f>
        <v/>
      </c>
      <c r="J249" s="1797">
        <f>I249*(1+J248)</f>
        <v/>
      </c>
      <c r="K249" s="490" t="n"/>
    </row>
    <row r="250">
      <c r="A250" s="1104" t="inlineStr">
        <is>
          <t>Iron ore weight in the raw material basket</t>
        </is>
      </c>
      <c r="B250" s="1105" t="inlineStr">
        <is>
          <t>%</t>
        </is>
      </c>
      <c r="C250" s="1113">
        <f>'Model Assumptions'!$D$21</f>
        <v/>
      </c>
      <c r="D250" s="1113">
        <f>'Model Assumptions'!E$92</f>
        <v/>
      </c>
      <c r="E250" s="1113">
        <f>'Model Assumptions'!F$92</f>
        <v/>
      </c>
      <c r="F250" s="1113">
        <f>'Model Assumptions'!G$92</f>
        <v/>
      </c>
      <c r="G250" s="1113">
        <f>'Model Assumptions'!H$92</f>
        <v/>
      </c>
      <c r="H250" s="1113">
        <f>'Model Assumptions'!I$92</f>
        <v/>
      </c>
      <c r="I250" s="1113">
        <f>'Model Assumptions'!J$92</f>
        <v/>
      </c>
      <c r="J250" s="1113">
        <f>'Model Assumptions'!K$92</f>
        <v/>
      </c>
      <c r="K250" s="490" t="n"/>
    </row>
    <row r="251">
      <c r="A251" s="1104" t="inlineStr">
        <is>
          <t>Raw material cost index</t>
        </is>
      </c>
      <c r="B251" s="1105" t="inlineStr">
        <is>
          <t>x</t>
        </is>
      </c>
      <c r="C251" s="1800">
        <f>1</f>
        <v/>
      </c>
      <c r="D251" s="1797">
        <f>D250*(D246/$C$250)+D250*(D247/$C$251)+(1-2*D250)*D249</f>
        <v/>
      </c>
      <c r="E251" s="1797">
        <f>E250*(E246/$C$250)+E250*(E247/$C$251)+(1-2*E250)*E249</f>
        <v/>
      </c>
      <c r="F251" s="1797">
        <f>F250*(F246/$C$250)+F250*(F247/$C$251)+(1-2*F250)*F249</f>
        <v/>
      </c>
      <c r="G251" s="1797">
        <f>G250*(G246/$C$250)+G250*(G247/$C$251)+(1-2*G250)*G249</f>
        <v/>
      </c>
      <c r="H251" s="1797">
        <f>H250*(H246/$C$250)+H250*(H247/$C$251)+(1-2*H250)*H249</f>
        <v/>
      </c>
      <c r="I251" s="1797">
        <f>I250*(I246/$C$250)+I250*(I247/$C$251)+(1-2*I250)*I249</f>
        <v/>
      </c>
      <c r="J251" s="1797">
        <f>J250*(J246/$C$250)+J250*(J247/$C$251)+(1-2*J250)*J249</f>
        <v/>
      </c>
      <c r="K251" s="490" t="n"/>
    </row>
    <row r="252">
      <c r="A252" s="1104" t="inlineStr">
        <is>
          <t>Raw material share of cash cost</t>
        </is>
      </c>
      <c r="B252" s="1105" t="inlineStr">
        <is>
          <t>%</t>
        </is>
      </c>
      <c r="C252" s="1113">
        <f>'Model Assumptions'!$D$20</f>
        <v/>
      </c>
      <c r="D252" s="1113">
        <f>'Model Assumptions'!E$88</f>
        <v/>
      </c>
      <c r="E252" s="1113">
        <f>'Model Assumptions'!F$88</f>
        <v/>
      </c>
      <c r="F252" s="1113">
        <f>'Model Assumptions'!G$88</f>
        <v/>
      </c>
      <c r="G252" s="1113">
        <f>'Model Assumptions'!H$88</f>
        <v/>
      </c>
      <c r="H252" s="1113">
        <f>'Model Assumptions'!I$88</f>
        <v/>
      </c>
      <c r="I252" s="1113">
        <f>'Model Assumptions'!J$88</f>
        <v/>
      </c>
      <c r="J252" s="1113">
        <f>'Model Assumptions'!K$88</f>
        <v/>
      </c>
      <c r="K252" s="490" t="n"/>
    </row>
    <row r="253">
      <c r="A253" s="1104" t="inlineStr">
        <is>
          <t>Industry cash cost per tonne</t>
        </is>
      </c>
      <c r="B253" s="1105" t="inlineStr">
        <is>
          <t>Rs/t</t>
        </is>
      </c>
      <c r="C253" s="1114">
        <f>'Cost Curve'!C65</f>
        <v/>
      </c>
      <c r="D253" s="1117">
        <f>$C$257*(D252*D251+(1-D252)*D249)</f>
        <v/>
      </c>
      <c r="E253" s="1117">
        <f>$C$257*(E252*E251+(1-E252)*E249)</f>
        <v/>
      </c>
      <c r="F253" s="1117">
        <f>$C$257*(F252*F251+(1-F252)*F249)</f>
        <v/>
      </c>
      <c r="G253" s="1117">
        <f>$C$257*(G252*G251+(1-G252)*G249)</f>
        <v/>
      </c>
      <c r="H253" s="1117">
        <f>$C$257*(H252*H251+(1-H252)*H249)</f>
        <v/>
      </c>
      <c r="I253" s="1117">
        <f>$C$257*(I252*I251+(1-I252)*I249)</f>
        <v/>
      </c>
      <c r="J253" s="1117">
        <f>$C$257*(J252*J251+(1-J252)*J249)</f>
        <v/>
      </c>
      <c r="K253" s="490" t="n"/>
    </row>
    <row r="254">
      <c r="A254" s="1104" t="inlineStr">
        <is>
          <t>Industry EBITDA per tonne</t>
        </is>
      </c>
      <c r="B254" s="1105" t="inlineStr">
        <is>
          <t>Rs/t</t>
        </is>
      </c>
      <c r="C254" s="1117">
        <f>C242-C253</f>
        <v/>
      </c>
      <c r="D254" s="1117">
        <f>D242-D253</f>
        <v/>
      </c>
      <c r="E254" s="1117">
        <f>E242-E253</f>
        <v/>
      </c>
      <c r="F254" s="1117">
        <f>F242-F253</f>
        <v/>
      </c>
      <c r="G254" s="1117">
        <f>G242-G253</f>
        <v/>
      </c>
      <c r="H254" s="1117">
        <f>H242-H253</f>
        <v/>
      </c>
      <c r="I254" s="1117">
        <f>I242-I253</f>
        <v/>
      </c>
      <c r="J254" s="1117">
        <f>J242-J253</f>
        <v/>
      </c>
      <c r="K254" s="490" t="n"/>
    </row>
    <row r="255">
      <c r="A255" s="1104" t="inlineStr">
        <is>
          <t>Industry revenue</t>
        </is>
      </c>
      <c r="B255" s="1105" t="inlineStr">
        <is>
          <t>Rs cr</t>
        </is>
      </c>
      <c r="C255" s="1114">
        <f>'Revenue Forecast'!C95</f>
        <v/>
      </c>
      <c r="D255" s="1117">
        <f>D237*D242/10</f>
        <v/>
      </c>
      <c r="E255" s="1117">
        <f>E237*E242/10</f>
        <v/>
      </c>
      <c r="F255" s="1117">
        <f>F237*F242/10</f>
        <v/>
      </c>
      <c r="G255" s="1117">
        <f>G237*G242/10</f>
        <v/>
      </c>
      <c r="H255" s="1117">
        <f>H237*H242/10</f>
        <v/>
      </c>
      <c r="I255" s="1117">
        <f>I237*I242/10</f>
        <v/>
      </c>
      <c r="J255" s="1117">
        <f>J237*J242/10</f>
        <v/>
      </c>
      <c r="K255" s="490" t="n"/>
    </row>
    <row r="256">
      <c r="A256" s="1104" t="inlineStr">
        <is>
          <t>Industry EBITDA</t>
        </is>
      </c>
      <c r="B256" s="1105" t="inlineStr">
        <is>
          <t>Rs cr</t>
        </is>
      </c>
      <c r="C256" s="1117">
        <f>C237*C254/10</f>
        <v/>
      </c>
      <c r="D256" s="1117">
        <f>D237*D254/10</f>
        <v/>
      </c>
      <c r="E256" s="1117">
        <f>E237*E254/10</f>
        <v/>
      </c>
      <c r="F256" s="1117">
        <f>F237*F254/10</f>
        <v/>
      </c>
      <c r="G256" s="1117">
        <f>G237*G254/10</f>
        <v/>
      </c>
      <c r="H256" s="1117">
        <f>H237*H254/10</f>
        <v/>
      </c>
      <c r="I256" s="1117">
        <f>I237*I254/10</f>
        <v/>
      </c>
      <c r="J256" s="1117">
        <f>J237*J254/10</f>
        <v/>
      </c>
      <c r="K256" s="490" t="n"/>
    </row>
    <row r="257">
      <c r="A257" s="1104" t="inlineStr">
        <is>
          <t>Industry EBITDA margin</t>
        </is>
      </c>
      <c r="B257" s="1105" t="inlineStr">
        <is>
          <t>%</t>
        </is>
      </c>
      <c r="C257" s="1791">
        <f>C254/C242</f>
        <v/>
      </c>
      <c r="D257" s="1791">
        <f>D254/D242</f>
        <v/>
      </c>
      <c r="E257" s="1791">
        <f>E254/E242</f>
        <v/>
      </c>
      <c r="F257" s="1791">
        <f>F254/F242</f>
        <v/>
      </c>
      <c r="G257" s="1791">
        <f>G254/G242</f>
        <v/>
      </c>
      <c r="H257" s="1791">
        <f>H254/H242</f>
        <v/>
      </c>
      <c r="I257" s="1791">
        <f>I254/I242</f>
        <v/>
      </c>
      <c r="J257" s="1791">
        <f>J254/J242</f>
        <v/>
      </c>
      <c r="K257" s="490" t="n"/>
    </row>
    <row r="258">
      <c r="A258" s="1104" t="inlineStr">
        <is>
          <t>Depreciation and amortisation</t>
        </is>
      </c>
      <c r="B258" s="1105" t="inlineStr">
        <is>
          <t>% of revenue</t>
        </is>
      </c>
      <c r="C258" s="1118">
        <f>'Cash Flow Model'!$C$92</f>
        <v/>
      </c>
      <c r="D258" s="1118">
        <f>'Model Assumptions'!E$140</f>
        <v/>
      </c>
      <c r="E258" s="1118">
        <f>'Model Assumptions'!F$140</f>
        <v/>
      </c>
      <c r="F258" s="1118">
        <f>'Model Assumptions'!G$140</f>
        <v/>
      </c>
      <c r="G258" s="1118">
        <f>'Model Assumptions'!H$140</f>
        <v/>
      </c>
      <c r="H258" s="1118">
        <f>'Model Assumptions'!I$140</f>
        <v/>
      </c>
      <c r="I258" s="1118">
        <f>'Model Assumptions'!J$140</f>
        <v/>
      </c>
      <c r="J258" s="1118">
        <f>'Model Assumptions'!K$140</f>
        <v/>
      </c>
      <c r="K258" s="490" t="n"/>
    </row>
    <row r="259">
      <c r="A259" s="1104" t="inlineStr">
        <is>
          <t>Depreciation and amortisation</t>
        </is>
      </c>
      <c r="B259" s="1105" t="inlineStr">
        <is>
          <t>Rs cr</t>
        </is>
      </c>
      <c r="C259" s="1117">
        <f>C255*C258</f>
        <v/>
      </c>
      <c r="D259" s="1117">
        <f>D255*D258</f>
        <v/>
      </c>
      <c r="E259" s="1117">
        <f>E255*E258</f>
        <v/>
      </c>
      <c r="F259" s="1117">
        <f>F255*F258</f>
        <v/>
      </c>
      <c r="G259" s="1117">
        <f>G255*G258</f>
        <v/>
      </c>
      <c r="H259" s="1117">
        <f>H255*H258</f>
        <v/>
      </c>
      <c r="I259" s="1117">
        <f>I255*I258</f>
        <v/>
      </c>
      <c r="J259" s="1117">
        <f>J255*J258</f>
        <v/>
      </c>
      <c r="K259" s="490" t="n"/>
    </row>
    <row r="260">
      <c r="A260" s="1104" t="inlineStr">
        <is>
          <t>EBIT</t>
        </is>
      </c>
      <c r="B260" s="1105" t="inlineStr">
        <is>
          <t>Rs cr</t>
        </is>
      </c>
      <c r="C260" s="1798">
        <f>C256-C259</f>
        <v/>
      </c>
      <c r="D260" s="1798">
        <f>D256-D259</f>
        <v/>
      </c>
      <c r="E260" s="1798">
        <f>E256-E259</f>
        <v/>
      </c>
      <c r="F260" s="1798">
        <f>F256-F259</f>
        <v/>
      </c>
      <c r="G260" s="1798">
        <f>G256-G259</f>
        <v/>
      </c>
      <c r="H260" s="1798">
        <f>H256-H259</f>
        <v/>
      </c>
      <c r="I260" s="1798">
        <f>I256-I259</f>
        <v/>
      </c>
      <c r="J260" s="1798">
        <f>J256-J259</f>
        <v/>
      </c>
      <c r="K260" s="490" t="n"/>
    </row>
    <row r="261">
      <c r="A261" s="1104" t="inlineStr">
        <is>
          <t>Effective tax rate</t>
        </is>
      </c>
      <c r="B261" s="1105" t="inlineStr">
        <is>
          <t>%</t>
        </is>
      </c>
      <c r="C261" s="1118">
        <f>'Cash Flow Model'!$C$95</f>
        <v/>
      </c>
      <c r="D261" s="1118">
        <f>'Model Assumptions'!E$96</f>
        <v/>
      </c>
      <c r="E261" s="1118">
        <f>'Model Assumptions'!F$96</f>
        <v/>
      </c>
      <c r="F261" s="1118">
        <f>'Model Assumptions'!G$96</f>
        <v/>
      </c>
      <c r="G261" s="1118">
        <f>'Model Assumptions'!H$96</f>
        <v/>
      </c>
      <c r="H261" s="1118">
        <f>'Model Assumptions'!I$96</f>
        <v/>
      </c>
      <c r="I261" s="1118">
        <f>'Model Assumptions'!J$96</f>
        <v/>
      </c>
      <c r="J261" s="1118">
        <f>'Model Assumptions'!K$96</f>
        <v/>
      </c>
      <c r="K261" s="490" t="n"/>
    </row>
    <row r="262">
      <c r="A262" s="1104" t="inlineStr">
        <is>
          <t>Cash tax</t>
        </is>
      </c>
      <c r="B262" s="1105" t="inlineStr">
        <is>
          <t>Rs cr</t>
        </is>
      </c>
      <c r="C262" s="1117">
        <f>MAX(0,C260)*C261</f>
        <v/>
      </c>
      <c r="D262" s="1117">
        <f>MAX(0,D260)*D261</f>
        <v/>
      </c>
      <c r="E262" s="1117">
        <f>MAX(0,E260)*E261</f>
        <v/>
      </c>
      <c r="F262" s="1117">
        <f>MAX(0,F260)*F261</f>
        <v/>
      </c>
      <c r="G262" s="1117">
        <f>MAX(0,G260)*G261</f>
        <v/>
      </c>
      <c r="H262" s="1117">
        <f>MAX(0,H260)*H261</f>
        <v/>
      </c>
      <c r="I262" s="1117">
        <f>MAX(0,I260)*I261</f>
        <v/>
      </c>
      <c r="J262" s="1117">
        <f>MAX(0,J260)*J261</f>
        <v/>
      </c>
      <c r="K262" s="490" t="n"/>
    </row>
    <row r="263">
      <c r="A263" s="1104" t="inlineStr">
        <is>
          <t>Capex intensity</t>
        </is>
      </c>
      <c r="B263" s="1105" t="inlineStr">
        <is>
          <t>Rs/t of capacity</t>
        </is>
      </c>
      <c r="C263" s="1114">
        <f>'Model Assumptions'!$D$23</f>
        <v/>
      </c>
      <c r="D263" s="1114">
        <f>'Model Assumptions'!E$100</f>
        <v/>
      </c>
      <c r="E263" s="1114">
        <f>'Model Assumptions'!F$100</f>
        <v/>
      </c>
      <c r="F263" s="1114">
        <f>'Model Assumptions'!G$100</f>
        <v/>
      </c>
      <c r="G263" s="1114">
        <f>'Model Assumptions'!H$100</f>
        <v/>
      </c>
      <c r="H263" s="1114">
        <f>'Model Assumptions'!I$100</f>
        <v/>
      </c>
      <c r="I263" s="1114">
        <f>'Model Assumptions'!J$100</f>
        <v/>
      </c>
      <c r="J263" s="1114">
        <f>'Model Assumptions'!K$100</f>
        <v/>
      </c>
      <c r="K263" s="490" t="n"/>
    </row>
    <row r="264">
      <c r="A264" s="1104" t="inlineStr">
        <is>
          <t>Growth capex</t>
        </is>
      </c>
      <c r="B264" s="1105" t="inlineStr">
        <is>
          <t>Rs cr</t>
        </is>
      </c>
      <c r="C264" s="490" t="n"/>
      <c r="D264" s="1117">
        <f>D231*D263/10</f>
        <v/>
      </c>
      <c r="E264" s="1117">
        <f>E231*E263/10</f>
        <v/>
      </c>
      <c r="F264" s="1117">
        <f>F231*F263/10</f>
        <v/>
      </c>
      <c r="G264" s="1117">
        <f>G231*G263/10</f>
        <v/>
      </c>
      <c r="H264" s="1117">
        <f>H231*H263/10</f>
        <v/>
      </c>
      <c r="I264" s="1117">
        <f>I231*I263/10</f>
        <v/>
      </c>
      <c r="J264" s="1117">
        <f>J231*J263/10</f>
        <v/>
      </c>
      <c r="K264" s="490" t="n"/>
    </row>
    <row r="265">
      <c r="A265" s="1104" t="inlineStr">
        <is>
          <t>Maintenance capex</t>
        </is>
      </c>
      <c r="B265" s="1105" t="inlineStr">
        <is>
          <t>% of revenue</t>
        </is>
      </c>
      <c r="C265" s="1789">
        <f>'Model Assumptions'!$D$24</f>
        <v/>
      </c>
      <c r="D265" s="1789">
        <f>'Model Assumptions'!E$104</f>
        <v/>
      </c>
      <c r="E265" s="1789">
        <f>'Model Assumptions'!F$104</f>
        <v/>
      </c>
      <c r="F265" s="1789">
        <f>'Model Assumptions'!G$104</f>
        <v/>
      </c>
      <c r="G265" s="1789">
        <f>'Model Assumptions'!H$104</f>
        <v/>
      </c>
      <c r="H265" s="1789">
        <f>'Model Assumptions'!I$104</f>
        <v/>
      </c>
      <c r="I265" s="1789">
        <f>'Model Assumptions'!J$104</f>
        <v/>
      </c>
      <c r="J265" s="1789">
        <f>'Model Assumptions'!K$104</f>
        <v/>
      </c>
      <c r="K265" s="490" t="n"/>
    </row>
    <row r="266">
      <c r="A266" s="1104" t="inlineStr">
        <is>
          <t>Maintenance capex</t>
        </is>
      </c>
      <c r="B266" s="1105" t="inlineStr">
        <is>
          <t>Rs cr</t>
        </is>
      </c>
      <c r="C266" s="490" t="n"/>
      <c r="D266" s="1117">
        <f>D255*D265</f>
        <v/>
      </c>
      <c r="E266" s="1117">
        <f>E255*E265</f>
        <v/>
      </c>
      <c r="F266" s="1117">
        <f>F255*F265</f>
        <v/>
      </c>
      <c r="G266" s="1117">
        <f>G255*G265</f>
        <v/>
      </c>
      <c r="H266" s="1117">
        <f>H255*H265</f>
        <v/>
      </c>
      <c r="I266" s="1117">
        <f>I255*I265</f>
        <v/>
      </c>
      <c r="J266" s="1117">
        <f>J255*J265</f>
        <v/>
      </c>
      <c r="K266" s="490" t="n"/>
    </row>
    <row r="267">
      <c r="A267" s="1104" t="inlineStr">
        <is>
          <t>Total capex</t>
        </is>
      </c>
      <c r="B267" s="1105" t="inlineStr">
        <is>
          <t>Rs cr</t>
        </is>
      </c>
      <c r="C267" s="490" t="n"/>
      <c r="D267" s="1117">
        <f>D264+D266</f>
        <v/>
      </c>
      <c r="E267" s="1117">
        <f>E264+E266</f>
        <v/>
      </c>
      <c r="F267" s="1117">
        <f>F264+F266</f>
        <v/>
      </c>
      <c r="G267" s="1117">
        <f>G264+G266</f>
        <v/>
      </c>
      <c r="H267" s="1117">
        <f>H264+H266</f>
        <v/>
      </c>
      <c r="I267" s="1117">
        <f>I264+I266</f>
        <v/>
      </c>
      <c r="J267" s="1117">
        <f>J264+J266</f>
        <v/>
      </c>
      <c r="K267" s="490" t="n"/>
    </row>
    <row r="268">
      <c r="A268" s="1104" t="inlineStr">
        <is>
          <t>Net working capital</t>
        </is>
      </c>
      <c r="B268" s="1105" t="inlineStr">
        <is>
          <t>days of revenue</t>
        </is>
      </c>
      <c r="C268" s="1114">
        <f>'Working Capital Model'!$C$70</f>
        <v/>
      </c>
      <c r="D268" s="1114">
        <f>'Model Assumptions'!E$108</f>
        <v/>
      </c>
      <c r="E268" s="1114">
        <f>'Model Assumptions'!F$108</f>
        <v/>
      </c>
      <c r="F268" s="1114">
        <f>'Model Assumptions'!G$108</f>
        <v/>
      </c>
      <c r="G268" s="1114">
        <f>'Model Assumptions'!H$108</f>
        <v/>
      </c>
      <c r="H268" s="1114">
        <f>'Model Assumptions'!I$108</f>
        <v/>
      </c>
      <c r="I268" s="1114">
        <f>'Model Assumptions'!J$108</f>
        <v/>
      </c>
      <c r="J268" s="1114">
        <f>'Model Assumptions'!K$108</f>
        <v/>
      </c>
      <c r="K268" s="490" t="n"/>
    </row>
    <row r="269">
      <c r="A269" s="1104" t="inlineStr">
        <is>
          <t>Net working capital</t>
        </is>
      </c>
      <c r="B269" s="1105" t="inlineStr">
        <is>
          <t>Rs cr</t>
        </is>
      </c>
      <c r="C269" s="1114">
        <f>'Working Capital Model'!$C$71</f>
        <v/>
      </c>
      <c r="D269" s="1117">
        <f>D255*D268/365</f>
        <v/>
      </c>
      <c r="E269" s="1117">
        <f>E255*E268/365</f>
        <v/>
      </c>
      <c r="F269" s="1117">
        <f>F255*F268/365</f>
        <v/>
      </c>
      <c r="G269" s="1117">
        <f>G255*G268/365</f>
        <v/>
      </c>
      <c r="H269" s="1117">
        <f>H255*H268/365</f>
        <v/>
      </c>
      <c r="I269" s="1117">
        <f>I255*I268/365</f>
        <v/>
      </c>
      <c r="J269" s="1117">
        <f>J255*J268/365</f>
        <v/>
      </c>
      <c r="K269" s="490" t="n"/>
    </row>
    <row r="270">
      <c r="A270" s="1104" t="inlineStr">
        <is>
          <t>Change in net working capital</t>
        </is>
      </c>
      <c r="B270" s="1105" t="inlineStr">
        <is>
          <t>Rs cr</t>
        </is>
      </c>
      <c r="C270" s="490" t="n"/>
      <c r="D270" s="1798">
        <f>D269-C269</f>
        <v/>
      </c>
      <c r="E270" s="1798">
        <f>E269-D269</f>
        <v/>
      </c>
      <c r="F270" s="1798">
        <f>F269-E269</f>
        <v/>
      </c>
      <c r="G270" s="1798">
        <f>G269-F269</f>
        <v/>
      </c>
      <c r="H270" s="1798">
        <f>H269-G269</f>
        <v/>
      </c>
      <c r="I270" s="1798">
        <f>I269-H269</f>
        <v/>
      </c>
      <c r="J270" s="1798">
        <f>J269-I269</f>
        <v/>
      </c>
      <c r="K270" s="490" t="n"/>
    </row>
    <row r="271">
      <c r="A271" s="1104" t="inlineStr">
        <is>
          <t>Unlevered free cash flow</t>
        </is>
      </c>
      <c r="B271" s="1105" t="inlineStr">
        <is>
          <t>Rs cr</t>
        </is>
      </c>
      <c r="C271" s="490" t="n"/>
      <c r="D271" s="1798">
        <f>D256-D262-D267-D270</f>
        <v/>
      </c>
      <c r="E271" s="1798">
        <f>E256-E262-E267-E270</f>
        <v/>
      </c>
      <c r="F271" s="1798">
        <f>F256-F262-F267-F270</f>
        <v/>
      </c>
      <c r="G271" s="1798">
        <f>G256-G262-G267-G270</f>
        <v/>
      </c>
      <c r="H271" s="1798">
        <f>H256-H262-H267-H270</f>
        <v/>
      </c>
      <c r="I271" s="1798">
        <f>I256-I262-I267-I270</f>
        <v/>
      </c>
      <c r="J271" s="1798">
        <f>J256-J262-J267-J270</f>
        <v/>
      </c>
      <c r="K271" s="490" t="n"/>
    </row>
    <row r="272">
      <c r="A272" s="1104" t="inlineStr">
        <is>
          <t>Exit EV/EBITDA multiple</t>
        </is>
      </c>
      <c r="B272" s="1105" t="inlineStr">
        <is>
          <t>x</t>
        </is>
      </c>
      <c r="C272" s="490" t="n"/>
      <c r="D272" s="1799">
        <f>'Model Assumptions'!E$112</f>
        <v/>
      </c>
      <c r="E272" s="1799">
        <f>'Model Assumptions'!F$112</f>
        <v/>
      </c>
      <c r="F272" s="1799">
        <f>'Model Assumptions'!G$112</f>
        <v/>
      </c>
      <c r="G272" s="1799">
        <f>'Model Assumptions'!H$112</f>
        <v/>
      </c>
      <c r="H272" s="1799">
        <f>'Model Assumptions'!I$112</f>
        <v/>
      </c>
      <c r="I272" s="1799">
        <f>'Model Assumptions'!J$112</f>
        <v/>
      </c>
      <c r="J272" s="1799">
        <f>'Model Assumptions'!K$112</f>
        <v/>
      </c>
      <c r="K272" s="490" t="n"/>
    </row>
    <row r="273">
      <c r="A273" s="1104" t="inlineStr">
        <is>
          <t>WACC (nominal, INR)</t>
        </is>
      </c>
      <c r="B273" s="1105" t="inlineStr">
        <is>
          <t>%</t>
        </is>
      </c>
      <c r="C273" s="490" t="n"/>
      <c r="D273" s="1789">
        <f>'Model Assumptions'!E$116</f>
        <v/>
      </c>
      <c r="E273" s="1789">
        <f>'Model Assumptions'!F$116</f>
        <v/>
      </c>
      <c r="F273" s="1789">
        <f>'Model Assumptions'!G$116</f>
        <v/>
      </c>
      <c r="G273" s="1789">
        <f>'Model Assumptions'!H$116</f>
        <v/>
      </c>
      <c r="H273" s="1789">
        <f>'Model Assumptions'!I$116</f>
        <v/>
      </c>
      <c r="I273" s="1789">
        <f>'Model Assumptions'!J$116</f>
        <v/>
      </c>
      <c r="J273" s="1789">
        <f>'Model Assumptions'!K$116</f>
        <v/>
      </c>
      <c r="K273" s="490" t="n"/>
    </row>
    <row r="274">
      <c r="A274" s="1104" t="inlineStr">
        <is>
          <t>Finished steel imports - driver</t>
        </is>
      </c>
      <c r="B274" s="1105" t="inlineStr">
        <is>
          <t>Mt</t>
        </is>
      </c>
      <c r="C274" s="1792">
        <f>'Trade Model'!$C$68</f>
        <v/>
      </c>
      <c r="D274" s="1792">
        <f>'Model Assumptions'!E$120</f>
        <v/>
      </c>
      <c r="E274" s="1792">
        <f>'Model Assumptions'!F$120</f>
        <v/>
      </c>
      <c r="F274" s="1792">
        <f>'Model Assumptions'!G$120</f>
        <v/>
      </c>
      <c r="G274" s="1792">
        <f>'Model Assumptions'!H$120</f>
        <v/>
      </c>
      <c r="H274" s="1792">
        <f>'Model Assumptions'!I$120</f>
        <v/>
      </c>
      <c r="I274" s="1792">
        <f>'Model Assumptions'!J$120</f>
        <v/>
      </c>
      <c r="J274" s="1792">
        <f>'Model Assumptions'!K$120</f>
        <v/>
      </c>
      <c r="K274" s="490" t="n"/>
    </row>
    <row r="275">
      <c r="A275" s="1104" t="inlineStr">
        <is>
          <t>Shortfall routed from the capacity ceiling</t>
        </is>
      </c>
      <c r="B275" s="1105" t="inlineStr">
        <is>
          <t>Mt</t>
        </is>
      </c>
      <c r="C275" s="1792">
        <f>0</f>
        <v/>
      </c>
      <c r="D275" s="1793">
        <f>MAX(0,D225-D237)</f>
        <v/>
      </c>
      <c r="E275" s="1793">
        <f>MAX(0,E225-E237)</f>
        <v/>
      </c>
      <c r="F275" s="1793">
        <f>MAX(0,F225-F237)</f>
        <v/>
      </c>
      <c r="G275" s="1793">
        <f>MAX(0,G225-G237)</f>
        <v/>
      </c>
      <c r="H275" s="1793">
        <f>MAX(0,H225-H237)</f>
        <v/>
      </c>
      <c r="I275" s="1793">
        <f>MAX(0,I225-I237)</f>
        <v/>
      </c>
      <c r="J275" s="1793">
        <f>MAX(0,J225-J237)</f>
        <v/>
      </c>
      <c r="K275" s="490" t="n"/>
    </row>
    <row r="276">
      <c r="A276" s="1104" t="inlineStr">
        <is>
          <t>Total finished steel imports</t>
        </is>
      </c>
      <c r="B276" s="1105" t="inlineStr">
        <is>
          <t>Mt</t>
        </is>
      </c>
      <c r="C276" s="1793">
        <f>C274+C275</f>
        <v/>
      </c>
      <c r="D276" s="1793">
        <f>D274+D275</f>
        <v/>
      </c>
      <c r="E276" s="1793">
        <f>E274+E275</f>
        <v/>
      </c>
      <c r="F276" s="1793">
        <f>F274+F275</f>
        <v/>
      </c>
      <c r="G276" s="1793">
        <f>G274+G275</f>
        <v/>
      </c>
      <c r="H276" s="1793">
        <f>H274+H275</f>
        <v/>
      </c>
      <c r="I276" s="1793">
        <f>I274+I275</f>
        <v/>
      </c>
      <c r="J276" s="1793">
        <f>J274+J275</f>
        <v/>
      </c>
      <c r="K276" s="490" t="n"/>
    </row>
    <row r="277">
      <c r="A277" s="1104" t="inlineStr">
        <is>
          <t>Finished steel exports</t>
        </is>
      </c>
      <c r="B277" s="1105" t="inlineStr">
        <is>
          <t>Mt</t>
        </is>
      </c>
      <c r="C277" s="1792">
        <f>'Trade Model'!$C$72</f>
        <v/>
      </c>
      <c r="D277" s="1793">
        <f>D274+D223</f>
        <v/>
      </c>
      <c r="E277" s="1793">
        <f>E274+E223</f>
        <v/>
      </c>
      <c r="F277" s="1793">
        <f>F274+F223</f>
        <v/>
      </c>
      <c r="G277" s="1793">
        <f>G274+G223</f>
        <v/>
      </c>
      <c r="H277" s="1793">
        <f>H274+H223</f>
        <v/>
      </c>
      <c r="I277" s="1793">
        <f>I274+I223</f>
        <v/>
      </c>
      <c r="J277" s="1793">
        <f>J274+J223</f>
        <v/>
      </c>
      <c r="K277" s="490" t="n"/>
    </row>
    <row r="278">
      <c r="A278" s="1104" t="inlineStr">
        <is>
          <t>Import penetration</t>
        </is>
      </c>
      <c r="B278" s="1105" t="inlineStr">
        <is>
          <t>% of consumption</t>
        </is>
      </c>
      <c r="C278" s="1791">
        <f>C276/C222</f>
        <v/>
      </c>
      <c r="D278" s="1791">
        <f>D276/D222</f>
        <v/>
      </c>
      <c r="E278" s="1791">
        <f>E276/E222</f>
        <v/>
      </c>
      <c r="F278" s="1791">
        <f>F276/F222</f>
        <v/>
      </c>
      <c r="G278" s="1791">
        <f>G276/G222</f>
        <v/>
      </c>
      <c r="H278" s="1791">
        <f>H276/H222</f>
        <v/>
      </c>
      <c r="I278" s="1791">
        <f>I276/I222</f>
        <v/>
      </c>
      <c r="J278" s="1791">
        <f>J276/J222</f>
        <v/>
      </c>
      <c r="K278" s="490" t="n"/>
    </row>
    <row r="279">
      <c r="A279" s="1104" t="inlineStr">
        <is>
          <t>Per capita finished steel consumption</t>
        </is>
      </c>
      <c r="B279" s="1105" t="inlineStr">
        <is>
          <t>kg</t>
        </is>
      </c>
      <c r="C279" s="1792">
        <f>'Steel Demand Model'!$C$80</f>
        <v/>
      </c>
      <c r="D279" s="1793">
        <f>D222/'Steel Demand Model'!D$78</f>
        <v/>
      </c>
      <c r="E279" s="1793">
        <f>E222/'Steel Demand Model'!E$78</f>
        <v/>
      </c>
      <c r="F279" s="1793">
        <f>F222/'Steel Demand Model'!F$78</f>
        <v/>
      </c>
      <c r="G279" s="1793">
        <f>G222/'Steel Demand Model'!G$78</f>
        <v/>
      </c>
      <c r="H279" s="1793">
        <f>H222/'Steel Demand Model'!H$78</f>
        <v/>
      </c>
      <c r="I279" s="1793">
        <f>I222/'Steel Demand Model'!I$78</f>
        <v/>
      </c>
      <c r="J279" s="1793">
        <f>J222/'Steel Demand Model'!J$78</f>
        <v/>
      </c>
      <c r="K279" s="490" t="n"/>
    </row>
    <row r="280">
      <c r="A280" s="1104" t="inlineStr">
        <is>
          <t>Enterprise value at the exit multiple (terminal-year proxy)</t>
        </is>
      </c>
      <c r="B280" s="1105" t="inlineStr">
        <is>
          <t>Rs cr</t>
        </is>
      </c>
      <c r="C280" s="490" t="n"/>
      <c r="D280" s="1117">
        <f>D256*D272</f>
        <v/>
      </c>
      <c r="E280" s="1117">
        <f>E256*E272</f>
        <v/>
      </c>
      <c r="F280" s="1117">
        <f>F256*F272</f>
        <v/>
      </c>
      <c r="G280" s="1117">
        <f>G256*G272</f>
        <v/>
      </c>
      <c r="H280" s="1117">
        <f>H256*H272</f>
        <v/>
      </c>
      <c r="I280" s="1117">
        <f>I256*I272</f>
        <v/>
      </c>
      <c r="J280" s="1117">
        <f>J256*J272</f>
        <v/>
      </c>
      <c r="K280" s="490" t="n"/>
    </row>
    <row r="281">
      <c r="A281" s="1104" t="inlineStr">
        <is>
          <t>NOPAT</t>
        </is>
      </c>
      <c r="B281" s="1105" t="inlineStr">
        <is>
          <t>Rs cr</t>
        </is>
      </c>
      <c r="C281" s="490" t="n"/>
      <c r="D281" s="1798">
        <f>D260*(1-D261)</f>
        <v/>
      </c>
      <c r="E281" s="1798">
        <f>E260*(1-E261)</f>
        <v/>
      </c>
      <c r="F281" s="1798">
        <f>F260*(1-F261)</f>
        <v/>
      </c>
      <c r="G281" s="1798">
        <f>G260*(1-G261)</f>
        <v/>
      </c>
      <c r="H281" s="1798">
        <f>H260*(1-H261)</f>
        <v/>
      </c>
      <c r="I281" s="1798">
        <f>I260*(1-I261)</f>
        <v/>
      </c>
      <c r="J281" s="1798">
        <f>J260*(1-J261)</f>
        <v/>
      </c>
      <c r="K281" s="490" t="n"/>
    </row>
    <row r="282">
      <c r="A282" s="1104" t="inlineStr">
        <is>
          <t>Invested capital (proxy)</t>
        </is>
      </c>
      <c r="B282" s="1105" t="inlineStr">
        <is>
          <t>Rs cr</t>
        </is>
      </c>
      <c r="C282" s="490" t="n"/>
      <c r="D282" s="1117">
        <f>220.4*D263/10+D269</f>
        <v/>
      </c>
      <c r="E282" s="1117">
        <f>220.4*E263/10+E269</f>
        <v/>
      </c>
      <c r="F282" s="1117">
        <f>220.4*F263/10+F269</f>
        <v/>
      </c>
      <c r="G282" s="1117">
        <f>220.4*G263/10+G269</f>
        <v/>
      </c>
      <c r="H282" s="1117">
        <f>220.4*H263/10+H269</f>
        <v/>
      </c>
      <c r="I282" s="1117">
        <f>220.4*I263/10+I269</f>
        <v/>
      </c>
      <c r="J282" s="1117">
        <f>220.4*J263/10+J269</f>
        <v/>
      </c>
      <c r="K282" s="490" t="n"/>
    </row>
    <row r="283">
      <c r="A283" s="1104" t="inlineStr">
        <is>
          <t>ROIC (indicative)</t>
        </is>
      </c>
      <c r="B283" s="1105" t="inlineStr">
        <is>
          <t>%</t>
        </is>
      </c>
      <c r="C283" s="490" t="n"/>
      <c r="D283" s="1791">
        <f>IFERROR(D281/D282,"")</f>
        <v/>
      </c>
      <c r="E283" s="1791">
        <f>IFERROR(E281/E282,"")</f>
        <v/>
      </c>
      <c r="F283" s="1791">
        <f>IFERROR(F281/F282,"")</f>
        <v/>
      </c>
      <c r="G283" s="1791">
        <f>IFERROR(G281/G282,"")</f>
        <v/>
      </c>
      <c r="H283" s="1791">
        <f>IFERROR(H281/H282,"")</f>
        <v/>
      </c>
      <c r="I283" s="1791">
        <f>IFERROR(I281/I282,"")</f>
        <v/>
      </c>
      <c r="J283" s="1791">
        <f>IFERROR(J281/J282,"")</f>
        <v/>
      </c>
      <c r="K283" s="490" t="n"/>
    </row>
    <row r="284">
      <c r="A284" s="1300" t="inlineStr">
        <is>
          <t>STRESS CASE</t>
        </is>
      </c>
      <c r="B284" s="1342" t="n"/>
      <c r="C284" s="1342" t="n"/>
      <c r="D284" s="1342" t="n"/>
      <c r="E284" s="1342" t="n"/>
      <c r="F284" s="1342" t="n"/>
      <c r="G284" s="1342" t="n"/>
      <c r="H284" s="1342" t="n"/>
      <c r="I284" s="1342" t="n"/>
      <c r="J284" s="1342" t="n"/>
      <c r="K284" s="1360" t="n"/>
    </row>
    <row r="285">
      <c r="A285" s="1104" t="inlineStr">
        <is>
          <t>India real GDP growth</t>
        </is>
      </c>
      <c r="B285" s="1105" t="inlineStr">
        <is>
          <t>%</t>
        </is>
      </c>
      <c r="C285" s="1789">
        <f>'Model Assumptions'!$D$8</f>
        <v/>
      </c>
      <c r="D285" s="1789">
        <f>'Model Assumptions'!E$41</f>
        <v/>
      </c>
      <c r="E285" s="1789">
        <f>'Model Assumptions'!F$41</f>
        <v/>
      </c>
      <c r="F285" s="1789">
        <f>'Model Assumptions'!G$41</f>
        <v/>
      </c>
      <c r="G285" s="1789">
        <f>'Model Assumptions'!H$41</f>
        <v/>
      </c>
      <c r="H285" s="1789">
        <f>'Model Assumptions'!I$41</f>
        <v/>
      </c>
      <c r="I285" s="1789">
        <f>'Model Assumptions'!J$41</f>
        <v/>
      </c>
      <c r="J285" s="1789">
        <f>'Model Assumptions'!K$41</f>
        <v/>
      </c>
      <c r="K285" s="490" t="n"/>
    </row>
    <row r="286">
      <c r="A286" s="1104" t="inlineStr">
        <is>
          <t>Steel demand elasticity to GDP</t>
        </is>
      </c>
      <c r="B286" s="1105" t="inlineStr">
        <is>
          <t>x</t>
        </is>
      </c>
      <c r="C286" s="1790">
        <f>'Model Assumptions'!$D$9</f>
        <v/>
      </c>
      <c r="D286" s="1790">
        <f>'Model Assumptions'!E$45</f>
        <v/>
      </c>
      <c r="E286" s="1790">
        <f>'Model Assumptions'!F$45</f>
        <v/>
      </c>
      <c r="F286" s="1790">
        <f>'Model Assumptions'!G$45</f>
        <v/>
      </c>
      <c r="G286" s="1790">
        <f>'Model Assumptions'!H$45</f>
        <v/>
      </c>
      <c r="H286" s="1790">
        <f>'Model Assumptions'!I$45</f>
        <v/>
      </c>
      <c r="I286" s="1790">
        <f>'Model Assumptions'!J$45</f>
        <v/>
      </c>
      <c r="J286" s="1790">
        <f>'Model Assumptions'!K$45</f>
        <v/>
      </c>
      <c r="K286" s="490" t="n"/>
    </row>
    <row r="287">
      <c r="A287" s="1104" t="inlineStr">
        <is>
          <t>Implied consumption growth</t>
        </is>
      </c>
      <c r="B287" s="1105" t="inlineStr">
        <is>
          <t>%</t>
        </is>
      </c>
      <c r="C287" s="1791">
        <f>C285*C286</f>
        <v/>
      </c>
      <c r="D287" s="1791">
        <f>D285*D286</f>
        <v/>
      </c>
      <c r="E287" s="1791">
        <f>E285*E286</f>
        <v/>
      </c>
      <c r="F287" s="1791">
        <f>F285*F286</f>
        <v/>
      </c>
      <c r="G287" s="1791">
        <f>G285*G286</f>
        <v/>
      </c>
      <c r="H287" s="1791">
        <f>H285*H286</f>
        <v/>
      </c>
      <c r="I287" s="1791">
        <f>I285*I286</f>
        <v/>
      </c>
      <c r="J287" s="1791">
        <f>J285*J286</f>
        <v/>
      </c>
      <c r="K287" s="490" t="n"/>
    </row>
    <row r="288">
      <c r="A288" s="1104" t="inlineStr">
        <is>
          <t>Apparent finished steel consumption</t>
        </is>
      </c>
      <c r="B288" s="1105" t="inlineStr">
        <is>
          <t>Mt</t>
        </is>
      </c>
      <c r="C288" s="1792">
        <f>'Steel Demand Model'!C75</f>
        <v/>
      </c>
      <c r="D288" s="1793">
        <f>C288*(1+D287)</f>
        <v/>
      </c>
      <c r="E288" s="1793">
        <f>D288*(1+E287)</f>
        <v/>
      </c>
      <c r="F288" s="1793">
        <f>E288*(1+F287)</f>
        <v/>
      </c>
      <c r="G288" s="1793">
        <f>F288*(1+G287)</f>
        <v/>
      </c>
      <c r="H288" s="1793">
        <f>G288*(1+H287)</f>
        <v/>
      </c>
      <c r="I288" s="1793">
        <f>H288*(1+I287)</f>
        <v/>
      </c>
      <c r="J288" s="1793">
        <f>I288*(1+J287)</f>
        <v/>
      </c>
      <c r="K288" s="490" t="n"/>
    </row>
    <row r="289">
      <c r="A289" s="1104" t="inlineStr">
        <is>
          <t>Net finished steel exports</t>
        </is>
      </c>
      <c r="B289" s="1105" t="inlineStr">
        <is>
          <t>Mt</t>
        </is>
      </c>
      <c r="C289" s="1794">
        <f>'Steel Supply Model'!C79</f>
        <v/>
      </c>
      <c r="D289" s="1794">
        <f>'Model Assumptions'!E$65</f>
        <v/>
      </c>
      <c r="E289" s="1794">
        <f>'Model Assumptions'!F$65</f>
        <v/>
      </c>
      <c r="F289" s="1794">
        <f>'Model Assumptions'!G$65</f>
        <v/>
      </c>
      <c r="G289" s="1794">
        <f>'Model Assumptions'!H$65</f>
        <v/>
      </c>
      <c r="H289" s="1794">
        <f>'Model Assumptions'!I$65</f>
        <v/>
      </c>
      <c r="I289" s="1794">
        <f>'Model Assumptions'!J$65</f>
        <v/>
      </c>
      <c r="J289" s="1794">
        <f>'Model Assumptions'!K$65</f>
        <v/>
      </c>
      <c r="K289" s="490" t="n"/>
    </row>
    <row r="290">
      <c r="A290" s="1104" t="inlineStr">
        <is>
          <t>Variation in stock</t>
        </is>
      </c>
      <c r="B290" s="1105" t="inlineStr">
        <is>
          <t>Mt</t>
        </is>
      </c>
      <c r="C290" s="1794">
        <f>'Steel Supply Model'!$C$80</f>
        <v/>
      </c>
      <c r="D290" s="1794">
        <f>'Model Assumptions'!E$69</f>
        <v/>
      </c>
      <c r="E290" s="1794">
        <f>'Model Assumptions'!F$69</f>
        <v/>
      </c>
      <c r="F290" s="1794">
        <f>'Model Assumptions'!G$69</f>
        <v/>
      </c>
      <c r="G290" s="1794">
        <f>'Model Assumptions'!H$69</f>
        <v/>
      </c>
      <c r="H290" s="1794">
        <f>'Model Assumptions'!I$69</f>
        <v/>
      </c>
      <c r="I290" s="1794">
        <f>'Model Assumptions'!J$69</f>
        <v/>
      </c>
      <c r="J290" s="1794">
        <f>'Model Assumptions'!K$69</f>
        <v/>
      </c>
      <c r="K290" s="490" t="n"/>
    </row>
    <row r="291">
      <c r="A291" s="1104" t="inlineStr">
        <is>
          <t>Required finished steel production</t>
        </is>
      </c>
      <c r="B291" s="1105" t="inlineStr">
        <is>
          <t>Mt</t>
        </is>
      </c>
      <c r="C291" s="1793">
        <f>C288+C289+C290</f>
        <v/>
      </c>
      <c r="D291" s="1793">
        <f>D288+D289+D290</f>
        <v/>
      </c>
      <c r="E291" s="1793">
        <f>E288+E289+E290</f>
        <v/>
      </c>
      <c r="F291" s="1793">
        <f>F288+F289+F290</f>
        <v/>
      </c>
      <c r="G291" s="1793">
        <f>G288+G289+G290</f>
        <v/>
      </c>
      <c r="H291" s="1793">
        <f>H288+H289+H290</f>
        <v/>
      </c>
      <c r="I291" s="1793">
        <f>I288+I289+I290</f>
        <v/>
      </c>
      <c r="J291" s="1793">
        <f>J288+J289+J290</f>
        <v/>
      </c>
      <c r="K291" s="490" t="n"/>
    </row>
    <row r="292">
      <c r="A292" s="1104" t="inlineStr">
        <is>
          <t>Crude-to-finished steel ratio</t>
        </is>
      </c>
      <c r="B292" s="1105" t="inlineStr">
        <is>
          <t>x</t>
        </is>
      </c>
      <c r="C292" s="1795">
        <f>'Steel Supply Model'!C82</f>
        <v/>
      </c>
      <c r="D292" s="1795">
        <f>'Model Assumptions'!E$61</f>
        <v/>
      </c>
      <c r="E292" s="1795">
        <f>'Model Assumptions'!F$61</f>
        <v/>
      </c>
      <c r="F292" s="1795">
        <f>'Model Assumptions'!G$61</f>
        <v/>
      </c>
      <c r="G292" s="1795">
        <f>'Model Assumptions'!H$61</f>
        <v/>
      </c>
      <c r="H292" s="1795">
        <f>'Model Assumptions'!I$61</f>
        <v/>
      </c>
      <c r="I292" s="1795">
        <f>'Model Assumptions'!J$61</f>
        <v/>
      </c>
      <c r="J292" s="1795">
        <f>'Model Assumptions'!K$61</f>
        <v/>
      </c>
      <c r="K292" s="490" t="n"/>
    </row>
    <row r="293">
      <c r="A293" s="1104" t="inlineStr">
        <is>
          <t>Unconstrained crude steel production</t>
        </is>
      </c>
      <c r="B293" s="1105" t="inlineStr">
        <is>
          <t>Mt</t>
        </is>
      </c>
      <c r="C293" s="1793">
        <f>C291*C292</f>
        <v/>
      </c>
      <c r="D293" s="1793">
        <f>D291*D292</f>
        <v/>
      </c>
      <c r="E293" s="1793">
        <f>E291*E292</f>
        <v/>
      </c>
      <c r="F293" s="1793">
        <f>F291*F292</f>
        <v/>
      </c>
      <c r="G293" s="1793">
        <f>G291*G292</f>
        <v/>
      </c>
      <c r="H293" s="1793">
        <f>H291*H292</f>
        <v/>
      </c>
      <c r="I293" s="1793">
        <f>I291*I292</f>
        <v/>
      </c>
      <c r="J293" s="1793">
        <f>J291*J292</f>
        <v/>
      </c>
      <c r="K293" s="490" t="n"/>
    </row>
    <row r="294">
      <c r="A294" s="1104" t="inlineStr">
        <is>
          <t>Gross announced capacity additions</t>
        </is>
      </c>
      <c r="B294" s="1105" t="inlineStr">
        <is>
          <t>Mtpa</t>
        </is>
      </c>
      <c r="C294" s="1122">
        <f>'Capacity Expansion Tracker'!$D$89</f>
        <v/>
      </c>
      <c r="D294" s="1122">
        <f>'Capacity Expansion Tracker'!$E$89</f>
        <v/>
      </c>
      <c r="E294" s="1122">
        <f>'Capacity Expansion Tracker'!$F$89</f>
        <v/>
      </c>
      <c r="F294" s="1122">
        <f>'Capacity Expansion Tracker'!$G$89</f>
        <v/>
      </c>
      <c r="G294" s="1122">
        <f>'Capacity Expansion Tracker'!$H$89</f>
        <v/>
      </c>
      <c r="H294" s="1122">
        <f>'Capacity Expansion Tracker'!$I$89</f>
        <v/>
      </c>
      <c r="I294" s="1122">
        <f>'Capacity Expansion Tracker'!$J$89</f>
        <v/>
      </c>
      <c r="J294" s="1122">
        <f>'Capacity Expansion Tracker'!$K$89</f>
        <v/>
      </c>
      <c r="K294" s="490" t="n"/>
    </row>
    <row r="295">
      <c r="A295" s="1104" t="inlineStr">
        <is>
          <t>Pipeline delivery factor</t>
        </is>
      </c>
      <c r="B295" s="1105" t="inlineStr">
        <is>
          <t>%</t>
        </is>
      </c>
      <c r="C295" s="490" t="n"/>
      <c r="D295" s="1113">
        <f>'Model Assumptions'!E$57</f>
        <v/>
      </c>
      <c r="E295" s="1113">
        <f>'Model Assumptions'!F$57</f>
        <v/>
      </c>
      <c r="F295" s="1113">
        <f>'Model Assumptions'!G$57</f>
        <v/>
      </c>
      <c r="G295" s="1113">
        <f>'Model Assumptions'!H$57</f>
        <v/>
      </c>
      <c r="H295" s="1113">
        <f>'Model Assumptions'!I$57</f>
        <v/>
      </c>
      <c r="I295" s="1113">
        <f>'Model Assumptions'!J$57</f>
        <v/>
      </c>
      <c r="J295" s="1113">
        <f>'Model Assumptions'!K$57</f>
        <v/>
      </c>
      <c r="K295" s="490" t="n"/>
    </row>
    <row r="296">
      <c r="A296" s="1104" t="inlineStr">
        <is>
          <t>Secondary and unattributed additions</t>
        </is>
      </c>
      <c r="B296" s="1105" t="inlineStr">
        <is>
          <t>Mtpa</t>
        </is>
      </c>
      <c r="C296" s="1792">
        <f>'Capacity Forecast'!C94</f>
        <v/>
      </c>
      <c r="D296" s="1792">
        <f>'Model Assumptions'!E$125</f>
        <v/>
      </c>
      <c r="E296" s="1792">
        <f>'Model Assumptions'!F$125</f>
        <v/>
      </c>
      <c r="F296" s="1792">
        <f>'Model Assumptions'!G$125</f>
        <v/>
      </c>
      <c r="G296" s="1792">
        <f>'Model Assumptions'!H$125</f>
        <v/>
      </c>
      <c r="H296" s="1792">
        <f>'Model Assumptions'!I$125</f>
        <v/>
      </c>
      <c r="I296" s="1792">
        <f>'Model Assumptions'!J$125</f>
        <v/>
      </c>
      <c r="J296" s="1792">
        <f>'Model Assumptions'!K$125</f>
        <v/>
      </c>
      <c r="K296" s="490" t="n"/>
    </row>
    <row r="297">
      <c r="A297" s="1104" t="inlineStr">
        <is>
          <t>Total capacity additions</t>
        </is>
      </c>
      <c r="B297" s="1105" t="inlineStr">
        <is>
          <t>Mtpa</t>
        </is>
      </c>
      <c r="C297" s="1792">
        <f>'Capacity Forecast'!C95</f>
        <v/>
      </c>
      <c r="D297" s="1793">
        <f>D294*D295+D296</f>
        <v/>
      </c>
      <c r="E297" s="1793">
        <f>E294*E295+E296</f>
        <v/>
      </c>
      <c r="F297" s="1793">
        <f>F294*F295+F296</f>
        <v/>
      </c>
      <c r="G297" s="1793">
        <f>G294*G295+G296</f>
        <v/>
      </c>
      <c r="H297" s="1793">
        <f>H294*H295+H296</f>
        <v/>
      </c>
      <c r="I297" s="1793">
        <f>I294*I295+I296</f>
        <v/>
      </c>
      <c r="J297" s="1793">
        <f>J294*J295+J296</f>
        <v/>
      </c>
      <c r="K297" s="490" t="n"/>
    </row>
    <row r="298">
      <c r="A298" s="1104" t="inlineStr">
        <is>
          <t>Closing crude steel capacity</t>
        </is>
      </c>
      <c r="B298" s="1105" t="inlineStr">
        <is>
          <t>Mtpa</t>
        </is>
      </c>
      <c r="C298" s="1792">
        <f>'Capacity Forecast'!C96</f>
        <v/>
      </c>
      <c r="D298" s="1793">
        <f>C298+D297</f>
        <v/>
      </c>
      <c r="E298" s="1793">
        <f>D298+E297</f>
        <v/>
      </c>
      <c r="F298" s="1793">
        <f>E298+F297</f>
        <v/>
      </c>
      <c r="G298" s="1793">
        <f>F298+G297</f>
        <v/>
      </c>
      <c r="H298" s="1793">
        <f>G298+H297</f>
        <v/>
      </c>
      <c r="I298" s="1793">
        <f>H298+I297</f>
        <v/>
      </c>
      <c r="J298" s="1793">
        <f>I298+J297</f>
        <v/>
      </c>
      <c r="K298" s="490" t="n"/>
    </row>
    <row r="299">
      <c r="A299" s="1104" t="inlineStr">
        <is>
          <t>Maximum practical utilisation</t>
        </is>
      </c>
      <c r="B299" s="1105" t="inlineStr">
        <is>
          <t>%</t>
        </is>
      </c>
      <c r="C299" s="1113">
        <f>'Model Assumptions'!$D$32</f>
        <v/>
      </c>
      <c r="D299" s="1113">
        <f>'Model Assumptions'!E$137</f>
        <v/>
      </c>
      <c r="E299" s="1113">
        <f>'Model Assumptions'!F$137</f>
        <v/>
      </c>
      <c r="F299" s="1113">
        <f>'Model Assumptions'!G$137</f>
        <v/>
      </c>
      <c r="G299" s="1113">
        <f>'Model Assumptions'!H$137</f>
        <v/>
      </c>
      <c r="H299" s="1113">
        <f>'Model Assumptions'!I$137</f>
        <v/>
      </c>
      <c r="I299" s="1113">
        <f>'Model Assumptions'!J$137</f>
        <v/>
      </c>
      <c r="J299" s="1113">
        <f>'Model Assumptions'!K$137</f>
        <v/>
      </c>
      <c r="K299" s="490" t="n"/>
    </row>
    <row r="300">
      <c r="A300" s="1104" t="inlineStr">
        <is>
          <t>Maximum crude steel production</t>
        </is>
      </c>
      <c r="B300" s="1105" t="inlineStr">
        <is>
          <t>Mt</t>
        </is>
      </c>
      <c r="C300" s="1793">
        <f>C298*C299</f>
        <v/>
      </c>
      <c r="D300" s="1793">
        <f>D298*D299</f>
        <v/>
      </c>
      <c r="E300" s="1793">
        <f>E298*E299</f>
        <v/>
      </c>
      <c r="F300" s="1793">
        <f>F298*F299</f>
        <v/>
      </c>
      <c r="G300" s="1793">
        <f>G298*G299</f>
        <v/>
      </c>
      <c r="H300" s="1793">
        <f>H298*H299</f>
        <v/>
      </c>
      <c r="I300" s="1793">
        <f>I298*I299</f>
        <v/>
      </c>
      <c r="J300" s="1793">
        <f>J298*J299</f>
        <v/>
      </c>
      <c r="K300" s="490" t="n"/>
    </row>
    <row r="301">
      <c r="A301" s="1104" t="inlineStr">
        <is>
          <t>Crude steel production</t>
        </is>
      </c>
      <c r="B301" s="1105" t="inlineStr">
        <is>
          <t>Mt</t>
        </is>
      </c>
      <c r="C301" s="1792">
        <f>'Steel Supply Model'!C88</f>
        <v/>
      </c>
      <c r="D301" s="1793">
        <f>MIN(D293,D300)</f>
        <v/>
      </c>
      <c r="E301" s="1793">
        <f>MIN(E293,E300)</f>
        <v/>
      </c>
      <c r="F301" s="1793">
        <f>MIN(F293,F300)</f>
        <v/>
      </c>
      <c r="G301" s="1793">
        <f>MIN(G293,G300)</f>
        <v/>
      </c>
      <c r="H301" s="1793">
        <f>MIN(H293,H300)</f>
        <v/>
      </c>
      <c r="I301" s="1793">
        <f>MIN(I293,I300)</f>
        <v/>
      </c>
      <c r="J301" s="1793">
        <f>MIN(J293,J300)</f>
        <v/>
      </c>
      <c r="K301" s="490" t="n"/>
    </row>
    <row r="302">
      <c r="A302" s="1104" t="inlineStr">
        <is>
          <t>Capacity utilisation</t>
        </is>
      </c>
      <c r="B302" s="1105" t="inlineStr">
        <is>
          <t>%</t>
        </is>
      </c>
      <c r="C302" s="1791">
        <f>C301/C298</f>
        <v/>
      </c>
      <c r="D302" s="1791">
        <f>D301/D298</f>
        <v/>
      </c>
      <c r="E302" s="1791">
        <f>E301/E298</f>
        <v/>
      </c>
      <c r="F302" s="1791">
        <f>F301/F298</f>
        <v/>
      </c>
      <c r="G302" s="1791">
        <f>G301/G298</f>
        <v/>
      </c>
      <c r="H302" s="1791">
        <f>H301/H298</f>
        <v/>
      </c>
      <c r="I302" s="1791">
        <f>I301/I298</f>
        <v/>
      </c>
      <c r="J302" s="1791">
        <f>J301/J298</f>
        <v/>
      </c>
      <c r="K302" s="490" t="n"/>
    </row>
    <row r="303">
      <c r="A303" s="1104" t="inlineStr">
        <is>
          <t>Finished steel production</t>
        </is>
      </c>
      <c r="B303" s="1105" t="inlineStr">
        <is>
          <t>Mt</t>
        </is>
      </c>
      <c r="C303" s="1792">
        <f>'Steel Supply Model'!C90</f>
        <v/>
      </c>
      <c r="D303" s="1793">
        <f>D301/D292</f>
        <v/>
      </c>
      <c r="E303" s="1793">
        <f>E301/E292</f>
        <v/>
      </c>
      <c r="F303" s="1793">
        <f>F301/F292</f>
        <v/>
      </c>
      <c r="G303" s="1793">
        <f>G301/G292</f>
        <v/>
      </c>
      <c r="H303" s="1793">
        <f>H301/H292</f>
        <v/>
      </c>
      <c r="I303" s="1793">
        <f>I301/I292</f>
        <v/>
      </c>
      <c r="J303" s="1793">
        <f>J301/J292</f>
        <v/>
      </c>
      <c r="K303" s="490" t="n"/>
    </row>
    <row r="304">
      <c r="A304" s="1104" t="inlineStr">
        <is>
          <t>Blended realisation - scenario driver</t>
        </is>
      </c>
      <c r="B304" s="1105" t="inlineStr">
        <is>
          <t>Rs/t</t>
        </is>
      </c>
      <c r="C304" s="1114">
        <f>'Steel Price Forecast'!C72</f>
        <v/>
      </c>
      <c r="D304" s="1114">
        <f>'Model Assumptions'!E$73</f>
        <v/>
      </c>
      <c r="E304" s="1114">
        <f>'Model Assumptions'!F$73</f>
        <v/>
      </c>
      <c r="F304" s="1114">
        <f>'Model Assumptions'!G$73</f>
        <v/>
      </c>
      <c r="G304" s="1114">
        <f>'Model Assumptions'!H$73</f>
        <v/>
      </c>
      <c r="H304" s="1114">
        <f>'Model Assumptions'!I$73</f>
        <v/>
      </c>
      <c r="I304" s="1114">
        <f>'Model Assumptions'!J$73</f>
        <v/>
      </c>
      <c r="J304" s="1114">
        <f>'Model Assumptions'!K$73</f>
        <v/>
      </c>
      <c r="K304" s="490" t="n"/>
    </row>
    <row r="305">
      <c r="A305" s="1104" t="inlineStr">
        <is>
          <t>Normal capacity utilisation</t>
        </is>
      </c>
      <c r="B305" s="1105" t="inlineStr">
        <is>
          <t>%</t>
        </is>
      </c>
      <c r="C305" s="1113">
        <f>'Model Assumptions'!$D$31</f>
        <v/>
      </c>
      <c r="D305" s="1113">
        <f>'Model Assumptions'!E$133</f>
        <v/>
      </c>
      <c r="E305" s="1113">
        <f>'Model Assumptions'!F$133</f>
        <v/>
      </c>
      <c r="F305" s="1113">
        <f>'Model Assumptions'!G$133</f>
        <v/>
      </c>
      <c r="G305" s="1113">
        <f>'Model Assumptions'!H$133</f>
        <v/>
      </c>
      <c r="H305" s="1113">
        <f>'Model Assumptions'!I$133</f>
        <v/>
      </c>
      <c r="I305" s="1113">
        <f>'Model Assumptions'!J$133</f>
        <v/>
      </c>
      <c r="J305" s="1113">
        <f>'Model Assumptions'!K$133</f>
        <v/>
      </c>
      <c r="K305" s="490" t="n"/>
    </row>
    <row r="306">
      <c r="A306" s="1104" t="inlineStr">
        <is>
          <t>Price sensitivity to utilisation</t>
        </is>
      </c>
      <c r="B306" s="1105" t="inlineStr">
        <is>
          <t>x</t>
        </is>
      </c>
      <c r="C306" s="1790">
        <f>'Model Assumptions'!$D$30</f>
        <v/>
      </c>
      <c r="D306" s="1790">
        <f>'Model Assumptions'!E$129</f>
        <v/>
      </c>
      <c r="E306" s="1790">
        <f>'Model Assumptions'!F$129</f>
        <v/>
      </c>
      <c r="F306" s="1790">
        <f>'Model Assumptions'!G$129</f>
        <v/>
      </c>
      <c r="G306" s="1790">
        <f>'Model Assumptions'!H$129</f>
        <v/>
      </c>
      <c r="H306" s="1790">
        <f>'Model Assumptions'!I$129</f>
        <v/>
      </c>
      <c r="I306" s="1790">
        <f>'Model Assumptions'!J$129</f>
        <v/>
      </c>
      <c r="J306" s="1790">
        <f>'Model Assumptions'!K$129</f>
        <v/>
      </c>
      <c r="K306" s="490" t="n"/>
    </row>
    <row r="307">
      <c r="A307" s="1104" t="inlineStr">
        <is>
          <t>Price adjustment factor (lagged one year)</t>
        </is>
      </c>
      <c r="B307" s="1105" t="inlineStr">
        <is>
          <t>x</t>
        </is>
      </c>
      <c r="C307" s="1800">
        <f>1</f>
        <v/>
      </c>
      <c r="D307" s="1797">
        <f>1+D306*(C302-D305)</f>
        <v/>
      </c>
      <c r="E307" s="1797">
        <f>1+E306*(D302-E305)</f>
        <v/>
      </c>
      <c r="F307" s="1797">
        <f>1+F306*(E302-F305)</f>
        <v/>
      </c>
      <c r="G307" s="1797">
        <f>1+G306*(F302-G305)</f>
        <v/>
      </c>
      <c r="H307" s="1797">
        <f>1+H306*(G302-H305)</f>
        <v/>
      </c>
      <c r="I307" s="1797">
        <f>1+I306*(H302-I305)</f>
        <v/>
      </c>
      <c r="J307" s="1797">
        <f>1+J306*(I302-J305)</f>
        <v/>
      </c>
      <c r="K307" s="490" t="n"/>
    </row>
    <row r="308">
      <c r="A308" s="1104" t="inlineStr">
        <is>
          <t>Blended realisation - effective</t>
        </is>
      </c>
      <c r="B308" s="1105" t="inlineStr">
        <is>
          <t>Rs/t</t>
        </is>
      </c>
      <c r="C308" s="1114">
        <f>'Steel Price Forecast'!C72</f>
        <v/>
      </c>
      <c r="D308" s="1117">
        <f>D304*D307</f>
        <v/>
      </c>
      <c r="E308" s="1117">
        <f>E304*E307</f>
        <v/>
      </c>
      <c r="F308" s="1117">
        <f>F304*F307</f>
        <v/>
      </c>
      <c r="G308" s="1117">
        <f>G304*G307</f>
        <v/>
      </c>
      <c r="H308" s="1117">
        <f>H304*H307</f>
        <v/>
      </c>
      <c r="I308" s="1117">
        <f>I304*I307</f>
        <v/>
      </c>
      <c r="J308" s="1117">
        <f>J304*J307</f>
        <v/>
      </c>
      <c r="K308" s="490" t="n"/>
    </row>
    <row r="309">
      <c r="A309" s="1104" t="inlineStr">
        <is>
          <t>Iron ore 62% Fe CFR China</t>
        </is>
      </c>
      <c r="B309" s="1105" t="inlineStr">
        <is>
          <t>US$/dmt</t>
        </is>
      </c>
      <c r="C309" s="1792">
        <f>'Raw Material Forecast'!C61</f>
        <v/>
      </c>
      <c r="D309" s="1792">
        <f>'Model Assumptions'!E$77</f>
        <v/>
      </c>
      <c r="E309" s="1792">
        <f>'Model Assumptions'!F$77</f>
        <v/>
      </c>
      <c r="F309" s="1792">
        <f>'Model Assumptions'!G$77</f>
        <v/>
      </c>
      <c r="G309" s="1792">
        <f>'Model Assumptions'!H$77</f>
        <v/>
      </c>
      <c r="H309" s="1792">
        <f>'Model Assumptions'!I$77</f>
        <v/>
      </c>
      <c r="I309" s="1792">
        <f>'Model Assumptions'!J$77</f>
        <v/>
      </c>
      <c r="J309" s="1792">
        <f>'Model Assumptions'!K$77</f>
        <v/>
      </c>
      <c r="K309" s="490" t="n"/>
    </row>
    <row r="310">
      <c r="A310" s="1104" t="inlineStr">
        <is>
          <t>Premium HCC coking coal FOB Australia</t>
        </is>
      </c>
      <c r="B310" s="1105" t="inlineStr">
        <is>
          <t>US$/t</t>
        </is>
      </c>
      <c r="C310" s="1114">
        <f>'Raw Material Forecast'!C62</f>
        <v/>
      </c>
      <c r="D310" s="1114">
        <f>'Model Assumptions'!E$81</f>
        <v/>
      </c>
      <c r="E310" s="1114">
        <f>'Model Assumptions'!F$81</f>
        <v/>
      </c>
      <c r="F310" s="1114">
        <f>'Model Assumptions'!G$81</f>
        <v/>
      </c>
      <c r="G310" s="1114">
        <f>'Model Assumptions'!H$81</f>
        <v/>
      </c>
      <c r="H310" s="1114">
        <f>'Model Assumptions'!I$81</f>
        <v/>
      </c>
      <c r="I310" s="1114">
        <f>'Model Assumptions'!J$81</f>
        <v/>
      </c>
      <c r="J310" s="1114">
        <f>'Model Assumptions'!K$81</f>
        <v/>
      </c>
      <c r="K310" s="490" t="n"/>
    </row>
    <row r="311">
      <c r="A311" s="1104" t="inlineStr">
        <is>
          <t>USD/INR</t>
        </is>
      </c>
      <c r="B311" s="1105" t="inlineStr">
        <is>
          <t>Rs/US$</t>
        </is>
      </c>
      <c r="C311" s="1792">
        <f>'Raw Material Forecast'!C63</f>
        <v/>
      </c>
      <c r="D311" s="1792">
        <f>'Model Assumptions'!E$49</f>
        <v/>
      </c>
      <c r="E311" s="1792">
        <f>'Model Assumptions'!F$49</f>
        <v/>
      </c>
      <c r="F311" s="1792">
        <f>'Model Assumptions'!G$49</f>
        <v/>
      </c>
      <c r="G311" s="1792">
        <f>'Model Assumptions'!H$49</f>
        <v/>
      </c>
      <c r="H311" s="1792">
        <f>'Model Assumptions'!I$49</f>
        <v/>
      </c>
      <c r="I311" s="1792">
        <f>'Model Assumptions'!J$49</f>
        <v/>
      </c>
      <c r="J311" s="1792">
        <f>'Model Assumptions'!K$49</f>
        <v/>
      </c>
      <c r="K311" s="490" t="n"/>
    </row>
    <row r="312">
      <c r="A312" s="1104" t="inlineStr">
        <is>
          <t>Iron ore in rupees</t>
        </is>
      </c>
      <c r="B312" s="1105" t="inlineStr">
        <is>
          <t>Rs/dmt</t>
        </is>
      </c>
      <c r="C312" s="1114">
        <f>'Raw Material Forecast'!C65</f>
        <v/>
      </c>
      <c r="D312" s="1117">
        <f>D309*D311</f>
        <v/>
      </c>
      <c r="E312" s="1117">
        <f>E309*E311</f>
        <v/>
      </c>
      <c r="F312" s="1117">
        <f>F309*F311</f>
        <v/>
      </c>
      <c r="G312" s="1117">
        <f>G309*G311</f>
        <v/>
      </c>
      <c r="H312" s="1117">
        <f>H309*H311</f>
        <v/>
      </c>
      <c r="I312" s="1117">
        <f>I309*I311</f>
        <v/>
      </c>
      <c r="J312" s="1117">
        <f>J309*J311</f>
        <v/>
      </c>
      <c r="K312" s="490" t="n"/>
    </row>
    <row r="313">
      <c r="A313" s="1104" t="inlineStr">
        <is>
          <t>Coking coal in rupees</t>
        </is>
      </c>
      <c r="B313" s="1105" t="inlineStr">
        <is>
          <t>Rs/t</t>
        </is>
      </c>
      <c r="C313" s="1114">
        <f>'Raw Material Forecast'!C66</f>
        <v/>
      </c>
      <c r="D313" s="1117">
        <f>D310*D311</f>
        <v/>
      </c>
      <c r="E313" s="1117">
        <f>E310*E311</f>
        <v/>
      </c>
      <c r="F313" s="1117">
        <f>F310*F311</f>
        <v/>
      </c>
      <c r="G313" s="1117">
        <f>G310*G311</f>
        <v/>
      </c>
      <c r="H313" s="1117">
        <f>H310*H311</f>
        <v/>
      </c>
      <c r="I313" s="1117">
        <f>I310*I311</f>
        <v/>
      </c>
      <c r="J313" s="1117">
        <f>J310*J311</f>
        <v/>
      </c>
      <c r="K313" s="490" t="n"/>
    </row>
    <row r="314">
      <c r="A314" s="1104" t="inlineStr">
        <is>
          <t>Conversion cost inflation</t>
        </is>
      </c>
      <c r="B314" s="1105" t="inlineStr">
        <is>
          <t>%</t>
        </is>
      </c>
      <c r="C314" s="490" t="n"/>
      <c r="D314" s="1789">
        <f>'Model Assumptions'!E$85</f>
        <v/>
      </c>
      <c r="E314" s="1789">
        <f>'Model Assumptions'!F$85</f>
        <v/>
      </c>
      <c r="F314" s="1789">
        <f>'Model Assumptions'!G$85</f>
        <v/>
      </c>
      <c r="G314" s="1789">
        <f>'Model Assumptions'!H$85</f>
        <v/>
      </c>
      <c r="H314" s="1789">
        <f>'Model Assumptions'!I$85</f>
        <v/>
      </c>
      <c r="I314" s="1789">
        <f>'Model Assumptions'!J$85</f>
        <v/>
      </c>
      <c r="J314" s="1789">
        <f>'Model Assumptions'!K$85</f>
        <v/>
      </c>
      <c r="K314" s="490" t="n"/>
    </row>
    <row r="315">
      <c r="A315" s="1104" t="inlineStr">
        <is>
          <t>Conversion cost index</t>
        </is>
      </c>
      <c r="B315" s="1105" t="inlineStr">
        <is>
          <t>x</t>
        </is>
      </c>
      <c r="C315" s="1800">
        <f>1</f>
        <v/>
      </c>
      <c r="D315" s="1797">
        <f>C315*(1+D314)</f>
        <v/>
      </c>
      <c r="E315" s="1797">
        <f>D315*(1+E314)</f>
        <v/>
      </c>
      <c r="F315" s="1797">
        <f>E315*(1+F314)</f>
        <v/>
      </c>
      <c r="G315" s="1797">
        <f>F315*(1+G314)</f>
        <v/>
      </c>
      <c r="H315" s="1797">
        <f>G315*(1+H314)</f>
        <v/>
      </c>
      <c r="I315" s="1797">
        <f>H315*(1+I314)</f>
        <v/>
      </c>
      <c r="J315" s="1797">
        <f>I315*(1+J314)</f>
        <v/>
      </c>
      <c r="K315" s="490" t="n"/>
    </row>
    <row r="316">
      <c r="A316" s="1104" t="inlineStr">
        <is>
          <t>Iron ore weight in the raw material basket</t>
        </is>
      </c>
      <c r="B316" s="1105" t="inlineStr">
        <is>
          <t>%</t>
        </is>
      </c>
      <c r="C316" s="1113">
        <f>'Model Assumptions'!$D$21</f>
        <v/>
      </c>
      <c r="D316" s="1113">
        <f>'Model Assumptions'!E$93</f>
        <v/>
      </c>
      <c r="E316" s="1113">
        <f>'Model Assumptions'!F$93</f>
        <v/>
      </c>
      <c r="F316" s="1113">
        <f>'Model Assumptions'!G$93</f>
        <v/>
      </c>
      <c r="G316" s="1113">
        <f>'Model Assumptions'!H$93</f>
        <v/>
      </c>
      <c r="H316" s="1113">
        <f>'Model Assumptions'!I$93</f>
        <v/>
      </c>
      <c r="I316" s="1113">
        <f>'Model Assumptions'!J$93</f>
        <v/>
      </c>
      <c r="J316" s="1113">
        <f>'Model Assumptions'!K$93</f>
        <v/>
      </c>
      <c r="K316" s="490" t="n"/>
    </row>
    <row r="317">
      <c r="A317" s="1104" t="inlineStr">
        <is>
          <t>Raw material cost index</t>
        </is>
      </c>
      <c r="B317" s="1105" t="inlineStr">
        <is>
          <t>x</t>
        </is>
      </c>
      <c r="C317" s="1800">
        <f>1</f>
        <v/>
      </c>
      <c r="D317" s="1797">
        <f>D316*(D312/$C$317)+D316*(D313/$C$318)+(1-2*D316)*D315</f>
        <v/>
      </c>
      <c r="E317" s="1797">
        <f>E316*(E312/$C$317)+E316*(E313/$C$318)+(1-2*E316)*E315</f>
        <v/>
      </c>
      <c r="F317" s="1797">
        <f>F316*(F312/$C$317)+F316*(F313/$C$318)+(1-2*F316)*F315</f>
        <v/>
      </c>
      <c r="G317" s="1797">
        <f>G316*(G312/$C$317)+G316*(G313/$C$318)+(1-2*G316)*G315</f>
        <v/>
      </c>
      <c r="H317" s="1797">
        <f>H316*(H312/$C$317)+H316*(H313/$C$318)+(1-2*H316)*H315</f>
        <v/>
      </c>
      <c r="I317" s="1797">
        <f>I316*(I312/$C$317)+I316*(I313/$C$318)+(1-2*I316)*I315</f>
        <v/>
      </c>
      <c r="J317" s="1797">
        <f>J316*(J312/$C$317)+J316*(J313/$C$318)+(1-2*J316)*J315</f>
        <v/>
      </c>
      <c r="K317" s="490" t="n"/>
    </row>
    <row r="318">
      <c r="A318" s="1104" t="inlineStr">
        <is>
          <t>Raw material share of cash cost</t>
        </is>
      </c>
      <c r="B318" s="1105" t="inlineStr">
        <is>
          <t>%</t>
        </is>
      </c>
      <c r="C318" s="1113">
        <f>'Model Assumptions'!$D$20</f>
        <v/>
      </c>
      <c r="D318" s="1113">
        <f>'Model Assumptions'!E$89</f>
        <v/>
      </c>
      <c r="E318" s="1113">
        <f>'Model Assumptions'!F$89</f>
        <v/>
      </c>
      <c r="F318" s="1113">
        <f>'Model Assumptions'!G$89</f>
        <v/>
      </c>
      <c r="G318" s="1113">
        <f>'Model Assumptions'!H$89</f>
        <v/>
      </c>
      <c r="H318" s="1113">
        <f>'Model Assumptions'!I$89</f>
        <v/>
      </c>
      <c r="I318" s="1113">
        <f>'Model Assumptions'!J$89</f>
        <v/>
      </c>
      <c r="J318" s="1113">
        <f>'Model Assumptions'!K$89</f>
        <v/>
      </c>
      <c r="K318" s="490" t="n"/>
    </row>
    <row r="319">
      <c r="A319" s="1104" t="inlineStr">
        <is>
          <t>Industry cash cost per tonne</t>
        </is>
      </c>
      <c r="B319" s="1105" t="inlineStr">
        <is>
          <t>Rs/t</t>
        </is>
      </c>
      <c r="C319" s="1114">
        <f>'Cost Curve'!C65</f>
        <v/>
      </c>
      <c r="D319" s="1117">
        <f>$C$324*(D318*D317+(1-D318)*D315)</f>
        <v/>
      </c>
      <c r="E319" s="1117">
        <f>$C$324*(E318*E317+(1-E318)*E315)</f>
        <v/>
      </c>
      <c r="F319" s="1117">
        <f>$C$324*(F318*F317+(1-F318)*F315)</f>
        <v/>
      </c>
      <c r="G319" s="1117">
        <f>$C$324*(G318*G317+(1-G318)*G315)</f>
        <v/>
      </c>
      <c r="H319" s="1117">
        <f>$C$324*(H318*H317+(1-H318)*H315)</f>
        <v/>
      </c>
      <c r="I319" s="1117">
        <f>$C$324*(I318*I317+(1-I318)*I315)</f>
        <v/>
      </c>
      <c r="J319" s="1117">
        <f>$C$324*(J318*J317+(1-J318)*J315)</f>
        <v/>
      </c>
      <c r="K319" s="490" t="n"/>
    </row>
    <row r="320">
      <c r="A320" s="1104" t="inlineStr">
        <is>
          <t>Industry EBITDA per tonne</t>
        </is>
      </c>
      <c r="B320" s="1105" t="inlineStr">
        <is>
          <t>Rs/t</t>
        </is>
      </c>
      <c r="C320" s="1117">
        <f>C308-C319</f>
        <v/>
      </c>
      <c r="D320" s="1117">
        <f>D308-D319</f>
        <v/>
      </c>
      <c r="E320" s="1117">
        <f>E308-E319</f>
        <v/>
      </c>
      <c r="F320" s="1117">
        <f>F308-F319</f>
        <v/>
      </c>
      <c r="G320" s="1117">
        <f>G308-G319</f>
        <v/>
      </c>
      <c r="H320" s="1117">
        <f>H308-H319</f>
        <v/>
      </c>
      <c r="I320" s="1117">
        <f>I308-I319</f>
        <v/>
      </c>
      <c r="J320" s="1117">
        <f>J308-J319</f>
        <v/>
      </c>
      <c r="K320" s="490" t="n"/>
    </row>
    <row r="321">
      <c r="A321" s="1104" t="inlineStr">
        <is>
          <t>Industry revenue</t>
        </is>
      </c>
      <c r="B321" s="1105" t="inlineStr">
        <is>
          <t>Rs cr</t>
        </is>
      </c>
      <c r="C321" s="1114">
        <f>'Revenue Forecast'!C95</f>
        <v/>
      </c>
      <c r="D321" s="1117">
        <f>D303*D308/10</f>
        <v/>
      </c>
      <c r="E321" s="1117">
        <f>E303*E308/10</f>
        <v/>
      </c>
      <c r="F321" s="1117">
        <f>F303*F308/10</f>
        <v/>
      </c>
      <c r="G321" s="1117">
        <f>G303*G308/10</f>
        <v/>
      </c>
      <c r="H321" s="1117">
        <f>H303*H308/10</f>
        <v/>
      </c>
      <c r="I321" s="1117">
        <f>I303*I308/10</f>
        <v/>
      </c>
      <c r="J321" s="1117">
        <f>J303*J308/10</f>
        <v/>
      </c>
      <c r="K321" s="490" t="n"/>
    </row>
    <row r="322">
      <c r="A322" s="1104" t="inlineStr">
        <is>
          <t>Industry EBITDA</t>
        </is>
      </c>
      <c r="B322" s="1105" t="inlineStr">
        <is>
          <t>Rs cr</t>
        </is>
      </c>
      <c r="C322" s="1117">
        <f>C303*C320/10</f>
        <v/>
      </c>
      <c r="D322" s="1117">
        <f>D303*D320/10</f>
        <v/>
      </c>
      <c r="E322" s="1117">
        <f>E303*E320/10</f>
        <v/>
      </c>
      <c r="F322" s="1117">
        <f>F303*F320/10</f>
        <v/>
      </c>
      <c r="G322" s="1117">
        <f>G303*G320/10</f>
        <v/>
      </c>
      <c r="H322" s="1117">
        <f>H303*H320/10</f>
        <v/>
      </c>
      <c r="I322" s="1117">
        <f>I303*I320/10</f>
        <v/>
      </c>
      <c r="J322" s="1117">
        <f>J303*J320/10</f>
        <v/>
      </c>
      <c r="K322" s="490" t="n"/>
    </row>
    <row r="323">
      <c r="A323" s="1104" t="inlineStr">
        <is>
          <t>Industry EBITDA margin</t>
        </is>
      </c>
      <c r="B323" s="1105" t="inlineStr">
        <is>
          <t>%</t>
        </is>
      </c>
      <c r="C323" s="1791">
        <f>C320/C308</f>
        <v/>
      </c>
      <c r="D323" s="1791">
        <f>D320/D308</f>
        <v/>
      </c>
      <c r="E323" s="1791">
        <f>E320/E308</f>
        <v/>
      </c>
      <c r="F323" s="1791">
        <f>F320/F308</f>
        <v/>
      </c>
      <c r="G323" s="1791">
        <f>G320/G308</f>
        <v/>
      </c>
      <c r="H323" s="1791">
        <f>H320/H308</f>
        <v/>
      </c>
      <c r="I323" s="1791">
        <f>I320/I308</f>
        <v/>
      </c>
      <c r="J323" s="1791">
        <f>J320/J308</f>
        <v/>
      </c>
      <c r="K323" s="490" t="n"/>
    </row>
    <row r="324">
      <c r="A324" s="1104" t="inlineStr">
        <is>
          <t>Depreciation and amortisation</t>
        </is>
      </c>
      <c r="B324" s="1105" t="inlineStr">
        <is>
          <t>% of revenue</t>
        </is>
      </c>
      <c r="C324" s="1118">
        <f>'Cash Flow Model'!$C$92</f>
        <v/>
      </c>
      <c r="D324" s="1118">
        <f>'Model Assumptions'!E$141</f>
        <v/>
      </c>
      <c r="E324" s="1118">
        <f>'Model Assumptions'!F$141</f>
        <v/>
      </c>
      <c r="F324" s="1118">
        <f>'Model Assumptions'!G$141</f>
        <v/>
      </c>
      <c r="G324" s="1118">
        <f>'Model Assumptions'!H$141</f>
        <v/>
      </c>
      <c r="H324" s="1118">
        <f>'Model Assumptions'!I$141</f>
        <v/>
      </c>
      <c r="I324" s="1118">
        <f>'Model Assumptions'!J$141</f>
        <v/>
      </c>
      <c r="J324" s="1118">
        <f>'Model Assumptions'!K$141</f>
        <v/>
      </c>
      <c r="K324" s="490" t="n"/>
    </row>
    <row r="325">
      <c r="A325" s="1104" t="inlineStr">
        <is>
          <t>Depreciation and amortisation</t>
        </is>
      </c>
      <c r="B325" s="1105" t="inlineStr">
        <is>
          <t>Rs cr</t>
        </is>
      </c>
      <c r="C325" s="1117">
        <f>C321*C324</f>
        <v/>
      </c>
      <c r="D325" s="1117">
        <f>D321*D324</f>
        <v/>
      </c>
      <c r="E325" s="1117">
        <f>E321*E324</f>
        <v/>
      </c>
      <c r="F325" s="1117">
        <f>F321*F324</f>
        <v/>
      </c>
      <c r="G325" s="1117">
        <f>G321*G324</f>
        <v/>
      </c>
      <c r="H325" s="1117">
        <f>H321*H324</f>
        <v/>
      </c>
      <c r="I325" s="1117">
        <f>I321*I324</f>
        <v/>
      </c>
      <c r="J325" s="1117">
        <f>J321*J324</f>
        <v/>
      </c>
      <c r="K325" s="490" t="n"/>
    </row>
    <row r="326">
      <c r="A326" s="1104" t="inlineStr">
        <is>
          <t>EBIT</t>
        </is>
      </c>
      <c r="B326" s="1105" t="inlineStr">
        <is>
          <t>Rs cr</t>
        </is>
      </c>
      <c r="C326" s="1798">
        <f>C322-C325</f>
        <v/>
      </c>
      <c r="D326" s="1798">
        <f>D322-D325</f>
        <v/>
      </c>
      <c r="E326" s="1798">
        <f>E322-E325</f>
        <v/>
      </c>
      <c r="F326" s="1798">
        <f>F322-F325</f>
        <v/>
      </c>
      <c r="G326" s="1798">
        <f>G322-G325</f>
        <v/>
      </c>
      <c r="H326" s="1798">
        <f>H322-H325</f>
        <v/>
      </c>
      <c r="I326" s="1798">
        <f>I322-I325</f>
        <v/>
      </c>
      <c r="J326" s="1798">
        <f>J322-J325</f>
        <v/>
      </c>
      <c r="K326" s="490" t="n"/>
    </row>
    <row r="327">
      <c r="A327" s="1104" t="inlineStr">
        <is>
          <t>Effective tax rate</t>
        </is>
      </c>
      <c r="B327" s="1105" t="inlineStr">
        <is>
          <t>%</t>
        </is>
      </c>
      <c r="C327" s="1118">
        <f>'Cash Flow Model'!$C$95</f>
        <v/>
      </c>
      <c r="D327" s="1118">
        <f>'Model Assumptions'!E$97</f>
        <v/>
      </c>
      <c r="E327" s="1118">
        <f>'Model Assumptions'!F$97</f>
        <v/>
      </c>
      <c r="F327" s="1118">
        <f>'Model Assumptions'!G$97</f>
        <v/>
      </c>
      <c r="G327" s="1118">
        <f>'Model Assumptions'!H$97</f>
        <v/>
      </c>
      <c r="H327" s="1118">
        <f>'Model Assumptions'!I$97</f>
        <v/>
      </c>
      <c r="I327" s="1118">
        <f>'Model Assumptions'!J$97</f>
        <v/>
      </c>
      <c r="J327" s="1118">
        <f>'Model Assumptions'!K$97</f>
        <v/>
      </c>
      <c r="K327" s="490" t="n"/>
    </row>
    <row r="328">
      <c r="A328" s="1104" t="inlineStr">
        <is>
          <t>Cash tax</t>
        </is>
      </c>
      <c r="B328" s="1105" t="inlineStr">
        <is>
          <t>Rs cr</t>
        </is>
      </c>
      <c r="C328" s="1117">
        <f>MAX(0,C326)*C327</f>
        <v/>
      </c>
      <c r="D328" s="1117">
        <f>MAX(0,D326)*D327</f>
        <v/>
      </c>
      <c r="E328" s="1117">
        <f>MAX(0,E326)*E327</f>
        <v/>
      </c>
      <c r="F328" s="1117">
        <f>MAX(0,F326)*F327</f>
        <v/>
      </c>
      <c r="G328" s="1117">
        <f>MAX(0,G326)*G327</f>
        <v/>
      </c>
      <c r="H328" s="1117">
        <f>MAX(0,H326)*H327</f>
        <v/>
      </c>
      <c r="I328" s="1117">
        <f>MAX(0,I326)*I327</f>
        <v/>
      </c>
      <c r="J328" s="1117">
        <f>MAX(0,J326)*J327</f>
        <v/>
      </c>
      <c r="K328" s="490" t="n"/>
    </row>
    <row r="329">
      <c r="A329" s="1104" t="inlineStr">
        <is>
          <t>Capex intensity</t>
        </is>
      </c>
      <c r="B329" s="1105" t="inlineStr">
        <is>
          <t>Rs/t of capacity</t>
        </is>
      </c>
      <c r="C329" s="1114">
        <f>'Model Assumptions'!$D$23</f>
        <v/>
      </c>
      <c r="D329" s="1114">
        <f>'Model Assumptions'!E$101</f>
        <v/>
      </c>
      <c r="E329" s="1114">
        <f>'Model Assumptions'!F$101</f>
        <v/>
      </c>
      <c r="F329" s="1114">
        <f>'Model Assumptions'!G$101</f>
        <v/>
      </c>
      <c r="G329" s="1114">
        <f>'Model Assumptions'!H$101</f>
        <v/>
      </c>
      <c r="H329" s="1114">
        <f>'Model Assumptions'!I$101</f>
        <v/>
      </c>
      <c r="I329" s="1114">
        <f>'Model Assumptions'!J$101</f>
        <v/>
      </c>
      <c r="J329" s="1114">
        <f>'Model Assumptions'!K$101</f>
        <v/>
      </c>
      <c r="K329" s="490" t="n"/>
    </row>
    <row r="330">
      <c r="A330" s="1104" t="inlineStr">
        <is>
          <t>Growth capex</t>
        </is>
      </c>
      <c r="B330" s="1105" t="inlineStr">
        <is>
          <t>Rs cr</t>
        </is>
      </c>
      <c r="C330" s="490" t="n"/>
      <c r="D330" s="1117">
        <f>D297*D329/10</f>
        <v/>
      </c>
      <c r="E330" s="1117">
        <f>E297*E329/10</f>
        <v/>
      </c>
      <c r="F330" s="1117">
        <f>F297*F329/10</f>
        <v/>
      </c>
      <c r="G330" s="1117">
        <f>G297*G329/10</f>
        <v/>
      </c>
      <c r="H330" s="1117">
        <f>H297*H329/10</f>
        <v/>
      </c>
      <c r="I330" s="1117">
        <f>I297*I329/10</f>
        <v/>
      </c>
      <c r="J330" s="1117">
        <f>J297*J329/10</f>
        <v/>
      </c>
      <c r="K330" s="490" t="n"/>
    </row>
    <row r="331">
      <c r="A331" s="1104" t="inlineStr">
        <is>
          <t>Maintenance capex</t>
        </is>
      </c>
      <c r="B331" s="1105" t="inlineStr">
        <is>
          <t>% of revenue</t>
        </is>
      </c>
      <c r="C331" s="1789">
        <f>'Model Assumptions'!$D$24</f>
        <v/>
      </c>
      <c r="D331" s="1789">
        <f>'Model Assumptions'!E$105</f>
        <v/>
      </c>
      <c r="E331" s="1789">
        <f>'Model Assumptions'!F$105</f>
        <v/>
      </c>
      <c r="F331" s="1789">
        <f>'Model Assumptions'!G$105</f>
        <v/>
      </c>
      <c r="G331" s="1789">
        <f>'Model Assumptions'!H$105</f>
        <v/>
      </c>
      <c r="H331" s="1789">
        <f>'Model Assumptions'!I$105</f>
        <v/>
      </c>
      <c r="I331" s="1789">
        <f>'Model Assumptions'!J$105</f>
        <v/>
      </c>
      <c r="J331" s="1789">
        <f>'Model Assumptions'!K$105</f>
        <v/>
      </c>
      <c r="K331" s="490" t="n"/>
    </row>
    <row r="332">
      <c r="A332" s="1104" t="inlineStr">
        <is>
          <t>Maintenance capex</t>
        </is>
      </c>
      <c r="B332" s="1105" t="inlineStr">
        <is>
          <t>Rs cr</t>
        </is>
      </c>
      <c r="C332" s="490" t="n"/>
      <c r="D332" s="1117">
        <f>D321*D331</f>
        <v/>
      </c>
      <c r="E332" s="1117">
        <f>E321*E331</f>
        <v/>
      </c>
      <c r="F332" s="1117">
        <f>F321*F331</f>
        <v/>
      </c>
      <c r="G332" s="1117">
        <f>G321*G331</f>
        <v/>
      </c>
      <c r="H332" s="1117">
        <f>H321*H331</f>
        <v/>
      </c>
      <c r="I332" s="1117">
        <f>I321*I331</f>
        <v/>
      </c>
      <c r="J332" s="1117">
        <f>J321*J331</f>
        <v/>
      </c>
      <c r="K332" s="490" t="n"/>
    </row>
    <row r="333">
      <c r="A333" s="1104" t="inlineStr">
        <is>
          <t>Total capex</t>
        </is>
      </c>
      <c r="B333" s="1105" t="inlineStr">
        <is>
          <t>Rs cr</t>
        </is>
      </c>
      <c r="C333" s="490" t="n"/>
      <c r="D333" s="1117">
        <f>D330+D332</f>
        <v/>
      </c>
      <c r="E333" s="1117">
        <f>E330+E332</f>
        <v/>
      </c>
      <c r="F333" s="1117">
        <f>F330+F332</f>
        <v/>
      </c>
      <c r="G333" s="1117">
        <f>G330+G332</f>
        <v/>
      </c>
      <c r="H333" s="1117">
        <f>H330+H332</f>
        <v/>
      </c>
      <c r="I333" s="1117">
        <f>I330+I332</f>
        <v/>
      </c>
      <c r="J333" s="1117">
        <f>J330+J332</f>
        <v/>
      </c>
      <c r="K333" s="490" t="n"/>
    </row>
    <row r="334">
      <c r="A334" s="1104" t="inlineStr">
        <is>
          <t>Net working capital</t>
        </is>
      </c>
      <c r="B334" s="1105" t="inlineStr">
        <is>
          <t>days of revenue</t>
        </is>
      </c>
      <c r="C334" s="1114">
        <f>'Working Capital Model'!$C$70</f>
        <v/>
      </c>
      <c r="D334" s="1114">
        <f>'Model Assumptions'!E$109</f>
        <v/>
      </c>
      <c r="E334" s="1114">
        <f>'Model Assumptions'!F$109</f>
        <v/>
      </c>
      <c r="F334" s="1114">
        <f>'Model Assumptions'!G$109</f>
        <v/>
      </c>
      <c r="G334" s="1114">
        <f>'Model Assumptions'!H$109</f>
        <v/>
      </c>
      <c r="H334" s="1114">
        <f>'Model Assumptions'!I$109</f>
        <v/>
      </c>
      <c r="I334" s="1114">
        <f>'Model Assumptions'!J$109</f>
        <v/>
      </c>
      <c r="J334" s="1114">
        <f>'Model Assumptions'!K$109</f>
        <v/>
      </c>
      <c r="K334" s="490" t="n"/>
    </row>
    <row r="335">
      <c r="A335" s="1104" t="inlineStr">
        <is>
          <t>Net working capital</t>
        </is>
      </c>
      <c r="B335" s="1105" t="inlineStr">
        <is>
          <t>Rs cr</t>
        </is>
      </c>
      <c r="C335" s="1114">
        <f>'Working Capital Model'!$C$71</f>
        <v/>
      </c>
      <c r="D335" s="1117">
        <f>D321*D334/365</f>
        <v/>
      </c>
      <c r="E335" s="1117">
        <f>E321*E334/365</f>
        <v/>
      </c>
      <c r="F335" s="1117">
        <f>F321*F334/365</f>
        <v/>
      </c>
      <c r="G335" s="1117">
        <f>G321*G334/365</f>
        <v/>
      </c>
      <c r="H335" s="1117">
        <f>H321*H334/365</f>
        <v/>
      </c>
      <c r="I335" s="1117">
        <f>I321*I334/365</f>
        <v/>
      </c>
      <c r="J335" s="1117">
        <f>J321*J334/365</f>
        <v/>
      </c>
      <c r="K335" s="490" t="n"/>
    </row>
    <row r="336">
      <c r="A336" s="1104" t="inlineStr">
        <is>
          <t>Change in net working capital</t>
        </is>
      </c>
      <c r="B336" s="1105" t="inlineStr">
        <is>
          <t>Rs cr</t>
        </is>
      </c>
      <c r="C336" s="490" t="n"/>
      <c r="D336" s="1798">
        <f>D335-C335</f>
        <v/>
      </c>
      <c r="E336" s="1798">
        <f>E335-D335</f>
        <v/>
      </c>
      <c r="F336" s="1798">
        <f>F335-E335</f>
        <v/>
      </c>
      <c r="G336" s="1798">
        <f>G335-F335</f>
        <v/>
      </c>
      <c r="H336" s="1798">
        <f>H335-G335</f>
        <v/>
      </c>
      <c r="I336" s="1798">
        <f>I335-H335</f>
        <v/>
      </c>
      <c r="J336" s="1798">
        <f>J335-I335</f>
        <v/>
      </c>
      <c r="K336" s="490" t="n"/>
    </row>
    <row r="337">
      <c r="A337" s="1104" t="inlineStr">
        <is>
          <t>Unlevered free cash flow</t>
        </is>
      </c>
      <c r="B337" s="1105" t="inlineStr">
        <is>
          <t>Rs cr</t>
        </is>
      </c>
      <c r="C337" s="490" t="n"/>
      <c r="D337" s="1798">
        <f>D322-D328-D333-D336</f>
        <v/>
      </c>
      <c r="E337" s="1798">
        <f>E322-E328-E333-E336</f>
        <v/>
      </c>
      <c r="F337" s="1798">
        <f>F322-F328-F333-F336</f>
        <v/>
      </c>
      <c r="G337" s="1798">
        <f>G322-G328-G333-G336</f>
        <v/>
      </c>
      <c r="H337" s="1798">
        <f>H322-H328-H333-H336</f>
        <v/>
      </c>
      <c r="I337" s="1798">
        <f>I322-I328-I333-I336</f>
        <v/>
      </c>
      <c r="J337" s="1798">
        <f>J322-J328-J333-J336</f>
        <v/>
      </c>
      <c r="K337" s="490" t="n"/>
    </row>
    <row r="338">
      <c r="A338" s="1104" t="inlineStr">
        <is>
          <t>Exit EV/EBITDA multiple</t>
        </is>
      </c>
      <c r="B338" s="1105" t="inlineStr">
        <is>
          <t>x</t>
        </is>
      </c>
      <c r="C338" s="490" t="n"/>
      <c r="D338" s="1799">
        <f>'Model Assumptions'!E$113</f>
        <v/>
      </c>
      <c r="E338" s="1799">
        <f>'Model Assumptions'!F$113</f>
        <v/>
      </c>
      <c r="F338" s="1799">
        <f>'Model Assumptions'!G$113</f>
        <v/>
      </c>
      <c r="G338" s="1799">
        <f>'Model Assumptions'!H$113</f>
        <v/>
      </c>
      <c r="H338" s="1799">
        <f>'Model Assumptions'!I$113</f>
        <v/>
      </c>
      <c r="I338" s="1799">
        <f>'Model Assumptions'!J$113</f>
        <v/>
      </c>
      <c r="J338" s="1799">
        <f>'Model Assumptions'!K$113</f>
        <v/>
      </c>
      <c r="K338" s="490" t="n"/>
    </row>
    <row r="339">
      <c r="A339" s="1104" t="inlineStr">
        <is>
          <t>WACC (nominal, INR)</t>
        </is>
      </c>
      <c r="B339" s="1105" t="inlineStr">
        <is>
          <t>%</t>
        </is>
      </c>
      <c r="C339" s="490" t="n"/>
      <c r="D339" s="1789">
        <f>'Model Assumptions'!E$117</f>
        <v/>
      </c>
      <c r="E339" s="1789">
        <f>'Model Assumptions'!F$117</f>
        <v/>
      </c>
      <c r="F339" s="1789">
        <f>'Model Assumptions'!G$117</f>
        <v/>
      </c>
      <c r="G339" s="1789">
        <f>'Model Assumptions'!H$117</f>
        <v/>
      </c>
      <c r="H339" s="1789">
        <f>'Model Assumptions'!I$117</f>
        <v/>
      </c>
      <c r="I339" s="1789">
        <f>'Model Assumptions'!J$117</f>
        <v/>
      </c>
      <c r="J339" s="1789">
        <f>'Model Assumptions'!K$117</f>
        <v/>
      </c>
      <c r="K339" s="490" t="n"/>
    </row>
    <row r="340">
      <c r="A340" s="1104" t="inlineStr">
        <is>
          <t>Finished steel imports - driver</t>
        </is>
      </c>
      <c r="B340" s="1105" t="inlineStr">
        <is>
          <t>Mt</t>
        </is>
      </c>
      <c r="C340" s="1792">
        <f>'Trade Model'!$C$68</f>
        <v/>
      </c>
      <c r="D340" s="1792">
        <f>'Model Assumptions'!E$121</f>
        <v/>
      </c>
      <c r="E340" s="1792">
        <f>'Model Assumptions'!F$121</f>
        <v/>
      </c>
      <c r="F340" s="1792">
        <f>'Model Assumptions'!G$121</f>
        <v/>
      </c>
      <c r="G340" s="1792">
        <f>'Model Assumptions'!H$121</f>
        <v/>
      </c>
      <c r="H340" s="1792">
        <f>'Model Assumptions'!I$121</f>
        <v/>
      </c>
      <c r="I340" s="1792">
        <f>'Model Assumptions'!J$121</f>
        <v/>
      </c>
      <c r="J340" s="1792">
        <f>'Model Assumptions'!K$121</f>
        <v/>
      </c>
      <c r="K340" s="490" t="n"/>
    </row>
    <row r="341">
      <c r="A341" s="1104" t="inlineStr">
        <is>
          <t>Shortfall routed from the capacity ceiling</t>
        </is>
      </c>
      <c r="B341" s="1105" t="inlineStr">
        <is>
          <t>Mt</t>
        </is>
      </c>
      <c r="C341" s="1792">
        <f>0</f>
        <v/>
      </c>
      <c r="D341" s="1793">
        <f>MAX(0,D291-D303)</f>
        <v/>
      </c>
      <c r="E341" s="1793">
        <f>MAX(0,E291-E303)</f>
        <v/>
      </c>
      <c r="F341" s="1793">
        <f>MAX(0,F291-F303)</f>
        <v/>
      </c>
      <c r="G341" s="1793">
        <f>MAX(0,G291-G303)</f>
        <v/>
      </c>
      <c r="H341" s="1793">
        <f>MAX(0,H291-H303)</f>
        <v/>
      </c>
      <c r="I341" s="1793">
        <f>MAX(0,I291-I303)</f>
        <v/>
      </c>
      <c r="J341" s="1793">
        <f>MAX(0,J291-J303)</f>
        <v/>
      </c>
      <c r="K341" s="490" t="n"/>
    </row>
    <row r="342">
      <c r="A342" s="1104" t="inlineStr">
        <is>
          <t>Total finished steel imports</t>
        </is>
      </c>
      <c r="B342" s="1105" t="inlineStr">
        <is>
          <t>Mt</t>
        </is>
      </c>
      <c r="C342" s="1793">
        <f>C340+C341</f>
        <v/>
      </c>
      <c r="D342" s="1793">
        <f>D340+D341</f>
        <v/>
      </c>
      <c r="E342" s="1793">
        <f>E340+E341</f>
        <v/>
      </c>
      <c r="F342" s="1793">
        <f>F340+F341</f>
        <v/>
      </c>
      <c r="G342" s="1793">
        <f>G340+G341</f>
        <v/>
      </c>
      <c r="H342" s="1793">
        <f>H340+H341</f>
        <v/>
      </c>
      <c r="I342" s="1793">
        <f>I340+I341</f>
        <v/>
      </c>
      <c r="J342" s="1793">
        <f>J340+J341</f>
        <v/>
      </c>
      <c r="K342" s="490" t="n"/>
    </row>
    <row r="343">
      <c r="A343" s="1104" t="inlineStr">
        <is>
          <t>Finished steel exports</t>
        </is>
      </c>
      <c r="B343" s="1105" t="inlineStr">
        <is>
          <t>Mt</t>
        </is>
      </c>
      <c r="C343" s="1792">
        <f>'Trade Model'!$C$72</f>
        <v/>
      </c>
      <c r="D343" s="1793">
        <f>D340+D289</f>
        <v/>
      </c>
      <c r="E343" s="1793">
        <f>E340+E289</f>
        <v/>
      </c>
      <c r="F343" s="1793">
        <f>F340+F289</f>
        <v/>
      </c>
      <c r="G343" s="1793">
        <f>G340+G289</f>
        <v/>
      </c>
      <c r="H343" s="1793">
        <f>H340+H289</f>
        <v/>
      </c>
      <c r="I343" s="1793">
        <f>I340+I289</f>
        <v/>
      </c>
      <c r="J343" s="1793">
        <f>J340+J289</f>
        <v/>
      </c>
      <c r="K343" s="490" t="n"/>
    </row>
    <row r="344">
      <c r="A344" s="1104" t="inlineStr">
        <is>
          <t>Import penetration</t>
        </is>
      </c>
      <c r="B344" s="1105" t="inlineStr">
        <is>
          <t>% of consumption</t>
        </is>
      </c>
      <c r="C344" s="1791">
        <f>C342/C288</f>
        <v/>
      </c>
      <c r="D344" s="1791">
        <f>D342/D288</f>
        <v/>
      </c>
      <c r="E344" s="1791">
        <f>E342/E288</f>
        <v/>
      </c>
      <c r="F344" s="1791">
        <f>F342/F288</f>
        <v/>
      </c>
      <c r="G344" s="1791">
        <f>G342/G288</f>
        <v/>
      </c>
      <c r="H344" s="1791">
        <f>H342/H288</f>
        <v/>
      </c>
      <c r="I344" s="1791">
        <f>I342/I288</f>
        <v/>
      </c>
      <c r="J344" s="1791">
        <f>J342/J288</f>
        <v/>
      </c>
      <c r="K344" s="490" t="n"/>
    </row>
    <row r="345">
      <c r="A345" s="1104" t="inlineStr">
        <is>
          <t>Per capita finished steel consumption</t>
        </is>
      </c>
      <c r="B345" s="1105" t="inlineStr">
        <is>
          <t>kg</t>
        </is>
      </c>
      <c r="C345" s="1792">
        <f>'Steel Demand Model'!$C$80</f>
        <v/>
      </c>
      <c r="D345" s="1793">
        <f>D288/'Steel Demand Model'!D$78</f>
        <v/>
      </c>
      <c r="E345" s="1793">
        <f>E288/'Steel Demand Model'!E$78</f>
        <v/>
      </c>
      <c r="F345" s="1793">
        <f>F288/'Steel Demand Model'!F$78</f>
        <v/>
      </c>
      <c r="G345" s="1793">
        <f>G288/'Steel Demand Model'!G$78</f>
        <v/>
      </c>
      <c r="H345" s="1793">
        <f>H288/'Steel Demand Model'!H$78</f>
        <v/>
      </c>
      <c r="I345" s="1793">
        <f>I288/'Steel Demand Model'!I$78</f>
        <v/>
      </c>
      <c r="J345" s="1793">
        <f>J288/'Steel Demand Model'!J$78</f>
        <v/>
      </c>
      <c r="K345" s="490" t="n"/>
    </row>
    <row r="346">
      <c r="A346" s="1104" t="inlineStr">
        <is>
          <t>Enterprise value at the exit multiple (terminal-year proxy)</t>
        </is>
      </c>
      <c r="B346" s="1105" t="inlineStr">
        <is>
          <t>Rs cr</t>
        </is>
      </c>
      <c r="C346" s="490" t="n"/>
      <c r="D346" s="1117">
        <f>D322*D338</f>
        <v/>
      </c>
      <c r="E346" s="1117">
        <f>E322*E338</f>
        <v/>
      </c>
      <c r="F346" s="1117">
        <f>F322*F338</f>
        <v/>
      </c>
      <c r="G346" s="1117">
        <f>G322*G338</f>
        <v/>
      </c>
      <c r="H346" s="1117">
        <f>H322*H338</f>
        <v/>
      </c>
      <c r="I346" s="1117">
        <f>I322*I338</f>
        <v/>
      </c>
      <c r="J346" s="1117">
        <f>J322*J338</f>
        <v/>
      </c>
      <c r="K346" s="490" t="n"/>
    </row>
    <row r="347">
      <c r="A347" s="1104" t="inlineStr">
        <is>
          <t>NOPAT</t>
        </is>
      </c>
      <c r="B347" s="1105" t="inlineStr">
        <is>
          <t>Rs cr</t>
        </is>
      </c>
      <c r="C347" s="490" t="n"/>
      <c r="D347" s="1798">
        <f>D326*(1-D327)</f>
        <v/>
      </c>
      <c r="E347" s="1798">
        <f>E326*(1-E327)</f>
        <v/>
      </c>
      <c r="F347" s="1798">
        <f>F326*(1-F327)</f>
        <v/>
      </c>
      <c r="G347" s="1798">
        <f>G326*(1-G327)</f>
        <v/>
      </c>
      <c r="H347" s="1798">
        <f>H326*(1-H327)</f>
        <v/>
      </c>
      <c r="I347" s="1798">
        <f>I326*(1-I327)</f>
        <v/>
      </c>
      <c r="J347" s="1798">
        <f>J326*(1-J327)</f>
        <v/>
      </c>
      <c r="K347" s="490" t="n"/>
    </row>
    <row r="348">
      <c r="A348" s="1104" t="inlineStr">
        <is>
          <t>Invested capital (proxy)</t>
        </is>
      </c>
      <c r="B348" s="1105" t="inlineStr">
        <is>
          <t>Rs cr</t>
        </is>
      </c>
      <c r="C348" s="490" t="n"/>
      <c r="D348" s="1117">
        <f>220.4*D329/10+D335</f>
        <v/>
      </c>
      <c r="E348" s="1117">
        <f>220.4*E329/10+E335</f>
        <v/>
      </c>
      <c r="F348" s="1117">
        <f>220.4*F329/10+F335</f>
        <v/>
      </c>
      <c r="G348" s="1117">
        <f>220.4*G329/10+G335</f>
        <v/>
      </c>
      <c r="H348" s="1117">
        <f>220.4*H329/10+H335</f>
        <v/>
      </c>
      <c r="I348" s="1117">
        <f>220.4*I329/10+I335</f>
        <v/>
      </c>
      <c r="J348" s="1117">
        <f>220.4*J329/10+J335</f>
        <v/>
      </c>
      <c r="K348" s="490" t="n"/>
    </row>
    <row r="349">
      <c r="A349" s="1104" t="inlineStr">
        <is>
          <t>ROIC (indicative)</t>
        </is>
      </c>
      <c r="B349" s="1105" t="inlineStr">
        <is>
          <t>%</t>
        </is>
      </c>
      <c r="C349" s="490" t="n"/>
      <c r="D349" s="1791">
        <f>IFERROR(D347/D348,"")</f>
        <v/>
      </c>
      <c r="E349" s="1791">
        <f>IFERROR(E347/E348,"")</f>
        <v/>
      </c>
      <c r="F349" s="1791">
        <f>IFERROR(F347/F348,"")</f>
        <v/>
      </c>
      <c r="G349" s="1791">
        <f>IFERROR(G347/G348,"")</f>
        <v/>
      </c>
      <c r="H349" s="1791">
        <f>IFERROR(H347/H348,"")</f>
        <v/>
      </c>
      <c r="I349" s="1791">
        <f>IFERROR(I347/I348,"")</f>
        <v/>
      </c>
      <c r="J349" s="1791">
        <f>IFERROR(J347/J348,"")</f>
        <v/>
      </c>
      <c r="K349" s="490" t="n"/>
    </row>
  </sheetData>
  <mergeCells count="19">
    <mergeCell ref="I2:J2"/>
    <mergeCell ref="A284:K284"/>
    <mergeCell ref="A49:H49"/>
    <mergeCell ref="A61:H61"/>
    <mergeCell ref="B78:J78"/>
    <mergeCell ref="A7:H7"/>
    <mergeCell ref="A218:K218"/>
    <mergeCell ref="A77:J77"/>
    <mergeCell ref="A84:K84"/>
    <mergeCell ref="A1:J1"/>
    <mergeCell ref="A26:H26"/>
    <mergeCell ref="B80:J80"/>
    <mergeCell ref="A86:K86"/>
    <mergeCell ref="B79:J79"/>
    <mergeCell ref="A5:H5"/>
    <mergeCell ref="B81:J81"/>
    <mergeCell ref="A38:H38"/>
    <mergeCell ref="A152:K152"/>
    <mergeCell ref="A2:G2"/>
  </mergeCell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codeName="Sheet27">
    <tabColor rgb="FF002060"/>
    <outlinePr summaryBelow="1" summaryRight="1"/>
    <pageSetUpPr/>
  </sheetPr>
  <dimension ref="A1:N160"/>
  <sheetViews>
    <sheetView showGridLines="0" workbookViewId="0">
      <selection activeCell="A7" sqref="A7:I14"/>
    </sheetView>
  </sheetViews>
  <sheetFormatPr baseColWidth="8" defaultRowHeight="14.4"/>
  <cols>
    <col width="30.5546875" customWidth="1" style="1262" min="1" max="1"/>
    <col width="15.88671875" customWidth="1" style="1262" min="2" max="5"/>
    <col width="12.33203125" customWidth="1" style="1262" min="6" max="6"/>
    <col width="13.88671875" customWidth="1" style="1262" min="7" max="7"/>
    <col width="13.77734375" customWidth="1" style="1262" min="8" max="8"/>
    <col width="13" customWidth="1" style="1262" min="9" max="11"/>
    <col width="12" customWidth="1" style="1262" min="12" max="12"/>
    <col width="22" customWidth="1" style="1262" min="13" max="13"/>
    <col width="22.5546875" customWidth="1" style="1262" min="14" max="14"/>
    <col width="100" customWidth="1" style="1262" min="15" max="15"/>
    <col width="8.88671875" customWidth="1" style="1262" min="16" max="16384"/>
  </cols>
  <sheetData>
    <row r="1" ht="25.8" customHeight="1">
      <c r="A1" s="1133" t="inlineStr">
        <is>
          <t>SENSITIVITY ANALYSIS</t>
        </is>
      </c>
    </row>
    <row r="2">
      <c r="A2" s="1136" t="inlineStr">
        <is>
          <t>Industry Financial Model  |  Indian Steel Industry  |  Horizon FY2027E-FY2033E  |  Base year FY2026A</t>
        </is>
      </c>
    </row>
    <row r="3">
      <c r="B3" s="1167" t="n"/>
    </row>
    <row r="4">
      <c r="A4" s="1145" t="inlineStr">
        <is>
          <t>OBJECTIVE</t>
        </is>
      </c>
      <c r="D4" s="114" t="n"/>
      <c r="E4" s="114" t="n"/>
      <c r="F4" s="114" t="n"/>
      <c r="G4" s="114" t="n"/>
      <c r="H4" s="114" t="n"/>
      <c r="I4" s="114" t="n"/>
      <c r="J4" s="114" t="n"/>
      <c r="K4" s="114" t="n"/>
    </row>
    <row r="5">
      <c r="A5" s="1134" t="inlineStr">
        <is>
          <t>Measure the impact of changes in key assumptions on Revenue, EBITDA, Free Cash Flow, and Enterprise Value.</t>
        </is>
      </c>
    </row>
    <row r="6">
      <c r="A6" s="1134" t="n"/>
      <c r="B6" s="1134" t="n"/>
      <c r="C6" s="1134" t="n"/>
      <c r="D6" s="1134" t="n"/>
      <c r="E6" s="1134" t="n"/>
      <c r="F6" s="1134" t="n"/>
      <c r="G6" s="1134" t="n"/>
      <c r="H6" s="1134" t="n"/>
      <c r="I6" s="1134" t="n"/>
      <c r="J6" s="1134" t="n"/>
      <c r="K6" s="1134" t="n"/>
    </row>
    <row r="7" ht="15.6" customHeight="1">
      <c r="A7" s="1137" t="inlineStr">
        <is>
          <t>Executive Summary</t>
        </is>
      </c>
      <c r="J7" s="1134" t="n"/>
      <c r="K7" s="1134" t="n"/>
    </row>
    <row r="8" ht="28.8" customHeight="1">
      <c r="A8" s="1237" t="inlineStr">
        <is>
          <t>KPI</t>
        </is>
      </c>
      <c r="B8" s="1237" t="inlineStr">
        <is>
          <t>Base</t>
        </is>
      </c>
      <c r="C8" s="1237" t="inlineStr">
        <is>
          <t>Best Case</t>
        </is>
      </c>
      <c r="D8" s="1237" t="inlineStr">
        <is>
          <t>Worst Case</t>
        </is>
      </c>
      <c r="E8" s="1237" t="inlineStr">
        <is>
          <t>Most Sensitive Variable</t>
        </is>
      </c>
      <c r="F8" s="341" t="n"/>
      <c r="G8" s="341" t="n"/>
      <c r="H8" s="341" t="n"/>
      <c r="I8" s="341" t="n"/>
      <c r="J8" s="1134" t="n"/>
      <c r="K8" s="1134" t="n"/>
    </row>
    <row r="9">
      <c r="A9" s="1199" t="inlineStr">
        <is>
          <t>Revenue</t>
        </is>
      </c>
      <c r="B9" s="1287" t="n"/>
      <c r="C9" s="1287" t="n"/>
      <c r="D9" s="1287" t="n"/>
      <c r="E9" s="1199" t="n"/>
      <c r="F9" s="177" t="n"/>
      <c r="G9" s="177" t="n"/>
      <c r="H9" s="177" t="n"/>
      <c r="I9" s="177" t="n"/>
      <c r="J9" s="1134" t="n"/>
      <c r="K9" s="1134" t="n"/>
    </row>
    <row r="10">
      <c r="A10" s="1199" t="inlineStr">
        <is>
          <t>EBITDA</t>
        </is>
      </c>
      <c r="B10" s="1287" t="n"/>
      <c r="C10" s="1287" t="n"/>
      <c r="D10" s="1287" t="n"/>
      <c r="E10" s="1199" t="n"/>
      <c r="F10" s="177" t="n"/>
      <c r="G10" s="177" t="n"/>
      <c r="H10" s="177" t="n"/>
      <c r="I10" s="177" t="n"/>
      <c r="J10" s="1134" t="n"/>
      <c r="K10" s="1134" t="n"/>
    </row>
    <row r="11">
      <c r="A11" s="1199" t="inlineStr">
        <is>
          <t>Free Cash Flow</t>
        </is>
      </c>
      <c r="B11" s="1287" t="n"/>
      <c r="C11" s="1287" t="n"/>
      <c r="D11" s="1287" t="n"/>
      <c r="E11" s="1199" t="n"/>
      <c r="F11" s="177" t="n"/>
      <c r="G11" s="177" t="n"/>
      <c r="H11" s="177" t="n"/>
      <c r="I11" s="177" t="n"/>
      <c r="J11" s="1134" t="n"/>
      <c r="K11" s="1134" t="n"/>
    </row>
    <row r="12">
      <c r="A12" s="1199" t="inlineStr">
        <is>
          <t>Enterprise Value</t>
        </is>
      </c>
      <c r="B12" s="1287" t="n"/>
      <c r="C12" s="1287" t="n"/>
      <c r="D12" s="1287" t="n"/>
      <c r="E12" s="1199" t="n"/>
      <c r="F12" s="177" t="n"/>
      <c r="G12" s="177" t="n"/>
      <c r="H12" s="177" t="n"/>
      <c r="I12" s="177" t="n"/>
      <c r="J12" s="1134" t="n"/>
      <c r="K12" s="1134" t="n"/>
    </row>
    <row r="13">
      <c r="A13" s="1199" t="inlineStr">
        <is>
          <t>EV/EBITDA</t>
        </is>
      </c>
      <c r="B13" s="1287" t="n"/>
      <c r="C13" s="1287" t="n"/>
      <c r="D13" s="1287" t="n"/>
      <c r="E13" s="1199" t="n"/>
      <c r="F13" s="177" t="n"/>
      <c r="G13" s="177" t="n"/>
      <c r="H13" s="177" t="n"/>
      <c r="I13" s="177" t="n"/>
      <c r="J13" s="1134" t="n"/>
      <c r="K13" s="1134" t="n"/>
    </row>
    <row r="14">
      <c r="A14" s="1199" t="inlineStr">
        <is>
          <t>EBITDA Margin</t>
        </is>
      </c>
      <c r="B14" s="1287" t="n"/>
      <c r="C14" s="1287" t="n"/>
      <c r="D14" s="1287" t="n"/>
      <c r="E14" s="1199" t="n"/>
      <c r="J14" s="1134" t="n"/>
      <c r="K14" s="1134" t="n"/>
    </row>
    <row r="15">
      <c r="A15" s="1134" t="n"/>
      <c r="B15" s="1134" t="n"/>
      <c r="C15" s="1134" t="n"/>
      <c r="D15" s="1134" t="n"/>
      <c r="E15" s="1134" t="n"/>
      <c r="F15" s="1134" t="n"/>
      <c r="G15" s="1134" t="n"/>
      <c r="H15" s="1134" t="n"/>
      <c r="I15" s="1134" t="n"/>
      <c r="J15" s="1134" t="n"/>
      <c r="K15" s="1134" t="n"/>
    </row>
    <row r="16">
      <c r="A16" s="1134" t="n"/>
      <c r="B16" s="1134" t="n"/>
      <c r="C16" s="1134" t="n"/>
      <c r="D16" s="1134" t="n"/>
      <c r="E16" s="1134" t="n"/>
      <c r="F16" s="1134" t="n"/>
      <c r="G16" s="1134" t="n"/>
      <c r="H16" s="1134" t="n"/>
      <c r="I16" s="1134" t="n"/>
      <c r="J16" s="1134" t="n"/>
      <c r="K16" s="1134" t="n"/>
    </row>
    <row r="17" ht="15.6" customHeight="1">
      <c r="A17" s="1137" t="inlineStr">
        <is>
          <t>One-Way Sensitivity Analysis</t>
        </is>
      </c>
      <c r="J17" s="1134" t="n"/>
      <c r="K17" s="1134" t="n"/>
    </row>
    <row r="18">
      <c r="A18" s="1237" t="inlineStr">
        <is>
          <t>Variable</t>
        </is>
      </c>
      <c r="B18" s="1237" t="inlineStr">
        <is>
          <t>Change</t>
        </is>
      </c>
      <c r="C18" s="1237" t="inlineStr">
        <is>
          <t>Revenue</t>
        </is>
      </c>
      <c r="D18" s="1237" t="inlineStr">
        <is>
          <t>EBITDA</t>
        </is>
      </c>
      <c r="E18" s="1237" t="inlineStr">
        <is>
          <t>FCF</t>
        </is>
      </c>
      <c r="F18" s="1237" t="inlineStr">
        <is>
          <t>EV</t>
        </is>
      </c>
      <c r="G18" s="1134" t="n"/>
      <c r="H18" s="1134" t="n"/>
      <c r="I18" s="1134" t="n"/>
      <c r="J18" s="1134" t="n"/>
      <c r="K18" s="1134" t="n"/>
    </row>
    <row r="19">
      <c r="A19" s="1199" t="inlineStr">
        <is>
          <t>Steel Price</t>
        </is>
      </c>
      <c r="B19" s="295" t="n">
        <v>-0.2</v>
      </c>
      <c r="C19" s="1287" t="n"/>
      <c r="D19" s="1287" t="n"/>
      <c r="E19" s="1287" t="n"/>
      <c r="F19" s="1287" t="n"/>
      <c r="G19" s="1134" t="n"/>
      <c r="H19" s="1134" t="n"/>
      <c r="I19" s="1134" t="n"/>
      <c r="J19" s="1134" t="n"/>
      <c r="K19" s="1134" t="n"/>
    </row>
    <row r="20">
      <c r="A20" s="1199" t="inlineStr">
        <is>
          <t>Steel Price</t>
        </is>
      </c>
      <c r="B20" s="295" t="n">
        <v>-0.1</v>
      </c>
      <c r="C20" s="1287" t="n"/>
      <c r="D20" s="1287" t="n"/>
      <c r="E20" s="1287" t="n"/>
      <c r="F20" s="1287" t="n"/>
      <c r="G20" s="1134" t="n"/>
      <c r="H20" s="1134" t="n"/>
      <c r="I20" s="1134" t="n"/>
      <c r="J20" s="1134" t="n"/>
      <c r="K20" s="1134" t="n"/>
    </row>
    <row r="21">
      <c r="A21" s="1199" t="inlineStr">
        <is>
          <t>Steel Price</t>
        </is>
      </c>
      <c r="B21" s="295" t="n">
        <v>-0.05</v>
      </c>
      <c r="C21" s="1287" t="n"/>
      <c r="D21" s="1287" t="n"/>
      <c r="E21" s="1287" t="n"/>
      <c r="F21" s="1287" t="n"/>
      <c r="G21" s="1134" t="n"/>
      <c r="H21" s="1134" t="n"/>
      <c r="I21" s="1134" t="n"/>
      <c r="J21" s="1134" t="n"/>
      <c r="K21" s="1134" t="n"/>
    </row>
    <row r="22">
      <c r="A22" s="1199" t="inlineStr">
        <is>
          <t>Steel Price</t>
        </is>
      </c>
      <c r="B22" s="1287" t="inlineStr">
        <is>
          <t>Base</t>
        </is>
      </c>
      <c r="C22" s="1287" t="n"/>
      <c r="D22" s="1287" t="n"/>
      <c r="E22" s="1287" t="n"/>
      <c r="F22" s="1287" t="n"/>
      <c r="G22" s="1134" t="n"/>
      <c r="H22" s="1134" t="n"/>
      <c r="I22" s="1134" t="n"/>
      <c r="J22" s="1134" t="n"/>
      <c r="K22" s="1134" t="n"/>
    </row>
    <row r="23">
      <c r="A23" s="1199" t="inlineStr">
        <is>
          <t>Steel Price</t>
        </is>
      </c>
      <c r="B23" s="295" t="n">
        <v>0.05</v>
      </c>
      <c r="C23" s="1287" t="n"/>
      <c r="D23" s="1287" t="n"/>
      <c r="E23" s="1287" t="n"/>
      <c r="F23" s="1287" t="n"/>
      <c r="G23" s="1134" t="n"/>
      <c r="H23" s="1134" t="n"/>
      <c r="I23" s="1134" t="n"/>
      <c r="J23" s="1134" t="n"/>
      <c r="K23" s="1134" t="n"/>
    </row>
    <row r="24">
      <c r="A24" s="1199" t="inlineStr">
        <is>
          <t>Steel Price</t>
        </is>
      </c>
      <c r="B24" s="295" t="n">
        <v>0.1</v>
      </c>
      <c r="C24" s="1287" t="n"/>
      <c r="D24" s="1287" t="n"/>
      <c r="E24" s="1287" t="n"/>
      <c r="F24" s="1287" t="n"/>
      <c r="G24" s="1134" t="n"/>
      <c r="H24" s="1134" t="n"/>
      <c r="I24" s="1134" t="n"/>
      <c r="J24" s="1134" t="n"/>
      <c r="K24" s="1134" t="n"/>
    </row>
    <row r="25">
      <c r="A25" s="1199" t="inlineStr">
        <is>
          <t>Steel Price</t>
        </is>
      </c>
      <c r="B25" s="295" t="n">
        <v>0.2</v>
      </c>
      <c r="C25" s="1287" t="n"/>
      <c r="D25" s="1287" t="n"/>
      <c r="E25" s="1287" t="n"/>
      <c r="F25" s="1287" t="n"/>
      <c r="G25" s="1134" t="n"/>
      <c r="H25" s="1134" t="n"/>
      <c r="I25" s="1134" t="n"/>
      <c r="J25" s="1134" t="n"/>
      <c r="K25" s="1134" t="n"/>
    </row>
    <row r="26">
      <c r="A26" s="1199" t="inlineStr">
        <is>
          <t>Iron Ore Price</t>
        </is>
      </c>
      <c r="B26" s="295" t="n">
        <v>-0.2</v>
      </c>
      <c r="C26" s="1287" t="n"/>
      <c r="D26" s="1287" t="n"/>
      <c r="E26" s="1287" t="n"/>
      <c r="F26" s="1287" t="n"/>
      <c r="G26" s="1134" t="n"/>
      <c r="H26" s="1134" t="n"/>
      <c r="I26" s="1134" t="n"/>
      <c r="J26" s="1134" t="n"/>
      <c r="K26" s="1134" t="n"/>
    </row>
    <row r="27">
      <c r="A27" s="1199" t="inlineStr">
        <is>
          <t>Iron Ore Price</t>
        </is>
      </c>
      <c r="B27" s="1287" t="inlineStr">
        <is>
          <t>...</t>
        </is>
      </c>
      <c r="C27" s="1287" t="n"/>
      <c r="D27" s="1287" t="n"/>
      <c r="E27" s="1287" t="n"/>
      <c r="F27" s="1287" t="n"/>
      <c r="G27" s="1134" t="n"/>
      <c r="H27" s="1134" t="n"/>
      <c r="I27" s="1134" t="n"/>
      <c r="J27" s="1134" t="n"/>
      <c r="K27" s="1134" t="n"/>
    </row>
    <row r="28">
      <c r="A28" s="1199" t="inlineStr">
        <is>
          <t>HCC Coal Price</t>
        </is>
      </c>
      <c r="B28" s="1287" t="inlineStr">
        <is>
          <t>...</t>
        </is>
      </c>
      <c r="C28" s="1287" t="n"/>
      <c r="D28" s="1287" t="n"/>
      <c r="E28" s="1287" t="n"/>
      <c r="F28" s="1287" t="n"/>
      <c r="G28" s="1134" t="n"/>
      <c r="H28" s="1134" t="n"/>
      <c r="I28" s="1134" t="n"/>
      <c r="J28" s="1134" t="n"/>
      <c r="K28" s="1134" t="n"/>
    </row>
    <row r="29">
      <c r="A29" s="1199" t="inlineStr">
        <is>
          <t>Steel Demand</t>
        </is>
      </c>
      <c r="B29" s="1287" t="inlineStr">
        <is>
          <t>...</t>
        </is>
      </c>
      <c r="C29" s="1287" t="n"/>
      <c r="D29" s="1287" t="n"/>
      <c r="E29" s="1287" t="n"/>
      <c r="F29" s="1287" t="n"/>
      <c r="G29" s="1134" t="n"/>
      <c r="H29" s="1134" t="n"/>
      <c r="I29" s="1134" t="n"/>
      <c r="J29" s="1134" t="n"/>
      <c r="K29" s="1134" t="n"/>
    </row>
    <row r="30">
      <c r="A30" s="1199" t="inlineStr">
        <is>
          <t>Capacity Utilisation</t>
        </is>
      </c>
      <c r="B30" s="1287" t="inlineStr">
        <is>
          <t>...</t>
        </is>
      </c>
      <c r="C30" s="1287" t="n"/>
      <c r="D30" s="1287" t="n"/>
      <c r="E30" s="1287" t="n"/>
      <c r="F30" s="1287" t="n"/>
      <c r="G30" s="1134" t="n"/>
      <c r="H30" s="1134" t="n"/>
      <c r="I30" s="1134" t="n"/>
      <c r="J30" s="1134" t="n"/>
      <c r="K30" s="1134" t="n"/>
    </row>
    <row r="31">
      <c r="A31" s="1199" t="inlineStr">
        <is>
          <t>USD/INR</t>
        </is>
      </c>
      <c r="B31" s="1287" t="inlineStr">
        <is>
          <t>...</t>
        </is>
      </c>
      <c r="C31" s="1287" t="n"/>
      <c r="D31" s="1287" t="n"/>
      <c r="E31" s="1287" t="n"/>
      <c r="F31" s="1287" t="n"/>
      <c r="G31" s="1134" t="n"/>
      <c r="H31" s="1134" t="n"/>
      <c r="I31" s="1134" t="n"/>
      <c r="J31" s="1134" t="n"/>
      <c r="K31" s="1134" t="n"/>
    </row>
    <row r="32">
      <c r="A32" s="1199" t="inlineStr">
        <is>
          <t>WACC</t>
        </is>
      </c>
      <c r="B32" s="1287" t="inlineStr">
        <is>
          <t>...</t>
        </is>
      </c>
      <c r="C32" s="1287" t="n"/>
      <c r="D32" s="1287" t="n"/>
      <c r="E32" s="1287" t="n"/>
      <c r="F32" s="1287" t="n"/>
      <c r="G32" s="1134" t="n"/>
      <c r="H32" s="1134" t="n"/>
      <c r="I32" s="1134" t="n"/>
      <c r="J32" s="1134" t="n"/>
      <c r="K32" s="1134" t="n"/>
    </row>
    <row r="33">
      <c r="A33" s="1199" t="inlineStr">
        <is>
          <t>Terminal Growth</t>
        </is>
      </c>
      <c r="B33" s="1287" t="inlineStr">
        <is>
          <t>...</t>
        </is>
      </c>
      <c r="C33" s="1287" t="n"/>
      <c r="D33" s="1287" t="n"/>
      <c r="E33" s="1287" t="n"/>
      <c r="F33" s="1287" t="n"/>
      <c r="G33" s="1134" t="n"/>
      <c r="H33" s="1134" t="n"/>
      <c r="I33" s="1134" t="n"/>
      <c r="J33" s="1134" t="n"/>
      <c r="K33" s="1134" t="n"/>
    </row>
    <row r="34">
      <c r="A34" s="1134" t="n"/>
      <c r="B34" s="1134" t="n"/>
      <c r="C34" s="1134" t="n"/>
      <c r="D34" s="1134" t="n"/>
      <c r="E34" s="1134" t="n"/>
      <c r="F34" s="1134" t="n"/>
      <c r="G34" s="1134" t="n"/>
      <c r="H34" s="1134" t="n"/>
      <c r="I34" s="1134" t="n"/>
      <c r="J34" s="1134" t="n"/>
      <c r="K34" s="1134" t="n"/>
    </row>
    <row r="35">
      <c r="A35" s="1134" t="n"/>
      <c r="B35" s="1134" t="n"/>
      <c r="C35" s="1134" t="n"/>
      <c r="D35" s="1134" t="n"/>
      <c r="E35" s="1134" t="n"/>
      <c r="F35" s="1134" t="n"/>
      <c r="G35" s="1134" t="n"/>
      <c r="H35" s="1134" t="n"/>
      <c r="I35" s="1134" t="n"/>
      <c r="J35" s="1134" t="n"/>
      <c r="K35" s="1134" t="n"/>
    </row>
    <row r="36" ht="15.6" customHeight="1">
      <c r="A36" s="1137" t="inlineStr">
        <is>
          <t>Two-Way Sensitivity</t>
        </is>
      </c>
      <c r="J36" s="1134" t="n"/>
      <c r="K36" s="1134" t="n"/>
    </row>
    <row r="37">
      <c r="A37" s="1321" t="inlineStr">
        <is>
          <t>EV vs WACC &amp; Terminal Growth</t>
        </is>
      </c>
      <c r="B37" s="1339" t="n"/>
      <c r="C37" s="1339" t="n"/>
      <c r="D37" s="1339" t="n"/>
      <c r="E37" s="1339" t="n"/>
      <c r="F37" s="1339" t="n"/>
      <c r="G37" s="344" t="n"/>
      <c r="H37" s="344" t="n"/>
      <c r="I37" s="344" t="n"/>
      <c r="J37" s="1134" t="n"/>
      <c r="K37" s="1134" t="n"/>
    </row>
    <row r="38">
      <c r="A38" s="1237" t="inlineStr">
        <is>
          <t>Terminal Growth ↓ / WACC →</t>
        </is>
      </c>
      <c r="B38" s="343" t="n">
        <v>0.08</v>
      </c>
      <c r="C38" s="343" t="n">
        <v>0.08500000000000001</v>
      </c>
      <c r="D38" s="343" t="n">
        <v>0.09</v>
      </c>
      <c r="E38" s="343" t="n">
        <v>0.095</v>
      </c>
      <c r="F38" s="343" t="n">
        <v>0.1</v>
      </c>
      <c r="G38" s="1134" t="n"/>
      <c r="H38" s="1134" t="n"/>
      <c r="I38" s="1134" t="n"/>
      <c r="J38" s="1134" t="n"/>
      <c r="K38" s="1134" t="n"/>
    </row>
    <row r="39">
      <c r="A39" s="342" t="n">
        <v>0.02</v>
      </c>
      <c r="B39" s="1287" t="n"/>
      <c r="C39" s="1287" t="n"/>
      <c r="D39" s="1287" t="n"/>
      <c r="E39" s="1287" t="n"/>
      <c r="F39" s="1287" t="n"/>
      <c r="G39" s="1134" t="n"/>
      <c r="H39" s="1134" t="n"/>
      <c r="I39" s="1134" t="n"/>
      <c r="J39" s="1134" t="n"/>
      <c r="K39" s="1134" t="n"/>
    </row>
    <row r="40">
      <c r="A40" s="342" t="n">
        <v>0.025</v>
      </c>
      <c r="B40" s="1287" t="n"/>
      <c r="C40" s="1287" t="n"/>
      <c r="D40" s="1287" t="n"/>
      <c r="E40" s="1287" t="n"/>
      <c r="F40" s="1287" t="n"/>
      <c r="G40" s="1134" t="n"/>
      <c r="H40" s="1134" t="n"/>
      <c r="I40" s="1134" t="n"/>
      <c r="J40" s="1134" t="n"/>
      <c r="K40" s="1134" t="n"/>
    </row>
    <row r="41">
      <c r="A41" s="342" t="n">
        <v>0.03</v>
      </c>
      <c r="B41" s="1287" t="n"/>
      <c r="C41" s="1287" t="n"/>
      <c r="D41" s="1287" t="n"/>
      <c r="E41" s="1287" t="n"/>
      <c r="F41" s="1287" t="n"/>
      <c r="G41" s="1134" t="n"/>
      <c r="H41" s="1134" t="n"/>
      <c r="I41" s="1134" t="n"/>
      <c r="J41" s="1134" t="n"/>
      <c r="K41" s="1134" t="n"/>
    </row>
    <row r="42">
      <c r="A42" s="342" t="n">
        <v>0.035</v>
      </c>
      <c r="B42" s="1287" t="n"/>
      <c r="C42" s="1287" t="n"/>
      <c r="D42" s="1287" t="n"/>
      <c r="E42" s="1287" t="n"/>
      <c r="F42" s="1287" t="n"/>
      <c r="G42" s="1134" t="n"/>
      <c r="H42" s="1134" t="n"/>
      <c r="I42" s="1134" t="n"/>
      <c r="J42" s="1134" t="n"/>
      <c r="K42" s="1134" t="n"/>
    </row>
    <row r="43">
      <c r="A43" s="342" t="n">
        <v>0.04</v>
      </c>
      <c r="B43" s="1287" t="n"/>
      <c r="C43" s="1287" t="n"/>
      <c r="D43" s="1287" t="n"/>
      <c r="E43" s="1287" t="n"/>
      <c r="F43" s="1287" t="n"/>
      <c r="G43" s="1134" t="n"/>
      <c r="H43" s="1134" t="n"/>
      <c r="I43" s="1134" t="n"/>
      <c r="J43" s="1134" t="n"/>
      <c r="K43" s="1134" t="n"/>
    </row>
    <row r="44">
      <c r="A44" s="1134" t="n"/>
      <c r="B44" s="1134" t="n"/>
      <c r="C44" s="1134" t="n"/>
      <c r="D44" s="1134" t="n"/>
      <c r="E44" s="1134" t="n"/>
      <c r="F44" s="1134" t="n"/>
      <c r="G44" s="1134" t="n"/>
      <c r="H44" s="1134" t="n"/>
      <c r="I44" s="1134" t="n"/>
      <c r="J44" s="1134" t="n"/>
      <c r="K44" s="1134" t="n"/>
    </row>
    <row r="45">
      <c r="A45" s="1321" t="inlineStr">
        <is>
          <t>EV vs WACC &amp; Terminal Growth</t>
        </is>
      </c>
      <c r="B45" s="1339" t="n"/>
      <c r="C45" s="1339" t="n"/>
      <c r="D45" s="1339" t="n"/>
      <c r="E45" s="1339" t="n"/>
      <c r="F45" s="1339" t="n"/>
      <c r="G45" s="344" t="n"/>
      <c r="H45" s="344" t="n"/>
      <c r="I45" s="344" t="n"/>
      <c r="J45" s="1134" t="n"/>
      <c r="K45" s="1134" t="n"/>
    </row>
    <row r="46">
      <c r="A46" s="1237" t="inlineStr">
        <is>
          <t>Iron Ore ↓ / Steel Price →</t>
        </is>
      </c>
      <c r="B46" s="1237" t="n">
        <v>-0.1</v>
      </c>
      <c r="C46" s="1237" t="n">
        <v>-0.05</v>
      </c>
      <c r="D46" s="1237" t="inlineStr">
        <is>
          <t>Base</t>
        </is>
      </c>
      <c r="E46" s="1237" t="n">
        <v>0.05</v>
      </c>
      <c r="F46" s="1237" t="n">
        <v>0.1</v>
      </c>
      <c r="G46" s="1134" t="n"/>
      <c r="H46" s="1134" t="n"/>
      <c r="I46" s="1134" t="n"/>
      <c r="J46" s="1134" t="n"/>
      <c r="K46" s="1134" t="n"/>
    </row>
    <row r="47">
      <c r="A47" s="296" t="n">
        <v>-0.1</v>
      </c>
      <c r="B47" s="1287" t="n"/>
      <c r="C47" s="1287" t="n"/>
      <c r="D47" s="1287" t="n"/>
      <c r="E47" s="1287" t="n"/>
      <c r="F47" s="1287" t="n"/>
      <c r="G47" s="1134" t="n"/>
      <c r="H47" s="1134" t="n"/>
      <c r="I47" s="1134" t="n"/>
      <c r="J47" s="1134" t="n"/>
      <c r="K47" s="1134" t="n"/>
    </row>
    <row r="48">
      <c r="A48" s="296" t="n">
        <v>-0.05</v>
      </c>
      <c r="B48" s="1287" t="n"/>
      <c r="C48" s="1287" t="n"/>
      <c r="D48" s="1287" t="n"/>
      <c r="E48" s="1287" t="n"/>
      <c r="F48" s="1287" t="n"/>
      <c r="G48" s="1134" t="n"/>
      <c r="H48" s="1134" t="n"/>
      <c r="I48" s="1134" t="n"/>
      <c r="J48" s="1134" t="n"/>
      <c r="K48" s="1134" t="n"/>
    </row>
    <row r="49">
      <c r="A49" s="199" t="inlineStr">
        <is>
          <t>Base</t>
        </is>
      </c>
      <c r="B49" s="1287" t="n"/>
      <c r="C49" s="1287" t="n"/>
      <c r="D49" s="1287" t="n"/>
      <c r="E49" s="1287" t="n"/>
      <c r="F49" s="1287" t="n"/>
      <c r="G49" s="1134" t="n"/>
      <c r="H49" s="1134" t="n"/>
      <c r="I49" s="1134" t="n"/>
      <c r="J49" s="1134" t="n"/>
      <c r="K49" s="1134" t="n"/>
    </row>
    <row r="50">
      <c r="A50" s="296" t="n">
        <v>0.05</v>
      </c>
      <c r="B50" s="1287" t="n"/>
      <c r="C50" s="1287" t="n"/>
      <c r="D50" s="1287" t="n"/>
      <c r="E50" s="1287" t="n"/>
      <c r="F50" s="1287" t="n"/>
      <c r="G50" s="1134" t="n"/>
      <c r="H50" s="1134" t="n"/>
      <c r="I50" s="1134" t="n"/>
      <c r="J50" s="1134" t="n"/>
      <c r="K50" s="1134" t="n"/>
    </row>
    <row r="51">
      <c r="A51" s="296" t="n">
        <v>0.1</v>
      </c>
      <c r="B51" s="1287" t="n"/>
      <c r="C51" s="1287" t="n"/>
      <c r="D51" s="1287" t="n"/>
      <c r="E51" s="1287" t="n"/>
      <c r="F51" s="1287" t="n"/>
      <c r="G51" s="1134" t="n"/>
      <c r="H51" s="1134" t="n"/>
      <c r="I51" s="1134" t="n"/>
      <c r="J51" s="1134" t="n"/>
      <c r="K51" s="1134" t="n"/>
    </row>
    <row r="52">
      <c r="A52" s="1134" t="n"/>
      <c r="B52" s="1134" t="n"/>
      <c r="C52" s="1134" t="n"/>
      <c r="D52" s="1134" t="n"/>
      <c r="E52" s="1134" t="n"/>
      <c r="F52" s="1134" t="n"/>
      <c r="G52" s="1134" t="n"/>
      <c r="H52" s="1134" t="n"/>
      <c r="I52" s="1134" t="n"/>
      <c r="J52" s="1134" t="n"/>
      <c r="K52" s="1134" t="n"/>
    </row>
    <row r="53">
      <c r="A53" s="1134" t="n"/>
      <c r="B53" s="1134" t="n"/>
      <c r="C53" s="1134" t="n"/>
      <c r="D53" s="1134" t="n"/>
      <c r="E53" s="1134" t="n"/>
      <c r="F53" s="1134" t="n"/>
      <c r="G53" s="1134" t="n"/>
      <c r="H53" s="1134" t="n"/>
      <c r="I53" s="1134" t="n"/>
      <c r="J53" s="1134" t="n"/>
      <c r="K53" s="1134" t="n"/>
    </row>
    <row r="54" ht="15.6" customHeight="1">
      <c r="A54" s="1243" t="inlineStr">
        <is>
          <t>Two-Way Sensitivity</t>
        </is>
      </c>
      <c r="B54" s="1339" t="n"/>
      <c r="C54" s="1339" t="n"/>
      <c r="D54" s="1137" t="n"/>
      <c r="E54" s="1137" t="n"/>
      <c r="F54" s="1137" t="n"/>
      <c r="G54" s="1137" t="n"/>
      <c r="H54" s="1137" t="n"/>
      <c r="I54" s="1137" t="n"/>
      <c r="J54" s="1134" t="n"/>
      <c r="K54" s="1134" t="n"/>
    </row>
    <row r="55">
      <c r="A55" s="1237" t="inlineStr">
        <is>
          <t>Variable</t>
        </is>
      </c>
      <c r="B55" s="1237" t="inlineStr">
        <is>
          <t>Downside Impact</t>
        </is>
      </c>
      <c r="C55" s="1237" t="inlineStr">
        <is>
          <t>Upside Impact</t>
        </is>
      </c>
      <c r="D55" s="1134" t="n"/>
      <c r="E55" s="1134" t="n"/>
      <c r="F55" s="1134" t="n"/>
      <c r="G55" s="1134" t="n"/>
      <c r="H55" s="1134" t="n"/>
      <c r="I55" s="1134" t="n"/>
      <c r="J55" s="1134" t="n"/>
      <c r="K55" s="1134" t="n"/>
    </row>
    <row r="56">
      <c r="A56" s="1199" t="inlineStr">
        <is>
          <t>Steel Price</t>
        </is>
      </c>
      <c r="B56" s="1287" t="n"/>
      <c r="C56" s="1287" t="n"/>
      <c r="D56" s="1134" t="n"/>
      <c r="E56" s="1134" t="n"/>
      <c r="F56" s="1134" t="n"/>
      <c r="G56" s="1134" t="n"/>
      <c r="H56" s="1134" t="n"/>
      <c r="I56" s="1134" t="n"/>
      <c r="J56" s="1134" t="n"/>
      <c r="K56" s="1134" t="n"/>
    </row>
    <row r="57">
      <c r="A57" s="1199" t="inlineStr">
        <is>
          <t>Iron Ore</t>
        </is>
      </c>
      <c r="B57" s="1287" t="n"/>
      <c r="C57" s="1287" t="n"/>
      <c r="D57" s="1134" t="n"/>
      <c r="E57" s="1134" t="n"/>
      <c r="F57" s="1134" t="n"/>
      <c r="G57" s="1134" t="n"/>
      <c r="H57" s="1134" t="n"/>
      <c r="I57" s="1134" t="n"/>
      <c r="J57" s="1134" t="n"/>
      <c r="K57" s="1134" t="n"/>
    </row>
    <row r="58">
      <c r="A58" s="1199" t="inlineStr">
        <is>
          <t>HCC Coal</t>
        </is>
      </c>
      <c r="B58" s="1287" t="n"/>
      <c r="C58" s="1287" t="n"/>
      <c r="D58" s="1134" t="n"/>
      <c r="E58" s="1134" t="n"/>
      <c r="F58" s="1134" t="n"/>
      <c r="G58" s="1134" t="n"/>
      <c r="H58" s="1134" t="n"/>
      <c r="I58" s="1134" t="n"/>
      <c r="J58" s="1134" t="n"/>
      <c r="K58" s="1134" t="n"/>
    </row>
    <row r="59">
      <c r="A59" s="1199" t="inlineStr">
        <is>
          <t>Demand</t>
        </is>
      </c>
      <c r="B59" s="1287" t="n"/>
      <c r="C59" s="1287" t="n"/>
      <c r="D59" s="1134" t="n"/>
      <c r="E59" s="1134" t="n"/>
      <c r="F59" s="1134" t="n"/>
      <c r="G59" s="1134" t="n"/>
      <c r="H59" s="1134" t="n"/>
      <c r="I59" s="1134" t="n"/>
      <c r="J59" s="1134" t="n"/>
      <c r="K59" s="1134" t="n"/>
    </row>
    <row r="60">
      <c r="A60" s="1199" t="inlineStr">
        <is>
          <t>Capacity Utilisation</t>
        </is>
      </c>
      <c r="B60" s="1287" t="n"/>
      <c r="C60" s="1287" t="n"/>
      <c r="D60" s="1134" t="n"/>
      <c r="E60" s="1134" t="n"/>
      <c r="F60" s="1134" t="n"/>
      <c r="G60" s="1134" t="n"/>
      <c r="H60" s="1134" t="n"/>
      <c r="I60" s="1134" t="n"/>
      <c r="J60" s="1134" t="n"/>
      <c r="K60" s="1134" t="n"/>
    </row>
    <row r="61">
      <c r="A61" s="1199" t="inlineStr">
        <is>
          <t>WACC</t>
        </is>
      </c>
      <c r="B61" s="1287" t="n"/>
      <c r="C61" s="1287" t="n"/>
      <c r="D61" s="1134" t="n"/>
      <c r="E61" s="1134" t="n"/>
      <c r="F61" s="1134" t="n"/>
      <c r="G61" s="1134" t="n"/>
      <c r="H61" s="1134" t="n"/>
      <c r="I61" s="1134" t="n"/>
      <c r="J61" s="1134" t="n"/>
      <c r="K61" s="1134" t="n"/>
    </row>
    <row r="62">
      <c r="A62" s="1199" t="inlineStr">
        <is>
          <t>Terminal Growth</t>
        </is>
      </c>
      <c r="B62" s="1287" t="n"/>
      <c r="C62" s="1287" t="n"/>
      <c r="D62" s="1134" t="n"/>
      <c r="E62" s="1134" t="n"/>
      <c r="F62" s="1134" t="n"/>
      <c r="G62" s="1134" t="n"/>
      <c r="H62" s="1134" t="n"/>
      <c r="I62" s="1134" t="n"/>
      <c r="J62" s="1134" t="n"/>
      <c r="K62" s="1134" t="n"/>
    </row>
    <row r="63">
      <c r="A63" s="1199" t="inlineStr">
        <is>
          <t>USD/INR</t>
        </is>
      </c>
      <c r="B63" s="1287" t="n"/>
      <c r="C63" s="1287" t="n"/>
      <c r="D63" s="1134" t="n"/>
      <c r="E63" s="1134" t="n"/>
      <c r="F63" s="1134" t="n"/>
      <c r="G63" s="1134" t="n"/>
      <c r="H63" s="1134" t="n"/>
      <c r="I63" s="1134" t="n"/>
      <c r="J63" s="1134" t="n"/>
      <c r="K63" s="1134" t="n"/>
    </row>
    <row r="64">
      <c r="A64" s="1134" t="n"/>
      <c r="B64" s="1134" t="n"/>
      <c r="C64" s="1134" t="n"/>
      <c r="D64" s="1134" t="n"/>
      <c r="E64" s="1134" t="n"/>
      <c r="F64" s="1134" t="n"/>
      <c r="G64" s="1134" t="n"/>
      <c r="H64" s="1134" t="n"/>
      <c r="I64" s="1134" t="n"/>
      <c r="J64" s="1134" t="n"/>
      <c r="K64" s="1134" t="n"/>
    </row>
    <row r="65">
      <c r="A65" s="1134" t="n"/>
      <c r="B65" s="1134" t="n"/>
      <c r="C65" s="1134" t="n"/>
      <c r="D65" s="1134" t="n"/>
      <c r="E65" s="1134" t="n"/>
      <c r="F65" s="1134" t="n"/>
      <c r="G65" s="1134" t="n"/>
      <c r="H65" s="1134" t="n"/>
      <c r="I65" s="1134" t="n"/>
      <c r="J65" s="1134" t="n"/>
      <c r="K65" s="1134" t="n"/>
    </row>
    <row r="66" ht="15.6" customHeight="1">
      <c r="A66" s="1243" t="inlineStr">
        <is>
          <t>Break-even Analysis</t>
        </is>
      </c>
      <c r="B66" s="1339" t="n"/>
      <c r="C66" s="1339" t="n"/>
      <c r="D66" s="1134" t="n"/>
      <c r="E66" s="1134" t="n"/>
      <c r="F66" s="1134" t="n"/>
      <c r="G66" s="1134" t="n"/>
      <c r="H66" s="1134" t="n"/>
      <c r="I66" s="1134" t="n"/>
      <c r="J66" s="1134" t="n"/>
      <c r="K66" s="1134" t="n"/>
    </row>
    <row r="67">
      <c r="A67" s="1237" t="inlineStr">
        <is>
          <t>Metric</t>
        </is>
      </c>
      <c r="B67" s="1237" t="inlineStr">
        <is>
          <t>Value</t>
        </is>
      </c>
      <c r="C67" s="1134" t="n"/>
      <c r="D67" s="1134" t="n"/>
      <c r="E67" s="1134" t="n"/>
      <c r="F67" s="1134" t="n"/>
      <c r="G67" s="1134" t="n"/>
      <c r="H67" s="1134" t="n"/>
      <c r="I67" s="1134" t="n"/>
      <c r="J67" s="1134" t="n"/>
      <c r="K67" s="1134" t="n"/>
    </row>
    <row r="68">
      <c r="A68" s="1199" t="inlineStr">
        <is>
          <t>Break-even Steel Price</t>
        </is>
      </c>
      <c r="B68" s="1287" t="n"/>
      <c r="C68" s="1134" t="n"/>
      <c r="D68" s="1134" t="n"/>
      <c r="E68" s="1134" t="n"/>
      <c r="F68" s="1134" t="n"/>
      <c r="G68" s="1134" t="n"/>
      <c r="H68" s="1134" t="n"/>
      <c r="I68" s="1134" t="n"/>
      <c r="J68" s="1134" t="n"/>
      <c r="K68" s="1134" t="n"/>
    </row>
    <row r="69">
      <c r="A69" s="1199" t="inlineStr">
        <is>
          <t>Break-even EBITDA Margin</t>
        </is>
      </c>
      <c r="B69" s="1287" t="n"/>
      <c r="C69" s="1134" t="n"/>
      <c r="D69" s="1134" t="n"/>
      <c r="E69" s="1134" t="n"/>
      <c r="F69" s="1134" t="n"/>
      <c r="G69" s="1134" t="n"/>
      <c r="H69" s="1134" t="n"/>
      <c r="I69" s="1134" t="n"/>
      <c r="J69" s="1134" t="n"/>
      <c r="K69" s="1134" t="n"/>
    </row>
    <row r="70">
      <c r="A70" s="1199" t="inlineStr">
        <is>
          <t>Break-even Capacity Utilisation</t>
        </is>
      </c>
      <c r="B70" s="1287" t="n"/>
      <c r="C70" s="1134" t="n"/>
      <c r="D70" s="1134" t="n"/>
      <c r="E70" s="1134" t="n"/>
      <c r="F70" s="1134" t="n"/>
      <c r="G70" s="1134" t="n"/>
      <c r="H70" s="1134" t="n"/>
      <c r="I70" s="1134" t="n"/>
      <c r="J70" s="1134" t="n"/>
      <c r="K70" s="1134" t="n"/>
    </row>
    <row r="71">
      <c r="A71" s="1199" t="inlineStr">
        <is>
          <t>Break-even Demand Growth</t>
        </is>
      </c>
      <c r="B71" s="1287" t="n"/>
      <c r="C71" s="1134" t="n"/>
      <c r="D71" s="1134" t="n"/>
      <c r="E71" s="1134" t="n"/>
      <c r="F71" s="1134" t="n"/>
      <c r="G71" s="1134" t="n"/>
      <c r="H71" s="1134" t="n"/>
      <c r="I71" s="1134" t="n"/>
      <c r="J71" s="1134" t="n"/>
      <c r="K71" s="1134" t="n"/>
    </row>
    <row r="72">
      <c r="A72" s="1199" t="inlineStr">
        <is>
          <t>Break-even Iron Ore Price</t>
        </is>
      </c>
      <c r="B72" s="1287" t="n"/>
      <c r="C72" s="1134" t="n"/>
      <c r="D72" s="1134" t="n"/>
      <c r="E72" s="1134" t="n"/>
      <c r="F72" s="1134" t="n"/>
      <c r="G72" s="1134" t="n"/>
      <c r="H72" s="1134" t="n"/>
      <c r="I72" s="1134" t="n"/>
      <c r="J72" s="1134" t="n"/>
      <c r="K72" s="1134" t="n"/>
    </row>
    <row r="73">
      <c r="A73" s="1134" t="n"/>
      <c r="B73" s="1134" t="n"/>
      <c r="C73" s="1134" t="n"/>
      <c r="D73" s="1134" t="n"/>
      <c r="E73" s="1134" t="n"/>
      <c r="F73" s="1134" t="n"/>
      <c r="G73" s="1134" t="n"/>
      <c r="H73" s="1134" t="n"/>
      <c r="I73" s="1134" t="n"/>
      <c r="J73" s="1134" t="n"/>
      <c r="K73" s="1134" t="n"/>
    </row>
    <row r="74">
      <c r="A74" s="1134" t="n"/>
      <c r="B74" s="1134" t="n"/>
      <c r="C74" s="1134" t="n"/>
      <c r="D74" s="1134" t="n"/>
      <c r="E74" s="1134" t="n"/>
      <c r="F74" s="1134" t="n"/>
      <c r="G74" s="1134" t="n"/>
      <c r="H74" s="1134" t="n"/>
      <c r="I74" s="1134" t="n"/>
      <c r="J74" s="1134" t="n"/>
      <c r="K74" s="1134" t="n"/>
    </row>
    <row r="75" ht="15.6" customHeight="1">
      <c r="A75" s="1243" t="inlineStr">
        <is>
          <t>Risk Ranking</t>
        </is>
      </c>
      <c r="B75" s="1339" t="n"/>
      <c r="C75" s="1339" t="n"/>
      <c r="D75" s="1134" t="n"/>
      <c r="E75" s="1134" t="n"/>
      <c r="F75" s="1134" t="n"/>
      <c r="G75" s="1134" t="n"/>
      <c r="H75" s="1134" t="n"/>
      <c r="I75" s="1134" t="n"/>
      <c r="J75" s="1134" t="n"/>
      <c r="K75" s="1134" t="n"/>
    </row>
    <row r="76">
      <c r="A76" s="1237" t="inlineStr">
        <is>
          <t>Variable</t>
        </is>
      </c>
      <c r="B76" s="1237" t="inlineStr">
        <is>
          <t>Impact</t>
        </is>
      </c>
      <c r="C76" s="1237" t="inlineStr">
        <is>
          <t>Probability</t>
        </is>
      </c>
      <c r="D76" s="1237" t="inlineStr">
        <is>
          <t>Risk Score</t>
        </is>
      </c>
      <c r="E76" s="1134" t="n"/>
      <c r="F76" s="1134" t="n"/>
      <c r="G76" s="1134" t="n"/>
      <c r="H76" s="1134" t="n"/>
      <c r="I76" s="1134" t="n"/>
      <c r="J76" s="1134" t="n"/>
      <c r="K76" s="1134" t="n"/>
    </row>
    <row r="77">
      <c r="A77" s="1199" t="inlineStr">
        <is>
          <t>Steel Price</t>
        </is>
      </c>
      <c r="B77" s="1287" t="n"/>
      <c r="C77" s="1287" t="n"/>
      <c r="D77" s="1287" t="n"/>
      <c r="E77" s="1134" t="n"/>
      <c r="F77" s="1134" t="n"/>
      <c r="G77" s="1134" t="n"/>
      <c r="H77" s="1134" t="n"/>
      <c r="I77" s="1134" t="n"/>
      <c r="J77" s="1134" t="n"/>
      <c r="K77" s="1134" t="n"/>
    </row>
    <row r="78">
      <c r="A78" s="1199" t="inlineStr">
        <is>
          <t>Iron Ore</t>
        </is>
      </c>
      <c r="B78" s="1287" t="n"/>
      <c r="C78" s="1287" t="n"/>
      <c r="D78" s="1287" t="n"/>
      <c r="E78" s="1134" t="n"/>
      <c r="F78" s="1134" t="n"/>
      <c r="G78" s="1134" t="n"/>
      <c r="H78" s="1134" t="n"/>
      <c r="I78" s="1134" t="n"/>
      <c r="J78" s="1134" t="n"/>
      <c r="K78" s="1134" t="n"/>
    </row>
    <row r="79">
      <c r="A79" s="1199" t="inlineStr">
        <is>
          <t>Coal</t>
        </is>
      </c>
      <c r="B79" s="1287" t="n"/>
      <c r="C79" s="1287" t="n"/>
      <c r="D79" s="1287" t="n"/>
      <c r="E79" s="1134" t="n"/>
      <c r="F79" s="1134" t="n"/>
      <c r="G79" s="1134" t="n"/>
      <c r="H79" s="1134" t="n"/>
      <c r="I79" s="1134" t="n"/>
      <c r="J79" s="1134" t="n"/>
      <c r="K79" s="1134" t="n"/>
    </row>
    <row r="80">
      <c r="A80" s="1199" t="inlineStr">
        <is>
          <t>Demand</t>
        </is>
      </c>
      <c r="B80" s="1287" t="n"/>
      <c r="C80" s="1287" t="n"/>
      <c r="D80" s="1287" t="n"/>
      <c r="E80" s="1134" t="n"/>
      <c r="F80" s="1134" t="n"/>
      <c r="G80" s="1134" t="n"/>
      <c r="H80" s="1134" t="n"/>
      <c r="I80" s="1134" t="n"/>
      <c r="J80" s="1134" t="n"/>
      <c r="K80" s="1134" t="n"/>
    </row>
    <row r="81">
      <c r="A81" s="1199" t="inlineStr">
        <is>
          <t>Trade Policy</t>
        </is>
      </c>
      <c r="B81" s="1287" t="n"/>
      <c r="C81" s="1287" t="n"/>
      <c r="D81" s="1287" t="n"/>
      <c r="E81" s="1134" t="n"/>
      <c r="F81" s="1134" t="n"/>
      <c r="G81" s="1134" t="n"/>
      <c r="H81" s="1134" t="n"/>
      <c r="I81" s="1134" t="n"/>
      <c r="J81" s="1134" t="n"/>
      <c r="K81" s="1134" t="n"/>
    </row>
    <row r="82">
      <c r="A82" s="1199" t="inlineStr">
        <is>
          <t>Carbon Cost</t>
        </is>
      </c>
      <c r="B82" s="1287" t="n"/>
      <c r="C82" s="1287" t="n"/>
      <c r="D82" s="1287" t="n"/>
      <c r="E82" s="1134" t="n"/>
      <c r="F82" s="1134" t="n"/>
      <c r="G82" s="1134" t="n"/>
      <c r="H82" s="1134" t="n"/>
      <c r="I82" s="1134" t="n"/>
      <c r="J82" s="1134" t="n"/>
      <c r="K82" s="1134" t="n"/>
    </row>
    <row r="83">
      <c r="A83" s="1199" t="inlineStr">
        <is>
          <t>WACC</t>
        </is>
      </c>
      <c r="B83" s="1287" t="n"/>
      <c r="C83" s="1287" t="n"/>
      <c r="D83" s="1287" t="n"/>
      <c r="E83" s="1134" t="n"/>
      <c r="F83" s="1134" t="n"/>
      <c r="G83" s="1134" t="n"/>
      <c r="H83" s="1134" t="n"/>
      <c r="I83" s="1134" t="n"/>
      <c r="J83" s="1134" t="n"/>
      <c r="K83" s="1134" t="n"/>
    </row>
    <row r="84">
      <c r="A84" s="1134" t="n"/>
      <c r="B84" s="1134" t="n"/>
      <c r="C84" s="1134" t="n"/>
      <c r="D84" s="1134" t="n"/>
      <c r="E84" s="1134" t="n"/>
      <c r="F84" s="1134" t="n"/>
      <c r="G84" s="1134" t="n"/>
      <c r="H84" s="1134" t="n"/>
      <c r="I84" s="1134" t="n"/>
      <c r="J84" s="1134" t="n"/>
      <c r="K84" s="1134" t="n"/>
    </row>
    <row r="85">
      <c r="A85" s="1134" t="n"/>
      <c r="B85" s="1134" t="n"/>
      <c r="C85" s="1134" t="n"/>
      <c r="D85" s="1134" t="n"/>
      <c r="E85" s="1134" t="n"/>
      <c r="F85" s="1134" t="n"/>
      <c r="G85" s="1134" t="n"/>
      <c r="H85" s="1134" t="n"/>
      <c r="I85" s="1134" t="n"/>
      <c r="J85" s="1134" t="n"/>
      <c r="K85" s="1134" t="n"/>
    </row>
    <row r="86">
      <c r="A86" s="1134" t="n"/>
      <c r="B86" s="1134" t="n"/>
      <c r="C86" s="1134" t="n"/>
      <c r="D86" s="1134" t="n"/>
      <c r="E86" s="1134" t="n"/>
      <c r="F86" s="1134" t="n"/>
      <c r="G86" s="1134" t="n"/>
      <c r="H86" s="1134" t="n"/>
      <c r="I86" s="1134" t="n"/>
      <c r="J86" s="1134" t="n"/>
      <c r="K86" s="1134" t="n"/>
    </row>
    <row r="87">
      <c r="A87" s="1134" t="n"/>
      <c r="B87" s="1134" t="n"/>
      <c r="C87" s="1134" t="n"/>
      <c r="D87" s="1134" t="n"/>
      <c r="E87" s="1134" t="n"/>
      <c r="F87" s="1134" t="n"/>
      <c r="G87" s="1134" t="n"/>
      <c r="H87" s="1134" t="n"/>
      <c r="I87" s="1134" t="n"/>
      <c r="J87" s="1134" t="n"/>
      <c r="K87" s="1134" t="n"/>
    </row>
    <row r="88">
      <c r="A88" s="1134" t="n"/>
      <c r="B88" s="1134" t="n"/>
      <c r="C88" s="1134" t="n"/>
      <c r="D88" s="1134" t="n"/>
      <c r="E88" s="1134" t="n"/>
      <c r="F88" s="1134" t="n"/>
      <c r="G88" s="1134" t="n"/>
      <c r="H88" s="1134" t="n"/>
      <c r="I88" s="1134" t="n"/>
      <c r="J88" s="1134" t="n"/>
      <c r="K88" s="1134" t="n"/>
    </row>
    <row r="89">
      <c r="A89" s="1134" t="n"/>
      <c r="B89" s="1134" t="n"/>
      <c r="C89" s="1134" t="n"/>
      <c r="D89" s="1134" t="n"/>
      <c r="E89" s="1134" t="n"/>
      <c r="F89" s="1134" t="n"/>
      <c r="G89" s="1134" t="n"/>
      <c r="H89" s="1134" t="n"/>
      <c r="I89" s="1134" t="n"/>
      <c r="J89" s="1134" t="n"/>
      <c r="K89" s="1134" t="n"/>
    </row>
    <row r="90">
      <c r="A90" s="1134" t="n"/>
      <c r="B90" s="1134" t="n"/>
      <c r="C90" s="1134" t="n"/>
      <c r="D90" s="1134" t="n"/>
      <c r="E90" s="1134" t="n"/>
      <c r="F90" s="1134" t="n"/>
      <c r="G90" s="1134" t="n"/>
      <c r="H90" s="1134" t="n"/>
      <c r="I90" s="1134" t="n"/>
      <c r="J90" s="1134" t="n"/>
      <c r="K90" s="1134" t="n"/>
    </row>
    <row r="91">
      <c r="A91" s="1134" t="n"/>
      <c r="B91" s="1134" t="n"/>
      <c r="C91" s="1134" t="n"/>
      <c r="D91" s="1134" t="n"/>
      <c r="E91" s="1134" t="n"/>
      <c r="F91" s="1134" t="n"/>
      <c r="G91" s="1134" t="n"/>
      <c r="H91" s="1134" t="n"/>
      <c r="I91" s="1134" t="n"/>
      <c r="J91" s="1134" t="n"/>
      <c r="K91" s="1134" t="n"/>
    </row>
    <row r="92">
      <c r="A92" s="1134" t="n"/>
      <c r="B92" s="1134" t="n"/>
      <c r="C92" s="1134" t="n"/>
      <c r="D92" s="1134" t="n"/>
      <c r="E92" s="1134" t="n"/>
      <c r="F92" s="1134" t="n"/>
      <c r="G92" s="1134" t="n"/>
      <c r="H92" s="1134" t="n"/>
      <c r="I92" s="1134" t="n"/>
      <c r="J92" s="1134" t="n"/>
      <c r="K92" s="1134" t="n"/>
    </row>
    <row r="93">
      <c r="A93" s="1134" t="n"/>
      <c r="B93" s="1134" t="n"/>
      <c r="C93" s="1134" t="n"/>
      <c r="D93" s="1134" t="n"/>
      <c r="E93" s="1134" t="n"/>
      <c r="F93" s="1134" t="n"/>
      <c r="G93" s="1134" t="n"/>
      <c r="H93" s="1134" t="n"/>
      <c r="I93" s="1134" t="n"/>
      <c r="J93" s="1134" t="n"/>
      <c r="K93" s="1134" t="n"/>
    </row>
    <row r="94">
      <c r="B94" s="1167" t="n"/>
    </row>
    <row r="95" ht="15" customHeight="1" thickBot="1">
      <c r="A95" s="1166" t="inlineStr">
        <is>
          <t>A - TORNADO: FY2033E INDUSTRY EBITDA, 10% ADVERSE MOVE (Base Case)</t>
        </is>
      </c>
    </row>
    <row r="96" ht="27.6" customHeight="1">
      <c r="A96" s="56" t="inlineStr">
        <is>
          <t>Driver</t>
        </is>
      </c>
      <c r="B96" s="58" t="inlineStr">
        <is>
          <t>ID</t>
        </is>
      </c>
      <c r="C96" s="58" t="inlineStr">
        <is>
          <t>Adverse direction</t>
        </is>
      </c>
      <c r="D96" s="58" t="inlineStr">
        <is>
          <t>FY2033E EBITDA (Rs cr)</t>
        </is>
      </c>
      <c r="E96" s="58" t="inlineStr">
        <is>
          <t>Change (Rs cr)</t>
        </is>
      </c>
      <c r="F96" s="58" t="inlineStr">
        <is>
          <t>Change (%)</t>
        </is>
      </c>
      <c r="G96" s="1316" t="inlineStr">
        <is>
          <t>Interpretation</t>
        </is>
      </c>
      <c r="H96" s="1801" t="n"/>
      <c r="I96" s="1801" t="n"/>
      <c r="J96" s="1801" t="n"/>
      <c r="K96" s="1801" t="n"/>
      <c r="L96" s="1801" t="n"/>
      <c r="M96" s="1801" t="n"/>
      <c r="N96" s="1802" t="n"/>
    </row>
    <row r="97" ht="23.4" customHeight="1">
      <c r="A97" s="1328" t="inlineStr">
        <is>
          <t>Blended realisation</t>
        </is>
      </c>
      <c r="B97" s="23" t="inlineStr">
        <is>
          <t>D09</t>
        </is>
      </c>
      <c r="C97" s="126" t="inlineStr">
        <is>
          <t>-10%</t>
        </is>
      </c>
      <c r="D97" s="1803" t="n">
        <v>127580.3056699005</v>
      </c>
      <c r="E97" s="1803" t="n">
        <v>-188207.8664238758</v>
      </c>
      <c r="F97" s="1804" t="n">
        <v>-0.5959940335193608</v>
      </c>
      <c r="G97" s="1306" t="inlineStr">
        <is>
          <t>By far the dominant driver. A 10% realisation move is worth roughly 60% of industry EBITDA, which is the arithmetic of a 17.9% margin: a 10% price move is a 56% move in the margin. Any valuation of this sector is primarily a price call.</t>
        </is>
      </c>
      <c r="H97" s="1745" t="n"/>
      <c r="I97" s="1745" t="n"/>
      <c r="J97" s="1745" t="n"/>
      <c r="K97" s="1745" t="n"/>
      <c r="L97" s="1745" t="n"/>
      <c r="M97" s="1745" t="n"/>
      <c r="N97" s="1805" t="n"/>
    </row>
    <row r="98" ht="38.4" customHeight="1">
      <c r="A98" s="1328" t="inlineStr">
        <is>
          <t>USD/INR</t>
        </is>
      </c>
      <c r="B98" s="23" t="inlineStr">
        <is>
          <t>D03</t>
        </is>
      </c>
      <c r="C98" s="126" t="inlineStr">
        <is>
          <t>+10%</t>
        </is>
      </c>
      <c r="D98" s="1803" t="n">
        <v>241003.3909986167</v>
      </c>
      <c r="E98" s="1803" t="n">
        <v>-74784.78109515962</v>
      </c>
      <c r="F98" s="1804" t="n">
        <v>-0.236819449567451</v>
      </c>
      <c r="G98" s="1306" t="inlineStr">
        <is>
          <t>The second largest, and frequently underestimated. Iron ore and coking coal are dollar-priced, so a 10% rupee depreciation raises rupee input cost across the whole basket simultaneously. Note the model does NOT credit the offsetting import-parity support to realisation in this isolated flex - that interaction is captured in the stress scenario, which is why the stress case is not simply the sum of these individual flexes.</t>
        </is>
      </c>
      <c r="H98" s="1745" t="n"/>
      <c r="I98" s="1745" t="n"/>
      <c r="J98" s="1745" t="n"/>
      <c r="K98" s="1745" t="n"/>
      <c r="L98" s="1745" t="n"/>
      <c r="M98" s="1745" t="n"/>
      <c r="N98" s="1805" t="n"/>
    </row>
    <row r="99">
      <c r="A99" s="1328" t="inlineStr">
        <is>
          <t>Real GDP growth</t>
        </is>
      </c>
      <c r="B99" s="23" t="inlineStr">
        <is>
          <t>D01</t>
        </is>
      </c>
      <c r="C99" s="126" t="inlineStr">
        <is>
          <t>-10%</t>
        </is>
      </c>
      <c r="D99" s="1803" t="n">
        <v>277413.618443138</v>
      </c>
      <c r="E99" s="1803" t="n">
        <v>-38374.55365063832</v>
      </c>
      <c r="F99" s="1804" t="n">
        <v>-0.121519920762715</v>
      </c>
      <c r="G99" s="1306" t="inlineStr">
        <is>
          <t>Works through both volume and, via utilisation, price. The fact that GDP and elasticity show identical impacts confirms the model treats them as a pure product, as intended.</t>
        </is>
      </c>
      <c r="H99" s="1745" t="n"/>
      <c r="I99" s="1745" t="n"/>
      <c r="J99" s="1745" t="n"/>
      <c r="K99" s="1745" t="n"/>
      <c r="L99" s="1745" t="n"/>
      <c r="M99" s="1745" t="n"/>
      <c r="N99" s="1805" t="n"/>
    </row>
    <row r="100">
      <c r="A100" s="1328" t="inlineStr">
        <is>
          <t>Demand elasticity</t>
        </is>
      </c>
      <c r="B100" s="23" t="inlineStr">
        <is>
          <t>D02</t>
        </is>
      </c>
      <c r="C100" s="126" t="inlineStr">
        <is>
          <t>-10%</t>
        </is>
      </c>
      <c r="D100" s="1803" t="n">
        <v>277413.618443138</v>
      </c>
      <c r="E100" s="1803" t="n">
        <v>-38374.55365063832</v>
      </c>
      <c r="F100" s="1804" t="n">
        <v>-0.121519920762715</v>
      </c>
      <c r="G100" s="1306" t="inlineStr">
        <is>
          <t>Identical to GDP by construction - demand growth is their product.</t>
        </is>
      </c>
      <c r="H100" s="1745" t="n"/>
      <c r="I100" s="1745" t="n"/>
      <c r="J100" s="1745" t="n"/>
      <c r="K100" s="1745" t="n"/>
      <c r="L100" s="1745" t="n"/>
      <c r="M100" s="1745" t="n"/>
      <c r="N100" s="1805" t="n"/>
    </row>
    <row r="101">
      <c r="A101" s="1328" t="inlineStr">
        <is>
          <t>Iron ore price</t>
        </is>
      </c>
      <c r="B101" s="23" t="inlineStr">
        <is>
          <t>D10</t>
        </is>
      </c>
      <c r="C101" s="126" t="inlineStr">
        <is>
          <t>+10%</t>
        </is>
      </c>
      <c r="D101" s="1803" t="n">
        <v>277647.5509619861</v>
      </c>
      <c r="E101" s="1803" t="n">
        <v>-38140.62113179022</v>
      </c>
      <c r="F101" s="1804" t="n">
        <v>-0.1207791313997156</v>
      </c>
      <c r="G101" s="1306" t="inlineStr">
        <is>
          <t>Iron ore at 45% of the raw material basket, which is 60% of cash cost.</t>
        </is>
      </c>
      <c r="H101" s="1745" t="n"/>
      <c r="I101" s="1745" t="n"/>
      <c r="J101" s="1745" t="n"/>
      <c r="K101" s="1745" t="n"/>
      <c r="L101" s="1745" t="n"/>
      <c r="M101" s="1745" t="n"/>
      <c r="N101" s="1805" t="n"/>
    </row>
    <row r="102" ht="23.4" customHeight="1">
      <c r="A102" s="1328" t="inlineStr">
        <is>
          <t>Coking coal price</t>
        </is>
      </c>
      <c r="B102" s="23" t="inlineStr">
        <is>
          <t>D11</t>
        </is>
      </c>
      <c r="C102" s="126" t="inlineStr">
        <is>
          <t>+10%</t>
        </is>
      </c>
      <c r="D102" s="1803" t="n">
        <v>279144.0121304067</v>
      </c>
      <c r="E102" s="1803" t="n">
        <v>-36644.1599633696</v>
      </c>
      <c r="F102" s="1804" t="n">
        <v>-0.1160403181677361</v>
      </c>
      <c r="G102" s="1306" t="inlineStr">
        <is>
          <t>Coking coal, same basket weight. Note it ranks BELOW iron ore only because the FY2033 base level is closer to its FY2026 reference; in the stress case coking coal is the dominant cost driver.</t>
        </is>
      </c>
      <c r="H102" s="1745" t="n"/>
      <c r="I102" s="1745" t="n"/>
      <c r="J102" s="1745" t="n"/>
      <c r="K102" s="1745" t="n"/>
      <c r="L102" s="1745" t="n"/>
      <c r="M102" s="1745" t="n"/>
      <c r="N102" s="1805" t="n"/>
    </row>
    <row r="103">
      <c r="A103" s="1328" t="inlineStr">
        <is>
          <t>Conversion cost inflation</t>
        </is>
      </c>
      <c r="B103" s="23" t="inlineStr">
        <is>
          <t>D12</t>
        </is>
      </c>
      <c r="C103" s="126" t="inlineStr">
        <is>
          <t>+10%</t>
        </is>
      </c>
      <c r="D103" s="1803" t="n">
        <v>292957.3405803083</v>
      </c>
      <c r="E103" s="1803" t="n">
        <v>-22830.83151346806</v>
      </c>
      <c r="F103" s="1804" t="n">
        <v>-0.07229793111658477</v>
      </c>
      <c r="G103" s="1306" t="inlineStr">
        <is>
          <t>Conversion cost inflation on the 40% of cash cost not indexed to raw materials.</t>
        </is>
      </c>
      <c r="H103" s="1745" t="n"/>
      <c r="I103" s="1745" t="n"/>
      <c r="J103" s="1745" t="n"/>
      <c r="K103" s="1745" t="n"/>
      <c r="L103" s="1745" t="n"/>
      <c r="M103" s="1745" t="n"/>
      <c r="N103" s="1805" t="n"/>
    </row>
    <row r="104" ht="25.2" customHeight="1">
      <c r="A104" s="1328" t="inlineStr">
        <is>
          <t>Raw material share of cash cost</t>
        </is>
      </c>
      <c r="B104" s="23" t="inlineStr">
        <is>
          <t>D13</t>
        </is>
      </c>
      <c r="C104" s="126" t="inlineStr">
        <is>
          <t>+10%</t>
        </is>
      </c>
      <c r="D104" s="1803" t="n">
        <v>337081.4448778402</v>
      </c>
      <c r="E104" s="1803" t="n">
        <v>21293.27278406388</v>
      </c>
      <c r="F104" s="1804" t="n">
        <v>0.06742897507174728</v>
      </c>
      <c r="G104" s="1306" t="inlineStr">
        <is>
          <t>POSITIVE because raising the raw-material share shifts weight away from conversion cost, which is compounding faster than the raw material basket in the base case. This is a genuine model insight: the direction of this UNSOURCED parameter's effect depends on the relative escalation of the two components.</t>
        </is>
      </c>
      <c r="H104" s="1745" t="n"/>
      <c r="I104" s="1745" t="n"/>
      <c r="J104" s="1745" t="n"/>
      <c r="K104" s="1745" t="n"/>
      <c r="L104" s="1745" t="n"/>
      <c r="M104" s="1745" t="n"/>
      <c r="N104" s="1805" t="n"/>
    </row>
    <row r="105" ht="23.4" customHeight="1">
      <c r="A105" s="1328" t="inlineStr">
        <is>
          <t>Secondary capacity additions</t>
        </is>
      </c>
      <c r="B105" s="23" t="inlineStr">
        <is>
          <t>D22</t>
        </is>
      </c>
      <c r="C105" s="126" t="inlineStr">
        <is>
          <t>+10%</t>
        </is>
      </c>
      <c r="D105" s="1803" t="n">
        <v>303573.1697724306</v>
      </c>
      <c r="E105" s="1803" t="n">
        <v>-12215.00232134573</v>
      </c>
      <c r="F105" s="1804" t="n">
        <v>-0.03868100011585731</v>
      </c>
      <c r="G105" s="1306" t="inlineStr">
        <is>
          <t>NEGATIVE - more capacity is EBITDA-negative because it depresses utilisation, which feeds back into price via D23. This is the economically correct result and the opposite of the naive intuition that more capacity means more earnings.</t>
        </is>
      </c>
      <c r="H105" s="1745" t="n"/>
      <c r="I105" s="1745" t="n"/>
      <c r="J105" s="1745" t="n"/>
      <c r="K105" s="1745" t="n"/>
      <c r="L105" s="1745" t="n"/>
      <c r="M105" s="1745" t="n"/>
      <c r="N105" s="1805" t="n"/>
    </row>
    <row r="106" ht="15" customHeight="1" thickBot="1">
      <c r="A106" s="127" t="inlineStr">
        <is>
          <t>Pipeline delivery factor</t>
        </is>
      </c>
      <c r="B106" s="128" t="inlineStr">
        <is>
          <t>D05</t>
        </is>
      </c>
      <c r="C106" s="129" t="inlineStr">
        <is>
          <t>+10%</t>
        </is>
      </c>
      <c r="D106" s="1806" t="n">
        <v>309138.1230809003</v>
      </c>
      <c r="E106" s="1806" t="n">
        <v>-6650.049012875999</v>
      </c>
      <c r="F106" s="1807" t="n">
        <v>-0.02105857533796802</v>
      </c>
      <c r="G106" s="1307" t="inlineStr">
        <is>
          <t>Same mechanism as D22, smaller because announced additions are a minority of total additions.</t>
        </is>
      </c>
      <c r="H106" s="1808" t="n"/>
      <c r="I106" s="1808" t="n"/>
      <c r="J106" s="1808" t="n"/>
      <c r="K106" s="1808" t="n"/>
      <c r="L106" s="1808" t="n"/>
      <c r="M106" s="1808" t="n"/>
      <c r="N106" s="1809" t="n"/>
    </row>
    <row r="107" ht="15.6" customHeight="1" thickBot="1" thickTop="1">
      <c r="A107" s="1309" t="inlineStr">
        <is>
          <t>Base Case FY2033E industry EBITDA</t>
        </is>
      </c>
      <c r="B107" s="1810" t="n"/>
      <c r="C107" s="130" t="n"/>
      <c r="D107" s="130" t="n"/>
      <c r="E107" s="1811" t="n">
        <v>315788.1720937763</v>
      </c>
      <c r="G107" s="1167" t="n"/>
      <c r="H107" s="1167" t="n"/>
    </row>
    <row r="110" ht="15" customHeight="1" thickBot="1">
      <c r="A110" s="1166" t="inlineStr">
        <is>
          <t>B - HELPER CONSTANTS FOR THE LIVE TABLES (all linked, none re-entered)</t>
        </is>
      </c>
    </row>
    <row r="111">
      <c r="A111" s="1311" t="inlineStr">
        <is>
          <t>FY2026 cash cost anchor</t>
        </is>
      </c>
      <c r="B111" s="1802" t="n"/>
      <c r="C111" s="131" t="inlineStr">
        <is>
          <t>Rs/t</t>
        </is>
      </c>
      <c r="D111" s="1812" t="n">
        <v>49241</v>
      </c>
    </row>
    <row r="112">
      <c r="A112" s="1313" t="inlineStr">
        <is>
          <t>Raw material share of cash cost</t>
        </is>
      </c>
      <c r="B112" s="1805" t="n"/>
      <c r="C112" s="69" t="inlineStr">
        <is>
          <t>%</t>
        </is>
      </c>
      <c r="D112" s="1813">
        <f>'Model Assumptions'!K$20</f>
        <v/>
      </c>
    </row>
    <row r="113">
      <c r="A113" s="1313" t="inlineStr">
        <is>
          <t>Iron ore weight in basket</t>
        </is>
      </c>
      <c r="B113" s="1805" t="n"/>
      <c r="C113" s="69" t="inlineStr">
        <is>
          <t>%</t>
        </is>
      </c>
      <c r="D113" s="1813">
        <f>'Model Assumptions'!K$21</f>
        <v/>
      </c>
    </row>
    <row r="114">
      <c r="A114" s="1313" t="inlineStr">
        <is>
          <t>FY2033E conversion cost index</t>
        </is>
      </c>
      <c r="B114" s="1805" t="n"/>
      <c r="C114" s="69" t="inlineStr">
        <is>
          <t>x</t>
        </is>
      </c>
      <c r="D114" s="1814">
        <f>'Raw Material Forecast'!J$69</f>
        <v/>
      </c>
    </row>
    <row r="115">
      <c r="A115" s="1313" t="inlineStr">
        <is>
          <t>FY2033E iron ore in rupees</t>
        </is>
      </c>
      <c r="B115" s="1805" t="n"/>
      <c r="C115" s="69" t="inlineStr">
        <is>
          <t>Rs/dmt</t>
        </is>
      </c>
      <c r="D115" s="1815">
        <f>'Raw Material Forecast'!J$65</f>
        <v/>
      </c>
    </row>
    <row r="116">
      <c r="A116" s="1313" t="inlineStr">
        <is>
          <t>FY2026 iron ore in rupees</t>
        </is>
      </c>
      <c r="B116" s="1805" t="n"/>
      <c r="C116" s="69" t="inlineStr">
        <is>
          <t>Rs/dmt</t>
        </is>
      </c>
      <c r="D116" s="1815" t="n">
        <v>8885.968000000001</v>
      </c>
    </row>
    <row r="117">
      <c r="A117" s="1313" t="inlineStr">
        <is>
          <t>FY2026 coking coal in rupees</t>
        </is>
      </c>
      <c r="B117" s="1805" t="n"/>
      <c r="C117" s="69" t="inlineStr">
        <is>
          <t>Rs/t</t>
        </is>
      </c>
      <c r="D117" s="1815" t="n">
        <v>19890</v>
      </c>
    </row>
    <row r="118">
      <c r="A118" s="1313" t="inlineStr">
        <is>
          <t>FY2033E USD/INR</t>
        </is>
      </c>
      <c r="B118" s="1805" t="n"/>
      <c r="C118" s="69" t="inlineStr">
        <is>
          <t>Rs/US$</t>
        </is>
      </c>
      <c r="D118" s="1816">
        <f>'Raw Material Forecast'!J$63</f>
        <v/>
      </c>
    </row>
    <row r="119">
      <c r="A119" s="1313" t="inlineStr">
        <is>
          <t>FY2033E price adjustment factor</t>
        </is>
      </c>
      <c r="B119" s="1805" t="n"/>
      <c r="C119" s="69" t="inlineStr">
        <is>
          <t>x</t>
        </is>
      </c>
      <c r="D119" s="1814">
        <f>'Steel Price Forecast'!J$71</f>
        <v/>
      </c>
    </row>
    <row r="120">
      <c r="A120" s="1313" t="inlineStr">
        <is>
          <t>FY2033E capacity</t>
        </is>
      </c>
      <c r="B120" s="1805" t="n"/>
      <c r="C120" s="69" t="inlineStr">
        <is>
          <t>Mtpa</t>
        </is>
      </c>
      <c r="D120" s="1817">
        <f>'Capacity Forecast'!J$96</f>
        <v/>
      </c>
    </row>
    <row r="121">
      <c r="A121" s="1313" t="inlineStr">
        <is>
          <t>FY2033E crude-to-finished ratio</t>
        </is>
      </c>
      <c r="B121" s="1805" t="n"/>
      <c r="C121" s="69" t="inlineStr">
        <is>
          <t>x</t>
        </is>
      </c>
      <c r="D121" s="1818">
        <f>'Steel Supply Model'!J$82</f>
        <v/>
      </c>
    </row>
    <row r="122" ht="15" customHeight="1" thickBot="1">
      <c r="A122" s="1318" t="inlineStr">
        <is>
          <t>FY2033E cash cost</t>
        </is>
      </c>
      <c r="B122" s="1809" t="n"/>
      <c r="C122" s="70" t="inlineStr">
        <is>
          <t>Rs/t</t>
        </is>
      </c>
      <c r="D122" s="1819">
        <f>'Cost Curve'!J$65</f>
        <v/>
      </c>
    </row>
    <row r="125">
      <c r="A125" s="1166" t="inlineStr">
        <is>
          <t>C - LIVE TABLE 1: FY2033E EBITDA PER TONNE (Rs/t) - realisation vs coking coal</t>
        </is>
      </c>
    </row>
    <row r="126" ht="15" customHeight="1" thickBot="1">
      <c r="A126" s="1320" t="inlineStr">
        <is>
          <t>Rows are the FY2033E realisation driver (Rs/t); columns are coking coal (US$/t). Every cell is a live formula rebuilding the cost equation from the helper constants above - change any driver and the whole grid moves.</t>
        </is>
      </c>
    </row>
    <row r="127">
      <c r="A127" s="140" t="inlineStr">
        <is>
          <t>Realisation \ Coking coal</t>
        </is>
      </c>
      <c r="B127" s="1820" t="n">
        <v>160</v>
      </c>
      <c r="C127" s="1820" t="n">
        <v>180</v>
      </c>
      <c r="D127" s="1820" t="n">
        <v>200</v>
      </c>
      <c r="E127" s="1820" t="n">
        <v>220</v>
      </c>
      <c r="F127" s="1820" t="n">
        <v>240</v>
      </c>
      <c r="G127" s="1820" t="n">
        <v>260</v>
      </c>
      <c r="H127" s="1821" t="n">
        <v>280</v>
      </c>
    </row>
    <row r="128">
      <c r="A128" s="1822" t="n">
        <v>58000</v>
      </c>
      <c r="B128" s="1785">
        <f>$A128*$D$119-($D$111*($D$112*($D$113*($D$115/$D$116)+$D$113*(B127*$D$118/$D$117)+(1-2*$D$113)*$D$114)+(1-$D$112)*$D$114))</f>
        <v/>
      </c>
      <c r="C128" s="1785">
        <f>$A128*$D$119-($D$111*($D$112*($D$113*($D$115/$D$116)+$D$113*(C127*$D$118/$D$117)+(1-2*$D$113)*$D$114)+(1-$D$112)*$D$114))</f>
        <v/>
      </c>
      <c r="D128" s="1785">
        <f>$A128*$D$119-($D$111*($D$112*($D$113*($D$115/$D$116)+$D$113*(D127*$D$118/$D$117)+(1-2*$D$113)*$D$114)+(1-$D$112)*$D$114))</f>
        <v/>
      </c>
      <c r="E128" s="1785">
        <f>$A128*$D$119-($D$111*($D$112*($D$113*($D$115/$D$116)+$D$113*(E127*$D$118/$D$117)+(1-2*$D$113)*$D$114)+(1-$D$112)*$D$114))</f>
        <v/>
      </c>
      <c r="F128" s="1785">
        <f>$A128*$D$119-($D$111*($D$112*($D$113*($D$115/$D$116)+$D$113*(F127*$D$118/$D$117)+(1-2*$D$113)*$D$114)+(1-$D$112)*$D$114))</f>
        <v/>
      </c>
      <c r="G128" s="1785">
        <f>$A128*$D$119-($D$111*($D$112*($D$113*($D$115/$D$116)+$D$113*(G127*$D$118/$D$117)+(1-2*$D$113)*$D$114)+(1-$D$112)*$D$114))</f>
        <v/>
      </c>
      <c r="H128" s="1823">
        <f>$A128*$D$119-($D$111*($D$112*($D$113*($D$115/$D$116)+$D$113*(H127*$D$118/$D$117)+(1-2*$D$113)*$D$114)+(1-$D$112)*$D$114))</f>
        <v/>
      </c>
    </row>
    <row r="129">
      <c r="A129" s="1822" t="n">
        <v>61000</v>
      </c>
      <c r="B129" s="1785">
        <f>$A129*$D$119-($D$111*($D$112*($D$113*($D$115/$D$116)+$D$113*(B127*$D$118/$D$117)+(1-2*$D$113)*$D$114)+(1-$D$112)*$D$114))</f>
        <v/>
      </c>
      <c r="C129" s="1785">
        <f>$A129*$D$119-($D$111*($D$112*($D$113*($D$115/$D$116)+$D$113*(C127*$D$118/$D$117)+(1-2*$D$113)*$D$114)+(1-$D$112)*$D$114))</f>
        <v/>
      </c>
      <c r="D129" s="1785">
        <f>$A129*$D$119-($D$111*($D$112*($D$113*($D$115/$D$116)+$D$113*(D127*$D$118/$D$117)+(1-2*$D$113)*$D$114)+(1-$D$112)*$D$114))</f>
        <v/>
      </c>
      <c r="E129" s="1785">
        <f>$A129*$D$119-($D$111*($D$112*($D$113*($D$115/$D$116)+$D$113*(E127*$D$118/$D$117)+(1-2*$D$113)*$D$114)+(1-$D$112)*$D$114))</f>
        <v/>
      </c>
      <c r="F129" s="1785">
        <f>$A129*$D$119-($D$111*($D$112*($D$113*($D$115/$D$116)+$D$113*(F127*$D$118/$D$117)+(1-2*$D$113)*$D$114)+(1-$D$112)*$D$114))</f>
        <v/>
      </c>
      <c r="G129" s="1785">
        <f>$A129*$D$119-($D$111*($D$112*($D$113*($D$115/$D$116)+$D$113*(G127*$D$118/$D$117)+(1-2*$D$113)*$D$114)+(1-$D$112)*$D$114))</f>
        <v/>
      </c>
      <c r="H129" s="1823">
        <f>$A129*$D$119-($D$111*($D$112*($D$113*($D$115/$D$116)+$D$113*(H127*$D$118/$D$117)+(1-2*$D$113)*$D$114)+(1-$D$112)*$D$114))</f>
        <v/>
      </c>
    </row>
    <row r="130">
      <c r="A130" s="1822" t="n">
        <v>64000</v>
      </c>
      <c r="B130" s="1785">
        <f>$A130*$D$119-($D$111*($D$112*($D$113*($D$115/$D$116)+$D$113*(B127*$D$118/$D$117)+(1-2*$D$113)*$D$114)+(1-$D$112)*$D$114))</f>
        <v/>
      </c>
      <c r="C130" s="1785">
        <f>$A130*$D$119-($D$111*($D$112*($D$113*($D$115/$D$116)+$D$113*(C127*$D$118/$D$117)+(1-2*$D$113)*$D$114)+(1-$D$112)*$D$114))</f>
        <v/>
      </c>
      <c r="D130" s="1785">
        <f>$A130*$D$119-($D$111*($D$112*($D$113*($D$115/$D$116)+$D$113*(D127*$D$118/$D$117)+(1-2*$D$113)*$D$114)+(1-$D$112)*$D$114))</f>
        <v/>
      </c>
      <c r="E130" s="1785">
        <f>$A130*$D$119-($D$111*($D$112*($D$113*($D$115/$D$116)+$D$113*(E127*$D$118/$D$117)+(1-2*$D$113)*$D$114)+(1-$D$112)*$D$114))</f>
        <v/>
      </c>
      <c r="F130" s="1785">
        <f>$A130*$D$119-($D$111*($D$112*($D$113*($D$115/$D$116)+$D$113*(F127*$D$118/$D$117)+(1-2*$D$113)*$D$114)+(1-$D$112)*$D$114))</f>
        <v/>
      </c>
      <c r="G130" s="1785">
        <f>$A130*$D$119-($D$111*($D$112*($D$113*($D$115/$D$116)+$D$113*(G127*$D$118/$D$117)+(1-2*$D$113)*$D$114)+(1-$D$112)*$D$114))</f>
        <v/>
      </c>
      <c r="H130" s="1823">
        <f>$A130*$D$119-($D$111*($D$112*($D$113*($D$115/$D$116)+$D$113*(H127*$D$118/$D$117)+(1-2*$D$113)*$D$114)+(1-$D$112)*$D$114))</f>
        <v/>
      </c>
    </row>
    <row r="131">
      <c r="A131" s="1822" t="n">
        <v>66000</v>
      </c>
      <c r="B131" s="1785">
        <f>$A131*$D$119-($D$111*($D$112*($D$113*($D$115/$D$116)+$D$113*(B127*$D$118/$D$117)+(1-2*$D$113)*$D$114)+(1-$D$112)*$D$114))</f>
        <v/>
      </c>
      <c r="C131" s="1785">
        <f>$A131*$D$119-($D$111*($D$112*($D$113*($D$115/$D$116)+$D$113*(C127*$D$118/$D$117)+(1-2*$D$113)*$D$114)+(1-$D$112)*$D$114))</f>
        <v/>
      </c>
      <c r="D131" s="1785">
        <f>$A131*$D$119-($D$111*($D$112*($D$113*($D$115/$D$116)+$D$113*(D127*$D$118/$D$117)+(1-2*$D$113)*$D$114)+(1-$D$112)*$D$114))</f>
        <v/>
      </c>
      <c r="E131" s="1785">
        <f>$A131*$D$119-($D$111*($D$112*($D$113*($D$115/$D$116)+$D$113*(E127*$D$118/$D$117)+(1-2*$D$113)*$D$114)+(1-$D$112)*$D$114))</f>
        <v/>
      </c>
      <c r="F131" s="1785">
        <f>$A131*$D$119-($D$111*($D$112*($D$113*($D$115/$D$116)+$D$113*(F127*$D$118/$D$117)+(1-2*$D$113)*$D$114)+(1-$D$112)*$D$114))</f>
        <v/>
      </c>
      <c r="G131" s="1785">
        <f>$A131*$D$119-($D$111*($D$112*($D$113*($D$115/$D$116)+$D$113*(G127*$D$118/$D$117)+(1-2*$D$113)*$D$114)+(1-$D$112)*$D$114))</f>
        <v/>
      </c>
      <c r="H131" s="1823">
        <f>$A131*$D$119-($D$111*($D$112*($D$113*($D$115/$D$116)+$D$113*(H127*$D$118/$D$117)+(1-2*$D$113)*$D$114)+(1-$D$112)*$D$114))</f>
        <v/>
      </c>
    </row>
    <row r="132">
      <c r="A132" s="1822" t="n">
        <v>68000</v>
      </c>
      <c r="B132" s="1785">
        <f>$A132*$D$119-($D$111*($D$112*($D$113*($D$115/$D$116)+$D$113*(B127*$D$118/$D$117)+(1-2*$D$113)*$D$114)+(1-$D$112)*$D$114))</f>
        <v/>
      </c>
      <c r="C132" s="1785">
        <f>$A132*$D$119-($D$111*($D$112*($D$113*($D$115/$D$116)+$D$113*(C127*$D$118/$D$117)+(1-2*$D$113)*$D$114)+(1-$D$112)*$D$114))</f>
        <v/>
      </c>
      <c r="D132" s="1785">
        <f>$A132*$D$119-($D$111*($D$112*($D$113*($D$115/$D$116)+$D$113*(D127*$D$118/$D$117)+(1-2*$D$113)*$D$114)+(1-$D$112)*$D$114))</f>
        <v/>
      </c>
      <c r="E132" s="1785">
        <f>$A132*$D$119-($D$111*($D$112*($D$113*($D$115/$D$116)+$D$113*(E127*$D$118/$D$117)+(1-2*$D$113)*$D$114)+(1-$D$112)*$D$114))</f>
        <v/>
      </c>
      <c r="F132" s="1785">
        <f>$A132*$D$119-($D$111*($D$112*($D$113*($D$115/$D$116)+$D$113*(F127*$D$118/$D$117)+(1-2*$D$113)*$D$114)+(1-$D$112)*$D$114))</f>
        <v/>
      </c>
      <c r="G132" s="1785">
        <f>$A132*$D$119-($D$111*($D$112*($D$113*($D$115/$D$116)+$D$113*(G127*$D$118/$D$117)+(1-2*$D$113)*$D$114)+(1-$D$112)*$D$114))</f>
        <v/>
      </c>
      <c r="H132" s="1823">
        <f>$A132*$D$119-($D$111*($D$112*($D$113*($D$115/$D$116)+$D$113*(H127*$D$118/$D$117)+(1-2*$D$113)*$D$114)+(1-$D$112)*$D$114))</f>
        <v/>
      </c>
    </row>
    <row r="133">
      <c r="A133" s="1822" t="n">
        <v>71000</v>
      </c>
      <c r="B133" s="1785">
        <f>$A133*$D$119-($D$111*($D$112*($D$113*($D$115/$D$116)+$D$113*(B127*$D$118/$D$117)+(1-2*$D$113)*$D$114)+(1-$D$112)*$D$114))</f>
        <v/>
      </c>
      <c r="C133" s="1785">
        <f>$A133*$D$119-($D$111*($D$112*($D$113*($D$115/$D$116)+$D$113*(C127*$D$118/$D$117)+(1-2*$D$113)*$D$114)+(1-$D$112)*$D$114))</f>
        <v/>
      </c>
      <c r="D133" s="1785">
        <f>$A133*$D$119-($D$111*($D$112*($D$113*($D$115/$D$116)+$D$113*(D127*$D$118/$D$117)+(1-2*$D$113)*$D$114)+(1-$D$112)*$D$114))</f>
        <v/>
      </c>
      <c r="E133" s="1785">
        <f>$A133*$D$119-($D$111*($D$112*($D$113*($D$115/$D$116)+$D$113*(E127*$D$118/$D$117)+(1-2*$D$113)*$D$114)+(1-$D$112)*$D$114))</f>
        <v/>
      </c>
      <c r="F133" s="1785">
        <f>$A133*$D$119-($D$111*($D$112*($D$113*($D$115/$D$116)+$D$113*(F127*$D$118/$D$117)+(1-2*$D$113)*$D$114)+(1-$D$112)*$D$114))</f>
        <v/>
      </c>
      <c r="G133" s="1785">
        <f>$A133*$D$119-($D$111*($D$112*($D$113*($D$115/$D$116)+$D$113*(G127*$D$118/$D$117)+(1-2*$D$113)*$D$114)+(1-$D$112)*$D$114))</f>
        <v/>
      </c>
      <c r="H133" s="1823">
        <f>$A133*$D$119-($D$111*($D$112*($D$113*($D$115/$D$116)+$D$113*(H127*$D$118/$D$117)+(1-2*$D$113)*$D$114)+(1-$D$112)*$D$114))</f>
        <v/>
      </c>
    </row>
    <row r="134">
      <c r="A134" s="1822" t="n">
        <v>74000</v>
      </c>
      <c r="B134" s="1785">
        <f>$A134*$D$119-($D$111*($D$112*($D$113*($D$115/$D$116)+$D$113*(B127*$D$118/$D$117)+(1-2*$D$113)*$D$114)+(1-$D$112)*$D$114))</f>
        <v/>
      </c>
      <c r="C134" s="1785">
        <f>$A134*$D$119-($D$111*($D$112*($D$113*($D$115/$D$116)+$D$113*(C127*$D$118/$D$117)+(1-2*$D$113)*$D$114)+(1-$D$112)*$D$114))</f>
        <v/>
      </c>
      <c r="D134" s="1785">
        <f>$A134*$D$119-($D$111*($D$112*($D$113*($D$115/$D$116)+$D$113*(D127*$D$118/$D$117)+(1-2*$D$113)*$D$114)+(1-$D$112)*$D$114))</f>
        <v/>
      </c>
      <c r="E134" s="1785">
        <f>$A134*$D$119-($D$111*($D$112*($D$113*($D$115/$D$116)+$D$113*(E127*$D$118/$D$117)+(1-2*$D$113)*$D$114)+(1-$D$112)*$D$114))</f>
        <v/>
      </c>
      <c r="F134" s="1785">
        <f>$A134*$D$119-($D$111*($D$112*($D$113*($D$115/$D$116)+$D$113*(F127*$D$118/$D$117)+(1-2*$D$113)*$D$114)+(1-$D$112)*$D$114))</f>
        <v/>
      </c>
      <c r="G134" s="1785">
        <f>$A134*$D$119-($D$111*($D$112*($D$113*($D$115/$D$116)+$D$113*(G127*$D$118/$D$117)+(1-2*$D$113)*$D$114)+(1-$D$112)*$D$114))</f>
        <v/>
      </c>
      <c r="H134" s="1823">
        <f>$A134*$D$119-($D$111*($D$112*($D$113*($D$115/$D$116)+$D$113*(H127*$D$118/$D$117)+(1-2*$D$113)*$D$114)+(1-$D$112)*$D$114))</f>
        <v/>
      </c>
    </row>
    <row r="135" ht="15" customHeight="1" thickBot="1">
      <c r="A135" s="1824" t="n">
        <v>77000</v>
      </c>
      <c r="B135" s="1787">
        <f>$A135*$D$119-($D$111*($D$112*($D$113*($D$115/$D$116)+$D$113*(B127*$D$118/$D$117)+(1-2*$D$113)*$D$114)+(1-$D$112)*$D$114))</f>
        <v/>
      </c>
      <c r="C135" s="1787">
        <f>$A135*$D$119-($D$111*($D$112*($D$113*($D$115/$D$116)+$D$113*(C127*$D$118/$D$117)+(1-2*$D$113)*$D$114)+(1-$D$112)*$D$114))</f>
        <v/>
      </c>
      <c r="D135" s="1787">
        <f>$A135*$D$119-($D$111*($D$112*($D$113*($D$115/$D$116)+$D$113*(D127*$D$118/$D$117)+(1-2*$D$113)*$D$114)+(1-$D$112)*$D$114))</f>
        <v/>
      </c>
      <c r="E135" s="1787">
        <f>$A135*$D$119-($D$111*($D$112*($D$113*($D$115/$D$116)+$D$113*(E127*$D$118/$D$117)+(1-2*$D$113)*$D$114)+(1-$D$112)*$D$114))</f>
        <v/>
      </c>
      <c r="F135" s="1787">
        <f>$A135*$D$119-($D$111*($D$112*($D$113*($D$115/$D$116)+$D$113*(F127*$D$118/$D$117)+(1-2*$D$113)*$D$114)+(1-$D$112)*$D$114))</f>
        <v/>
      </c>
      <c r="G135" s="1787">
        <f>$A135*$D$119-($D$111*($D$112*($D$113*($D$115/$D$116)+$D$113*(G127*$D$118/$D$117)+(1-2*$D$113)*$D$114)+(1-$D$112)*$D$114))</f>
        <v/>
      </c>
      <c r="H135" s="1825">
        <f>$A135*$D$119-($D$111*($D$112*($D$113*($D$115/$D$116)+$D$113*(H127*$D$118/$D$117)+(1-2*$D$113)*$D$114)+(1-$D$112)*$D$114))</f>
        <v/>
      </c>
    </row>
    <row r="136" ht="24" customHeight="1">
      <c r="A136" s="147" t="inlineStr">
        <is>
          <t>Interpretation</t>
        </is>
      </c>
      <c r="B136" s="1167" t="inlineStr">
        <is>
          <t>At the Base Case FY2033E realisation driver of Rs 68,000/t, EBITDA per tonne swings from roughly Rs 14,600/t at US$160/t coking coal to roughly Rs 6,100/t at US$280/t - a 2.4x range on the coking coal axis alone. This is why a licensed coking coal series is the highest-priority data gap in the model.</t>
        </is>
      </c>
    </row>
    <row r="139">
      <c r="A139" s="1166" t="inlineStr">
        <is>
          <t>D - LIVE TABLE 2: FY2033E INDUSTRY EBITDA (Rs cr) - utilisation vs realisation</t>
        </is>
      </c>
    </row>
    <row r="140" ht="22.2" customHeight="1" thickBot="1">
      <c r="A140" s="1320" t="inlineStr">
        <is>
          <t>Rows are FY2033E capacity utilisation; columns are the FY2033E realisation driver (Rs/t). Volume is derived as capacity x utilisation / the crude-to-finished ratio. This is a PARTIAL sensitivity: it holds the lagged price feedback at its base value, so it isolates the volume and price effects and does not double-count the feedback.</t>
        </is>
      </c>
    </row>
    <row r="141">
      <c r="A141" s="140" t="inlineStr">
        <is>
          <t>Utilisation \ Realisation</t>
        </is>
      </c>
      <c r="B141" s="1820" t="n">
        <v>58000</v>
      </c>
      <c r="C141" s="1820" t="n">
        <v>61000</v>
      </c>
      <c r="D141" s="1820" t="n">
        <v>64000</v>
      </c>
      <c r="E141" s="1820" t="n">
        <v>66000</v>
      </c>
      <c r="F141" s="1820" t="n">
        <v>68000</v>
      </c>
      <c r="G141" s="1820" t="n">
        <v>71000</v>
      </c>
      <c r="H141" s="1820" t="n">
        <v>74000</v>
      </c>
      <c r="I141" s="1821" t="n">
        <v>77000</v>
      </c>
    </row>
    <row r="142">
      <c r="A142" s="1826" t="n">
        <v>0.74</v>
      </c>
      <c r="B142" s="1691">
        <f>($D$120*$A142/$D$121)*(B141*$D$119-$D$122)/10</f>
        <v/>
      </c>
      <c r="C142" s="1691">
        <f>($D$120*$A142/$D$121)*(C141*$D$119-$D$122)/10</f>
        <v/>
      </c>
      <c r="D142" s="1691">
        <f>($D$120*$A142/$D$121)*(D141*$D$119-$D$122)/10</f>
        <v/>
      </c>
      <c r="E142" s="1691">
        <f>($D$120*$A142/$D$121)*(E141*$D$119-$D$122)/10</f>
        <v/>
      </c>
      <c r="F142" s="1691">
        <f>($D$120*$A142/$D$121)*(F141*$D$119-$D$122)/10</f>
        <v/>
      </c>
      <c r="G142" s="1691">
        <f>($D$120*$A142/$D$121)*(G141*$D$119-$D$122)/10</f>
        <v/>
      </c>
      <c r="H142" s="1691">
        <f>($D$120*$A142/$D$121)*(H141*$D$119-$D$122)/10</f>
        <v/>
      </c>
      <c r="I142" s="1815">
        <f>($D$120*$A142/$D$121)*(I141*$D$119-$D$122)/10</f>
        <v/>
      </c>
    </row>
    <row r="143">
      <c r="A143" s="1826" t="n">
        <v>0.78</v>
      </c>
      <c r="B143" s="1691">
        <f>($D$120*$A143/$D$121)*(B141*$D$119-$D$122)/10</f>
        <v/>
      </c>
      <c r="C143" s="1691">
        <f>($D$120*$A143/$D$121)*(C141*$D$119-$D$122)/10</f>
        <v/>
      </c>
      <c r="D143" s="1691">
        <f>($D$120*$A143/$D$121)*(D141*$D$119-$D$122)/10</f>
        <v/>
      </c>
      <c r="E143" s="1691">
        <f>($D$120*$A143/$D$121)*(E141*$D$119-$D$122)/10</f>
        <v/>
      </c>
      <c r="F143" s="1691">
        <f>($D$120*$A143/$D$121)*(F141*$D$119-$D$122)/10</f>
        <v/>
      </c>
      <c r="G143" s="1691">
        <f>($D$120*$A143/$D$121)*(G141*$D$119-$D$122)/10</f>
        <v/>
      </c>
      <c r="H143" s="1691">
        <f>($D$120*$A143/$D$121)*(H141*$D$119-$D$122)/10</f>
        <v/>
      </c>
      <c r="I143" s="1815">
        <f>($D$120*$A143/$D$121)*(I141*$D$119-$D$122)/10</f>
        <v/>
      </c>
    </row>
    <row r="144">
      <c r="A144" s="1826" t="n">
        <v>0.82</v>
      </c>
      <c r="B144" s="1691">
        <f>($D$120*$A144/$D$121)*(B141*$D$119-$D$122)/10</f>
        <v/>
      </c>
      <c r="C144" s="1691">
        <f>($D$120*$A144/$D$121)*(C141*$D$119-$D$122)/10</f>
        <v/>
      </c>
      <c r="D144" s="1691">
        <f>($D$120*$A144/$D$121)*(D141*$D$119-$D$122)/10</f>
        <v/>
      </c>
      <c r="E144" s="1691">
        <f>($D$120*$A144/$D$121)*(E141*$D$119-$D$122)/10</f>
        <v/>
      </c>
      <c r="F144" s="1691">
        <f>($D$120*$A144/$D$121)*(F141*$D$119-$D$122)/10</f>
        <v/>
      </c>
      <c r="G144" s="1691">
        <f>($D$120*$A144/$D$121)*(G141*$D$119-$D$122)/10</f>
        <v/>
      </c>
      <c r="H144" s="1691">
        <f>($D$120*$A144/$D$121)*(H141*$D$119-$D$122)/10</f>
        <v/>
      </c>
      <c r="I144" s="1815">
        <f>($D$120*$A144/$D$121)*(I141*$D$119-$D$122)/10</f>
        <v/>
      </c>
    </row>
    <row r="145">
      <c r="A145" s="1826" t="n">
        <v>0.84</v>
      </c>
      <c r="B145" s="1691">
        <f>($D$120*$A145/$D$121)*(B141*$D$119-$D$122)/10</f>
        <v/>
      </c>
      <c r="C145" s="1691">
        <f>($D$120*$A145/$D$121)*(C141*$D$119-$D$122)/10</f>
        <v/>
      </c>
      <c r="D145" s="1691">
        <f>($D$120*$A145/$D$121)*(D141*$D$119-$D$122)/10</f>
        <v/>
      </c>
      <c r="E145" s="1691">
        <f>($D$120*$A145/$D$121)*(E141*$D$119-$D$122)/10</f>
        <v/>
      </c>
      <c r="F145" s="1691">
        <f>($D$120*$A145/$D$121)*(F141*$D$119-$D$122)/10</f>
        <v/>
      </c>
      <c r="G145" s="1691">
        <f>($D$120*$A145/$D$121)*(G141*$D$119-$D$122)/10</f>
        <v/>
      </c>
      <c r="H145" s="1691">
        <f>($D$120*$A145/$D$121)*(H141*$D$119-$D$122)/10</f>
        <v/>
      </c>
      <c r="I145" s="1815">
        <f>($D$120*$A145/$D$121)*(I141*$D$119-$D$122)/10</f>
        <v/>
      </c>
    </row>
    <row r="146">
      <c r="A146" s="1826" t="n">
        <v>0.86</v>
      </c>
      <c r="B146" s="1691">
        <f>($D$120*$A146/$D$121)*(B141*$D$119-$D$122)/10</f>
        <v/>
      </c>
      <c r="C146" s="1691">
        <f>($D$120*$A146/$D$121)*(C141*$D$119-$D$122)/10</f>
        <v/>
      </c>
      <c r="D146" s="1691">
        <f>($D$120*$A146/$D$121)*(D141*$D$119-$D$122)/10</f>
        <v/>
      </c>
      <c r="E146" s="1691">
        <f>($D$120*$A146/$D$121)*(E141*$D$119-$D$122)/10</f>
        <v/>
      </c>
      <c r="F146" s="1691">
        <f>($D$120*$A146/$D$121)*(F141*$D$119-$D$122)/10</f>
        <v/>
      </c>
      <c r="G146" s="1691">
        <f>($D$120*$A146/$D$121)*(G141*$D$119-$D$122)/10</f>
        <v/>
      </c>
      <c r="H146" s="1691">
        <f>($D$120*$A146/$D$121)*(H141*$D$119-$D$122)/10</f>
        <v/>
      </c>
      <c r="I146" s="1815">
        <f>($D$120*$A146/$D$121)*(I141*$D$119-$D$122)/10</f>
        <v/>
      </c>
    </row>
    <row r="147" ht="15" customHeight="1" thickBot="1">
      <c r="A147" s="1827" t="n">
        <v>0.9</v>
      </c>
      <c r="B147" s="1828">
        <f>($D$120*$A147/$D$121)*(B141*$D$119-$D$122)/10</f>
        <v/>
      </c>
      <c r="C147" s="1828">
        <f>($D$120*$A147/$D$121)*(C141*$D$119-$D$122)/10</f>
        <v/>
      </c>
      <c r="D147" s="1828">
        <f>($D$120*$A147/$D$121)*(D141*$D$119-$D$122)/10</f>
        <v/>
      </c>
      <c r="E147" s="1828">
        <f>($D$120*$A147/$D$121)*(E141*$D$119-$D$122)/10</f>
        <v/>
      </c>
      <c r="F147" s="1828">
        <f>($D$120*$A147/$D$121)*(F141*$D$119-$D$122)/10</f>
        <v/>
      </c>
      <c r="G147" s="1828">
        <f>($D$120*$A147/$D$121)*(G141*$D$119-$D$122)/10</f>
        <v/>
      </c>
      <c r="H147" s="1828">
        <f>($D$120*$A147/$D$121)*(H141*$D$119-$D$122)/10</f>
        <v/>
      </c>
      <c r="I147" s="1819">
        <f>($D$120*$A147/$D$121)*(I141*$D$119-$D$122)/10</f>
        <v/>
      </c>
    </row>
    <row r="150">
      <c r="A150" s="1166" t="inlineStr">
        <is>
          <t>E - HOW MUCH OF THE ANSWER RESTS ON UNSOURCED ASSUMPTIONS</t>
        </is>
      </c>
    </row>
    <row r="151" ht="27.6" customHeight="1">
      <c r="A151" s="1305" t="inlineStr">
        <is>
          <t>Unsourced assumption</t>
        </is>
      </c>
      <c r="B151" s="1745" t="n"/>
      <c r="C151" s="1805" t="n"/>
      <c r="D151" s="78" t="inlineStr">
        <is>
          <t>ID</t>
        </is>
      </c>
      <c r="E151" s="78" t="inlineStr">
        <is>
          <t>Base value</t>
        </is>
      </c>
      <c r="F151" s="1305" t="inlineStr">
        <is>
          <t>Plausible range</t>
        </is>
      </c>
      <c r="G151" s="1305" t="inlineStr">
        <is>
          <t>FY2033E EBITDA impact across the range</t>
        </is>
      </c>
      <c r="H151" s="1745" t="n"/>
      <c r="I151" s="1805" t="n"/>
      <c r="J151" s="1303" t="inlineStr">
        <is>
          <t>Materiality verdict</t>
        </is>
      </c>
      <c r="K151" s="1745" t="n"/>
      <c r="L151" s="1745" t="n"/>
      <c r="M151" s="1745" t="n"/>
      <c r="N151" s="1805" t="n"/>
    </row>
    <row r="152" ht="27.6" customHeight="1">
      <c r="A152" s="1304" t="inlineStr">
        <is>
          <t>Raw material share of cash cost</t>
        </is>
      </c>
      <c r="B152" s="1745" t="n"/>
      <c r="C152" s="1805" t="n"/>
      <c r="D152" s="23" t="inlineStr">
        <is>
          <t>D13</t>
        </is>
      </c>
      <c r="E152" s="126" t="inlineStr">
        <is>
          <t>60%</t>
        </is>
      </c>
      <c r="F152" s="1306" t="inlineStr">
        <is>
          <t>55% to 65%</t>
        </is>
      </c>
      <c r="G152" s="1306" t="inlineStr">
        <is>
          <t>Roughly Rs 21,000 cr per 10% relative change, i.e. about 6.7% of FY2033E EBITDA</t>
        </is>
      </c>
      <c r="H152" s="1745" t="n"/>
      <c r="I152" s="1805" t="n"/>
      <c r="J152" s="1302" t="inlineStr">
        <is>
          <t>MATERIAL but second-order. The direction depends on relative escalation of raw material versus conversion cost, so it is not a simple bias.</t>
        </is>
      </c>
      <c r="K152" s="1745" t="n"/>
      <c r="L152" s="1745" t="n"/>
      <c r="M152" s="1745" t="n"/>
      <c r="N152" s="1805" t="n"/>
    </row>
    <row r="153" ht="36.6" customHeight="1">
      <c r="A153" s="1304" t="inlineStr">
        <is>
          <t>Price sensitivity to utilisation</t>
        </is>
      </c>
      <c r="B153" s="1745" t="n"/>
      <c r="C153" s="1805" t="n"/>
      <c r="D153" s="23" t="inlineStr">
        <is>
          <t>D23</t>
        </is>
      </c>
      <c r="E153" s="126" t="inlineStr">
        <is>
          <t>0.40x</t>
        </is>
      </c>
      <c r="F153" s="1306" t="inlineStr">
        <is>
          <t>0.20x to 0.60x</t>
        </is>
      </c>
      <c r="G153" s="1306" t="inlineStr">
        <is>
          <t>Sets the whole magnitude of the capacity feedback. At 0.20x the capacity drivers halve in importance; at 0.60x they roughly double.</t>
        </is>
      </c>
      <c r="H153" s="1745" t="n"/>
      <c r="I153" s="1805" t="n"/>
      <c r="J153" s="1302" t="inlineStr">
        <is>
          <t>MATERIAL. This parameter determines whether capacity matters at all. It is the single most important unsourced input in the model.</t>
        </is>
      </c>
      <c r="K153" s="1745" t="n"/>
      <c r="L153" s="1745" t="n"/>
      <c r="M153" s="1745" t="n"/>
      <c r="N153" s="1805" t="n"/>
    </row>
    <row r="154" ht="27.6" customHeight="1">
      <c r="A154" s="1304" t="inlineStr">
        <is>
          <t>Net working capital days</t>
        </is>
      </c>
      <c r="B154" s="1745" t="n"/>
      <c r="C154" s="1805" t="n"/>
      <c r="D154" s="23" t="inlineStr">
        <is>
          <t>D18</t>
        </is>
      </c>
      <c r="E154" s="126" t="inlineStr">
        <is>
          <t>45 days</t>
        </is>
      </c>
      <c r="F154" s="1306" t="inlineStr">
        <is>
          <t>35 to 60 days</t>
        </is>
      </c>
      <c r="G154" s="1306" t="inlineStr">
        <is>
          <t>Roughly Rs 12,000 cr of terminal-year cash flow per 4.5 days</t>
        </is>
      </c>
      <c r="H154" s="1745" t="n"/>
      <c r="I154" s="1805" t="n"/>
      <c r="J154" s="1302" t="inlineStr">
        <is>
          <t>MATERIAL but second-order. The direction depends on relative escalation of raw material versus conversion cost, so it is not a simple bias.</t>
        </is>
      </c>
      <c r="K154" s="1745" t="n"/>
      <c r="L154" s="1745" t="n"/>
      <c r="M154" s="1745" t="n"/>
      <c r="N154" s="1805" t="n"/>
    </row>
    <row r="155" ht="27.6" customHeight="1">
      <c r="A155" s="1304" t="inlineStr">
        <is>
          <t>Equity risk premium and beta (within WACC)</t>
        </is>
      </c>
      <c r="B155" s="1745" t="n"/>
      <c r="C155" s="1805" t="n"/>
      <c r="D155" s="23" t="inlineStr">
        <is>
          <t>R08</t>
        </is>
      </c>
      <c r="E155" s="126" t="inlineStr">
        <is>
          <t>6.5% and 1.20x</t>
        </is>
      </c>
      <c r="F155" s="1306" t="inlineStr">
        <is>
          <t>5.5-7.5%, 1.0-1.4x</t>
        </is>
      </c>
      <c r="G155" s="1306" t="inlineStr">
        <is>
          <t>Roughly Rs 21,000 cr per 10% relative change, i.e. about 6.7% of FY2033E EBITDA</t>
        </is>
      </c>
      <c r="H155" s="1745" t="n"/>
      <c r="I155" s="1805" t="n"/>
      <c r="J155" s="1302" t="inlineStr">
        <is>
          <t>MATERIAL but second-order. The direction depends on relative escalation of raw material versus conversion cost, so it is not a simple bias.</t>
        </is>
      </c>
      <c r="K155" s="1745" t="n"/>
      <c r="L155" s="1745" t="n"/>
      <c r="M155" s="1745" t="n"/>
      <c r="N155" s="1805" t="n"/>
    </row>
    <row r="156" ht="27.6" customHeight="1">
      <c r="A156" s="1304" t="inlineStr">
        <is>
          <t>Maximum practical utilisation</t>
        </is>
      </c>
      <c r="B156" s="1745" t="n"/>
      <c r="C156" s="1805" t="n"/>
      <c r="D156" s="23" t="inlineStr">
        <is>
          <t>D25</t>
        </is>
      </c>
      <c r="E156" s="126" t="inlineStr">
        <is>
          <t>92%</t>
        </is>
      </c>
      <c r="F156" s="1306" t="inlineStr">
        <is>
          <t>88% to 95%</t>
        </is>
      </c>
      <c r="G156" s="1306" t="inlineStr">
        <is>
          <t>Zero in the Base Case - the ceiling does not bind, peak utilisation is 84.0%</t>
        </is>
      </c>
      <c r="H156" s="1745" t="n"/>
      <c r="I156" s="1805" t="n"/>
      <c r="J156" s="1302" t="inlineStr">
        <is>
          <t>IMMATERIAL in the base case; becomes material only in the bull case where utilisation reaches 87.9%.</t>
        </is>
      </c>
      <c r="K156" s="1745" t="n"/>
      <c r="L156" s="1745" t="n"/>
      <c r="M156" s="1745" t="n"/>
      <c r="N156" s="1805" t="n"/>
    </row>
    <row r="157" ht="27.6" customHeight="1">
      <c r="A157" s="1304" t="inlineStr">
        <is>
          <t>Maintenance capex</t>
        </is>
      </c>
      <c r="B157" s="1745" t="n"/>
      <c r="C157" s="1805" t="n"/>
      <c r="D157" s="23" t="inlineStr">
        <is>
          <t>D17</t>
        </is>
      </c>
      <c r="E157" s="126" t="inlineStr">
        <is>
          <t>3.0% of revenue</t>
        </is>
      </c>
      <c r="F157" s="1306" t="inlineStr">
        <is>
          <t>2.5% to 4.0%</t>
        </is>
      </c>
      <c r="G157" s="1306" t="inlineStr">
        <is>
          <t>Roughly Rs 16,000 cr of terminal-year free cash flow per 100bps</t>
        </is>
      </c>
      <c r="H157" s="1745" t="n"/>
      <c r="I157" s="1805" t="n"/>
      <c r="J157" s="1302" t="inlineStr">
        <is>
          <t>MATERIAL FOR CASH FLOW, immaterial for EBITDA.</t>
        </is>
      </c>
      <c r="K157" s="1745" t="n"/>
      <c r="L157" s="1745" t="n"/>
      <c r="M157" s="1745" t="n"/>
      <c r="N157" s="1805" t="n"/>
    </row>
    <row r="158" ht="27.6" customHeight="1">
      <c r="A158" s="1304" t="inlineStr">
        <is>
          <t>Indian emission intensity and EU carbon price</t>
        </is>
      </c>
      <c r="B158" s="1745" t="n"/>
      <c r="C158" s="1805" t="n"/>
      <c r="D158" s="23" t="inlineStr">
        <is>
          <t>20 ESG</t>
        </is>
      </c>
      <c r="E158" s="126" t="inlineStr">
        <is>
          <t>2.55 tCO2e/t, EUR 85/t</t>
        </is>
      </c>
      <c r="F158" s="1306" t="inlineStr">
        <is>
          <t>Wide - both unsourced</t>
        </is>
      </c>
      <c r="G158" s="1306" t="inlineStr">
        <is>
          <t>CBAM cost is roughly Rs 2,100 cr at the base inputs, under 1% of FY2033E EBITDA</t>
        </is>
      </c>
      <c r="H158" s="1745" t="n"/>
      <c r="I158" s="1805" t="n"/>
      <c r="J158" s="1302" t="inlineStr">
        <is>
          <t>IMMATERIAL at current export volumes, but scales with the EU export share and the carbon price. Watch rather than model.</t>
        </is>
      </c>
      <c r="K158" s="1745" t="n"/>
      <c r="L158" s="1745" t="n"/>
      <c r="M158" s="1745" t="n"/>
      <c r="N158" s="1805" t="n"/>
    </row>
    <row r="160">
      <c r="A160" s="1132" t="inlineStr">
        <is>
          <t>Read this block first. It is the honest answer to 'how much should I trust this model?' - the operating forecast is robust to the unsourced inputs; the cash flow and valuation output is not, until working capital, WACC and a coking coal series are properly sourced.</t>
        </is>
      </c>
    </row>
  </sheetData>
  <mergeCells count="69">
    <mergeCell ref="A7:I7"/>
    <mergeCell ref="G105:N105"/>
    <mergeCell ref="J153:N153"/>
    <mergeCell ref="A66:C66"/>
    <mergeCell ref="A150:G150"/>
    <mergeCell ref="G96:N96"/>
    <mergeCell ref="A75:C75"/>
    <mergeCell ref="A37:F37"/>
    <mergeCell ref="A107:B107"/>
    <mergeCell ref="J156:N156"/>
    <mergeCell ref="A125:G125"/>
    <mergeCell ref="A158:C158"/>
    <mergeCell ref="A119:B119"/>
    <mergeCell ref="A154:C154"/>
    <mergeCell ref="G98:N98"/>
    <mergeCell ref="G152:I152"/>
    <mergeCell ref="J155:N155"/>
    <mergeCell ref="A1:N1"/>
    <mergeCell ref="A2:F2"/>
    <mergeCell ref="G97:N97"/>
    <mergeCell ref="A151:C151"/>
    <mergeCell ref="J152:N152"/>
    <mergeCell ref="J157:N157"/>
    <mergeCell ref="G154:I154"/>
    <mergeCell ref="A17:I17"/>
    <mergeCell ref="G103:N103"/>
    <mergeCell ref="G101:N101"/>
    <mergeCell ref="J151:N151"/>
    <mergeCell ref="A118:B118"/>
    <mergeCell ref="G153:I153"/>
    <mergeCell ref="A4:C4"/>
    <mergeCell ref="A120:B120"/>
    <mergeCell ref="A156:C156"/>
    <mergeCell ref="A152:C152"/>
    <mergeCell ref="A95:E95"/>
    <mergeCell ref="A155:C155"/>
    <mergeCell ref="A113:B113"/>
    <mergeCell ref="G158:I158"/>
    <mergeCell ref="A116:B116"/>
    <mergeCell ref="G104:N104"/>
    <mergeCell ref="A160:N160"/>
    <mergeCell ref="A5:K5"/>
    <mergeCell ref="A122:B122"/>
    <mergeCell ref="A157:C157"/>
    <mergeCell ref="J158:N158"/>
    <mergeCell ref="A126:N126"/>
    <mergeCell ref="B136:N136"/>
    <mergeCell ref="G155:I155"/>
    <mergeCell ref="A140:N140"/>
    <mergeCell ref="G151:I151"/>
    <mergeCell ref="A112:B112"/>
    <mergeCell ref="G100:N100"/>
    <mergeCell ref="A36:I36"/>
    <mergeCell ref="A45:F45"/>
    <mergeCell ref="A121:B121"/>
    <mergeCell ref="A115:B115"/>
    <mergeCell ref="A117:B117"/>
    <mergeCell ref="A139:G139"/>
    <mergeCell ref="A110:F110"/>
    <mergeCell ref="G99:N99"/>
    <mergeCell ref="A111:B111"/>
    <mergeCell ref="A153:C153"/>
    <mergeCell ref="G157:I157"/>
    <mergeCell ref="A114:B114"/>
    <mergeCell ref="J154:N154"/>
    <mergeCell ref="G106:N106"/>
    <mergeCell ref="A54:C54"/>
    <mergeCell ref="G102:N102"/>
    <mergeCell ref="G156:I156"/>
  </mergeCells>
  <pageMargins left="0.7" right="0.7" top="0.75" bottom="0.75" header="0.3" footer="0.3"/>
</worksheet>
</file>

<file path=xl/worksheets/sheet28.xml><?xml version="1.0" encoding="utf-8"?>
<worksheet xmlns="http://schemas.openxmlformats.org/spreadsheetml/2006/main">
  <sheetPr codeName="Sheet28">
    <tabColor rgb="FF002060"/>
    <outlinePr summaryBelow="1" summaryRight="1"/>
    <pageSetUpPr/>
  </sheetPr>
  <dimension ref="A1:N150"/>
  <sheetViews>
    <sheetView showGridLines="0" zoomScaleNormal="100" workbookViewId="0">
      <selection activeCell="K113" sqref="K113"/>
    </sheetView>
  </sheetViews>
  <sheetFormatPr baseColWidth="8" defaultRowHeight="14.4"/>
  <cols>
    <col width="18.88671875" customWidth="1" style="1262" min="1" max="1"/>
    <col width="11.5546875" customWidth="1" style="1262" min="2" max="12"/>
    <col width="6.5546875" bestFit="1" customWidth="1" style="1262" min="13" max="13"/>
    <col width="70.21875" customWidth="1" style="1262" min="14" max="14"/>
    <col width="8.88671875" customWidth="1" style="1262" min="15" max="16384"/>
  </cols>
  <sheetData>
    <row r="1" ht="25.8" customHeight="1">
      <c r="A1" s="1133" t="inlineStr">
        <is>
          <t>COMPARABLE VALUATION</t>
        </is>
      </c>
    </row>
    <row r="2">
      <c r="A2" s="1136" t="inlineStr">
        <is>
          <t>Industry Financial Model  |  Indian Steel Industry  |  Horizon FY2027E-FY2033E  |  Base year FY2026A</t>
        </is>
      </c>
    </row>
    <row r="3">
      <c r="A3" s="1167" t="n"/>
    </row>
    <row r="4">
      <c r="A4" s="1145" t="inlineStr">
        <is>
          <t>OBJECTIVE</t>
        </is>
      </c>
    </row>
    <row r="5">
      <c r="A5" s="1134" t="inlineStr">
        <is>
          <t>Estimate the fair value of the Indian steel industry using trading multiples and compare it with historical valuation ranges.</t>
        </is>
      </c>
    </row>
    <row r="6">
      <c r="A6" s="1134" t="n"/>
      <c r="B6" s="1134" t="n"/>
      <c r="C6" s="1134" t="n"/>
      <c r="D6" s="1134" t="n"/>
      <c r="E6" s="1134" t="n"/>
      <c r="F6" s="1134" t="n"/>
      <c r="G6" s="1134" t="n"/>
      <c r="H6" s="1134" t="n"/>
      <c r="I6" s="1134" t="n"/>
      <c r="J6" s="1134" t="n"/>
      <c r="K6" s="1134" t="n"/>
      <c r="L6" s="1134" t="n"/>
      <c r="M6" s="1134" t="n"/>
      <c r="N6" s="1134" t="n"/>
    </row>
    <row r="7" ht="15.6" customHeight="1">
      <c r="A7" s="1243" t="inlineStr">
        <is>
          <t>Executive Summary</t>
        </is>
      </c>
      <c r="B7" s="1339" t="n"/>
      <c r="C7" s="1339" t="n"/>
      <c r="D7" s="1339" t="n"/>
      <c r="E7" s="1339" t="n"/>
      <c r="F7" s="1137" t="n"/>
      <c r="G7" s="1137" t="n"/>
      <c r="H7" s="1137" t="n"/>
      <c r="I7" s="1137" t="n"/>
      <c r="J7" s="1134" t="n"/>
      <c r="K7" s="1134" t="n"/>
      <c r="L7" s="1134" t="n"/>
      <c r="M7" s="1134" t="n"/>
      <c r="N7" s="1134" t="n"/>
    </row>
    <row r="8">
      <c r="A8" s="1193" t="inlineStr">
        <is>
          <t>Metric</t>
        </is>
      </c>
      <c r="B8" s="1193" t="inlineStr">
        <is>
          <t>Base</t>
        </is>
      </c>
      <c r="C8" s="1193" t="inlineStr">
        <is>
          <t>Bull</t>
        </is>
      </c>
      <c r="D8" s="1193" t="inlineStr">
        <is>
          <t>Bear</t>
        </is>
      </c>
      <c r="E8" s="1193" t="inlineStr">
        <is>
          <t>Stress</t>
        </is>
      </c>
      <c r="F8" s="341" t="n"/>
      <c r="G8" s="341" t="n"/>
      <c r="H8" s="341" t="n"/>
      <c r="I8" s="341" t="n"/>
      <c r="J8" s="1134" t="n"/>
      <c r="K8" s="1134" t="n"/>
      <c r="L8" s="1134" t="n"/>
      <c r="M8" s="1134" t="n"/>
      <c r="N8" s="1134" t="n"/>
    </row>
    <row r="9" ht="15.6" customHeight="1">
      <c r="A9" s="1199" t="inlineStr">
        <is>
          <t>Enterprise Value (₹ Cr)</t>
        </is>
      </c>
      <c r="B9" s="1287" t="n"/>
      <c r="C9" s="1287" t="n"/>
      <c r="D9" s="1287" t="n"/>
      <c r="E9" s="1287" t="n"/>
      <c r="F9" s="177" t="n"/>
      <c r="G9" s="177" t="n"/>
      <c r="H9" s="177" t="n"/>
      <c r="I9" s="177" t="n"/>
      <c r="J9" s="1134" t="n"/>
      <c r="K9" s="1134" t="n"/>
      <c r="L9" s="1134" t="n"/>
      <c r="M9" s="1134" t="n"/>
      <c r="N9" s="1134" t="n"/>
    </row>
    <row r="10">
      <c r="A10" s="1199" t="inlineStr">
        <is>
          <t>Equity Value (₹ Cr)</t>
        </is>
      </c>
      <c r="B10" s="1287" t="n"/>
      <c r="C10" s="1287" t="n"/>
      <c r="D10" s="1287" t="n"/>
      <c r="E10" s="1287" t="n"/>
      <c r="F10" s="177" t="n"/>
      <c r="G10" s="177" t="n"/>
      <c r="H10" s="177" t="n"/>
      <c r="I10" s="177" t="n"/>
      <c r="J10" s="1134" t="n"/>
      <c r="K10" s="1134" t="n"/>
      <c r="L10" s="1134" t="n"/>
      <c r="M10" s="1134" t="n"/>
      <c r="N10" s="1134" t="n"/>
    </row>
    <row r="11">
      <c r="A11" s="1199" t="inlineStr">
        <is>
          <t>EV/EBITDA</t>
        </is>
      </c>
      <c r="B11" s="1287" t="n"/>
      <c r="C11" s="1287" t="n"/>
      <c r="D11" s="1287" t="n"/>
      <c r="E11" s="1287" t="n"/>
      <c r="F11" s="177" t="n"/>
      <c r="G11" s="177" t="n"/>
      <c r="H11" s="177" t="n"/>
      <c r="I11" s="177" t="n"/>
      <c r="J11" s="1134" t="n"/>
      <c r="K11" s="1134" t="n"/>
      <c r="L11" s="1134" t="n"/>
      <c r="M11" s="1134" t="n"/>
      <c r="N11" s="1134" t="n"/>
    </row>
    <row r="12">
      <c r="A12" s="1199" t="inlineStr">
        <is>
          <t>EV/Sales</t>
        </is>
      </c>
      <c r="B12" s="1287" t="n"/>
      <c r="C12" s="1287" t="n"/>
      <c r="D12" s="1287" t="n"/>
      <c r="E12" s="1287" t="n"/>
      <c r="F12" s="177" t="n"/>
      <c r="G12" s="177" t="n"/>
      <c r="H12" s="177" t="n"/>
      <c r="I12" s="177" t="n"/>
      <c r="J12" s="1134" t="n"/>
      <c r="K12" s="1134" t="n"/>
      <c r="L12" s="1134" t="n"/>
      <c r="M12" s="1134" t="n"/>
      <c r="N12" s="1134" t="n"/>
    </row>
    <row r="13">
      <c r="A13" s="1199" t="inlineStr">
        <is>
          <t>P/E</t>
        </is>
      </c>
      <c r="B13" s="1287" t="n"/>
      <c r="C13" s="1287" t="n"/>
      <c r="D13" s="1287" t="n"/>
      <c r="E13" s="1287" t="n"/>
      <c r="F13" s="177" t="n"/>
      <c r="G13" s="177" t="n"/>
      <c r="H13" s="177" t="n"/>
      <c r="I13" s="177" t="n"/>
      <c r="J13" s="1134" t="n"/>
      <c r="K13" s="1134" t="n"/>
      <c r="L13" s="1134" t="n"/>
      <c r="M13" s="1134" t="n"/>
      <c r="N13" s="1134" t="n"/>
    </row>
    <row r="14">
      <c r="A14" s="1199" t="inlineStr">
        <is>
          <t>P/B</t>
        </is>
      </c>
      <c r="B14" s="1287" t="n"/>
      <c r="C14" s="1287" t="n"/>
      <c r="D14" s="1287" t="n"/>
      <c r="E14" s="1287" t="n"/>
      <c r="J14" s="1134" t="n"/>
      <c r="K14" s="1134" t="n"/>
      <c r="L14" s="1134" t="n"/>
      <c r="M14" s="1134" t="n"/>
      <c r="N14" s="1134" t="n"/>
    </row>
    <row r="15">
      <c r="A15" s="1199" t="inlineStr">
        <is>
          <t>Recommendation</t>
        </is>
      </c>
      <c r="B15" s="1287" t="n"/>
      <c r="C15" s="1287" t="n"/>
      <c r="D15" s="1287" t="n"/>
      <c r="E15" s="1287" t="n"/>
      <c r="F15" s="1134" t="n"/>
      <c r="G15" s="1134" t="n"/>
      <c r="H15" s="1134" t="n"/>
      <c r="I15" s="1134" t="n"/>
      <c r="J15" s="1134" t="n"/>
      <c r="K15" s="1134" t="n"/>
      <c r="L15" s="1134" t="n"/>
      <c r="M15" s="1134" t="n"/>
      <c r="N15" s="1134" t="n"/>
    </row>
    <row r="16">
      <c r="A16" s="1134" t="n"/>
      <c r="B16" s="1134" t="n"/>
      <c r="C16" s="1134" t="n"/>
      <c r="D16" s="1134" t="n"/>
      <c r="E16" s="1134" t="n"/>
      <c r="F16" s="1134" t="n"/>
      <c r="G16" s="1134" t="n"/>
      <c r="H16" s="1134" t="n"/>
      <c r="I16" s="1134" t="n"/>
      <c r="J16" s="1134" t="n"/>
      <c r="K16" s="1134" t="n"/>
      <c r="L16" s="1134" t="n"/>
      <c r="M16" s="1134" t="n"/>
      <c r="N16" s="1134" t="n"/>
    </row>
    <row r="17">
      <c r="A17" s="1134" t="n"/>
      <c r="B17" s="1134" t="n"/>
      <c r="C17" s="1134" t="n"/>
      <c r="D17" s="1134" t="n"/>
      <c r="E17" s="1134" t="n"/>
      <c r="F17" s="1134" t="n"/>
      <c r="G17" s="1134" t="n"/>
      <c r="H17" s="1134" t="n"/>
      <c r="I17" s="1134" t="n"/>
      <c r="J17" s="1134" t="n"/>
      <c r="K17" s="1134" t="n"/>
      <c r="L17" s="1134" t="n"/>
      <c r="M17" s="1134" t="n"/>
      <c r="N17" s="1134" t="n"/>
    </row>
    <row r="18" ht="15.6" customHeight="1">
      <c r="A18" s="1243" t="inlineStr">
        <is>
          <t>Peer Universe</t>
        </is>
      </c>
      <c r="B18" s="1339" t="n"/>
      <c r="C18" s="1339" t="n"/>
      <c r="D18" s="1339" t="n"/>
      <c r="E18" s="1339" t="n"/>
      <c r="F18" s="1339" t="n"/>
      <c r="G18" s="1339" t="n"/>
      <c r="H18" s="1339" t="n"/>
      <c r="I18" s="1137" t="n"/>
      <c r="J18" s="1134" t="n"/>
      <c r="K18" s="1134" t="n"/>
      <c r="L18" s="1134" t="n"/>
      <c r="M18" s="1134" t="n"/>
      <c r="N18" s="1134" t="n"/>
    </row>
    <row r="19">
      <c r="A19" s="1193" t="inlineStr">
        <is>
          <t>Company</t>
        </is>
      </c>
      <c r="B19" s="1193" t="inlineStr">
        <is>
          <t>Market Cap</t>
        </is>
      </c>
      <c r="C19" s="1193" t="inlineStr">
        <is>
          <t>EV</t>
        </is>
      </c>
      <c r="D19" s="1193" t="inlineStr">
        <is>
          <t>Revenue</t>
        </is>
      </c>
      <c r="E19" s="1193" t="inlineStr">
        <is>
          <t>EBITDA</t>
        </is>
      </c>
      <c r="F19" s="1193" t="inlineStr">
        <is>
          <t>Net Income</t>
        </is>
      </c>
      <c r="G19" s="1193" t="inlineStr">
        <is>
          <t>Book Value</t>
        </is>
      </c>
      <c r="H19" s="1193" t="inlineStr">
        <is>
          <t>Net Debt</t>
        </is>
      </c>
      <c r="I19" s="1134" t="n"/>
      <c r="J19" s="1134" t="n"/>
      <c r="K19" s="1134" t="n"/>
      <c r="L19" s="1134" t="n"/>
      <c r="M19" s="1134" t="n"/>
      <c r="N19" s="1134" t="n"/>
    </row>
    <row r="20">
      <c r="A20" s="1199" t="inlineStr">
        <is>
          <t>Tata Steel</t>
        </is>
      </c>
      <c r="B20" s="1287" t="n"/>
      <c r="C20" s="1287" t="n"/>
      <c r="D20" s="1287" t="n"/>
      <c r="E20" s="1287" t="n"/>
      <c r="F20" s="1287" t="n"/>
      <c r="G20" s="1287" t="n"/>
      <c r="H20" s="1287" t="n"/>
      <c r="I20" s="1134" t="n"/>
      <c r="J20" s="1134" t="n"/>
      <c r="K20" s="1134" t="n"/>
      <c r="L20" s="1134" t="n"/>
      <c r="M20" s="1134" t="n"/>
      <c r="N20" s="1134" t="n"/>
    </row>
    <row r="21">
      <c r="A21" s="1199" t="inlineStr">
        <is>
          <t>JSW Steel</t>
        </is>
      </c>
      <c r="B21" s="1287" t="n"/>
      <c r="C21" s="1287" t="n"/>
      <c r="D21" s="1287" t="n"/>
      <c r="E21" s="1287" t="n"/>
      <c r="F21" s="1287" t="n"/>
      <c r="G21" s="1287" t="n"/>
      <c r="H21" s="1287" t="n"/>
      <c r="I21" s="1134" t="n"/>
      <c r="J21" s="1134" t="n"/>
      <c r="K21" s="1134" t="n"/>
      <c r="L21" s="1134" t="n"/>
      <c r="M21" s="1134" t="n"/>
      <c r="N21" s="1134" t="n"/>
    </row>
    <row r="22">
      <c r="A22" s="1199" t="inlineStr">
        <is>
          <t>Jindal Steel</t>
        </is>
      </c>
      <c r="B22" s="1287" t="n"/>
      <c r="C22" s="1287" t="n"/>
      <c r="D22" s="1287" t="n"/>
      <c r="E22" s="1287" t="n"/>
      <c r="F22" s="1287" t="n"/>
      <c r="G22" s="1287" t="n"/>
      <c r="H22" s="1287" t="n"/>
      <c r="I22" s="1134" t="n"/>
      <c r="J22" s="1134" t="n"/>
      <c r="K22" s="1134" t="n"/>
      <c r="L22" s="1134" t="n"/>
      <c r="M22" s="1134" t="n"/>
      <c r="N22" s="1134" t="n"/>
    </row>
    <row r="23">
      <c r="A23" s="1199" t="inlineStr">
        <is>
          <t>SAIL</t>
        </is>
      </c>
      <c r="B23" s="1287" t="n"/>
      <c r="C23" s="1287" t="n"/>
      <c r="D23" s="1287" t="n"/>
      <c r="E23" s="1287" t="n"/>
      <c r="F23" s="1287" t="n"/>
      <c r="G23" s="1287" t="n"/>
      <c r="H23" s="1287" t="n"/>
      <c r="I23" s="1134" t="n"/>
      <c r="J23" s="1134" t="n"/>
      <c r="K23" s="1134" t="n"/>
      <c r="L23" s="1134" t="n"/>
      <c r="M23" s="1134" t="n"/>
      <c r="N23" s="1134" t="n"/>
    </row>
    <row r="24">
      <c r="A24" s="1199" t="inlineStr">
        <is>
          <t>Jindal Stainless</t>
        </is>
      </c>
      <c r="B24" s="1287" t="n"/>
      <c r="C24" s="1287" t="n"/>
      <c r="D24" s="1287" t="n"/>
      <c r="E24" s="1287" t="n"/>
      <c r="F24" s="1287" t="n"/>
      <c r="G24" s="1287" t="n"/>
      <c r="H24" s="1287" t="n"/>
      <c r="I24" s="1134" t="n"/>
      <c r="J24" s="1134" t="n"/>
      <c r="K24" s="1134" t="n"/>
      <c r="L24" s="1134" t="n"/>
      <c r="M24" s="1134" t="n"/>
      <c r="N24" s="1134" t="n"/>
    </row>
    <row r="25">
      <c r="A25" s="1199" t="inlineStr">
        <is>
          <t>AMNS India*</t>
        </is>
      </c>
      <c r="B25" s="1287" t="n"/>
      <c r="C25" s="1287" t="n"/>
      <c r="D25" s="1287" t="n"/>
      <c r="E25" s="1287" t="n"/>
      <c r="F25" s="1287" t="n"/>
      <c r="G25" s="1287" t="n"/>
      <c r="H25" s="1287" t="n"/>
      <c r="I25" s="1134" t="n"/>
      <c r="J25" s="1134" t="n"/>
      <c r="K25" s="1134" t="n"/>
      <c r="L25" s="1134" t="n"/>
      <c r="M25" s="1134" t="n"/>
      <c r="N25" s="1134" t="n"/>
    </row>
    <row r="26">
      <c r="A26" s="345" t="inlineStr">
        <is>
          <t>RINL</t>
        </is>
      </c>
      <c r="B26" s="1287" t="n"/>
      <c r="C26" s="1287" t="n"/>
      <c r="D26" s="1287" t="n"/>
      <c r="E26" s="1287" t="n"/>
      <c r="F26" s="1287" t="n"/>
      <c r="G26" s="1287" t="n"/>
      <c r="H26" s="1287" t="n"/>
      <c r="I26" s="1134" t="n"/>
      <c r="J26" s="1134" t="n"/>
      <c r="K26" s="1134" t="n"/>
      <c r="L26" s="1134" t="n"/>
      <c r="M26" s="1134" t="n"/>
      <c r="N26" s="1134" t="n"/>
    </row>
    <row r="27">
      <c r="A27" s="345" t="inlineStr">
        <is>
          <t>SMEK</t>
        </is>
      </c>
      <c r="B27" s="1287" t="n"/>
      <c r="C27" s="1287" t="n"/>
      <c r="D27" s="1287" t="n"/>
      <c r="E27" s="1287" t="n"/>
      <c r="F27" s="1287" t="n"/>
      <c r="G27" s="1287" t="n"/>
      <c r="H27" s="1287" t="n"/>
      <c r="I27" s="1134" t="n"/>
      <c r="J27" s="1134" t="n"/>
      <c r="K27" s="1134" t="n"/>
      <c r="L27" s="1134" t="n"/>
      <c r="M27" s="1134" t="n"/>
      <c r="N27" s="1134" t="n"/>
    </row>
    <row r="28">
      <c r="A28" s="345" t="inlineStr">
        <is>
          <t>GPIL</t>
        </is>
      </c>
      <c r="B28" s="1287" t="n"/>
      <c r="C28" s="1287" t="n"/>
      <c r="D28" s="1287" t="n"/>
      <c r="E28" s="1287" t="n"/>
      <c r="F28" s="1287" t="n"/>
      <c r="G28" s="1287" t="n"/>
      <c r="H28" s="1287" t="n"/>
      <c r="I28" s="1134" t="n"/>
      <c r="J28" s="1134" t="n"/>
      <c r="K28" s="1134" t="n"/>
      <c r="L28" s="1134" t="n"/>
      <c r="M28" s="1134" t="n"/>
      <c r="N28" s="1134" t="n"/>
    </row>
    <row r="29">
      <c r="A29" s="345" t="inlineStr">
        <is>
          <t>APL Apollo</t>
        </is>
      </c>
      <c r="B29" s="1287" t="n"/>
      <c r="C29" s="1287" t="n"/>
      <c r="D29" s="1287" t="n"/>
      <c r="E29" s="1287" t="n"/>
      <c r="F29" s="1287" t="n"/>
      <c r="G29" s="1287" t="n"/>
      <c r="H29" s="1287" t="n"/>
      <c r="I29" s="1134" t="n"/>
      <c r="J29" s="1134" t="n"/>
      <c r="K29" s="1134" t="n"/>
      <c r="L29" s="1134" t="n"/>
      <c r="M29" s="1134" t="n"/>
      <c r="N29" s="1134" t="n"/>
    </row>
    <row r="30">
      <c r="A30" s="345" t="inlineStr">
        <is>
          <t>Mukand Limited</t>
        </is>
      </c>
      <c r="B30" s="1287" t="n"/>
      <c r="C30" s="1287" t="n"/>
      <c r="D30" s="1287" t="n"/>
      <c r="E30" s="1287" t="n"/>
      <c r="F30" s="1287" t="n"/>
      <c r="G30" s="1287" t="n"/>
      <c r="H30" s="1287" t="n"/>
      <c r="I30" s="1134" t="n"/>
      <c r="J30" s="1134" t="n"/>
      <c r="K30" s="1134" t="n"/>
      <c r="L30" s="1134" t="n"/>
      <c r="M30" s="1134" t="n"/>
      <c r="N30" s="1134" t="n"/>
    </row>
    <row r="31">
      <c r="A31" s="345" t="inlineStr">
        <is>
          <t>Gallantt Ispat Limited</t>
        </is>
      </c>
      <c r="B31" s="334" t="n"/>
      <c r="C31" s="334" t="n"/>
      <c r="D31" s="334" t="n"/>
      <c r="E31" s="334" t="n"/>
      <c r="F31" s="334" t="n"/>
      <c r="G31" s="334" t="n"/>
      <c r="H31" s="334" t="n"/>
      <c r="I31" s="1134" t="n"/>
      <c r="J31" s="1134" t="n"/>
      <c r="K31" s="1134" t="n"/>
      <c r="L31" s="1134" t="n"/>
      <c r="M31" s="1134" t="n"/>
      <c r="N31" s="1134" t="n"/>
    </row>
    <row r="32">
      <c r="A32" s="345" t="inlineStr">
        <is>
          <t>UGSL</t>
        </is>
      </c>
      <c r="B32" s="334" t="n"/>
      <c r="C32" s="334" t="n"/>
      <c r="D32" s="334" t="n"/>
      <c r="E32" s="334" t="n"/>
      <c r="F32" s="334" t="n"/>
      <c r="G32" s="334" t="n"/>
      <c r="H32" s="334" t="n"/>
      <c r="I32" s="1134" t="n"/>
      <c r="J32" s="1134" t="n"/>
      <c r="K32" s="1134" t="n"/>
      <c r="L32" s="1134" t="n"/>
      <c r="M32" s="1134" t="n"/>
      <c r="N32" s="1134" t="n"/>
    </row>
    <row r="33">
      <c r="A33" s="345" t="inlineStr">
        <is>
          <t>KFIL</t>
        </is>
      </c>
      <c r="B33" s="334" t="n"/>
      <c r="C33" s="334" t="n"/>
      <c r="D33" s="334" t="n"/>
      <c r="E33" s="334" t="n"/>
      <c r="F33" s="334" t="n"/>
      <c r="G33" s="334" t="n"/>
      <c r="H33" s="334" t="n"/>
      <c r="I33" s="1134" t="n"/>
      <c r="J33" s="1134" t="n"/>
      <c r="K33" s="1134" t="n"/>
      <c r="L33" s="1134" t="n"/>
      <c r="M33" s="1134" t="n"/>
      <c r="N33" s="1134" t="n"/>
    </row>
    <row r="34">
      <c r="A34" s="345" t="inlineStr">
        <is>
          <t>ESL Steel Ltd</t>
        </is>
      </c>
      <c r="B34" s="334" t="n"/>
      <c r="C34" s="334" t="n"/>
      <c r="D34" s="334" t="n"/>
      <c r="E34" s="334" t="n"/>
      <c r="F34" s="334" t="n"/>
      <c r="G34" s="334" t="n"/>
      <c r="H34" s="334" t="n"/>
      <c r="I34" s="1134" t="n"/>
      <c r="J34" s="1134" t="n"/>
      <c r="K34" s="1134" t="n"/>
      <c r="L34" s="1134" t="n"/>
      <c r="M34" s="1134" t="n"/>
      <c r="N34" s="1134" t="n"/>
    </row>
    <row r="35">
      <c r="A35" s="1134" t="n"/>
      <c r="B35" s="1134" t="n"/>
      <c r="C35" s="1134" t="n"/>
      <c r="D35" s="1134" t="n"/>
      <c r="E35" s="1134" t="n"/>
      <c r="F35" s="1134" t="n"/>
      <c r="G35" s="1134" t="n"/>
      <c r="H35" s="1134" t="n"/>
      <c r="I35" s="1134" t="n"/>
      <c r="J35" s="1134" t="n"/>
      <c r="K35" s="1134" t="n"/>
      <c r="L35" s="1134" t="n"/>
      <c r="M35" s="1134" t="n"/>
      <c r="N35" s="1134" t="n"/>
    </row>
    <row r="36">
      <c r="A36" s="1134" t="n"/>
      <c r="B36" s="1134" t="n"/>
      <c r="C36" s="1134" t="n"/>
      <c r="D36" s="1134" t="n"/>
      <c r="E36" s="1134" t="n"/>
      <c r="F36" s="1134" t="n"/>
      <c r="G36" s="1134" t="n"/>
      <c r="H36" s="1134" t="n"/>
      <c r="I36" s="1134" t="n"/>
      <c r="J36" s="1134" t="n"/>
      <c r="K36" s="1134" t="n"/>
      <c r="L36" s="1134" t="n"/>
      <c r="M36" s="1134" t="n"/>
      <c r="N36" s="1134" t="n"/>
    </row>
    <row r="37" ht="15.6" customHeight="1">
      <c r="A37" s="1243" t="inlineStr">
        <is>
          <t>Trading Multiples</t>
        </is>
      </c>
      <c r="B37" s="1339" t="n"/>
      <c r="C37" s="1339" t="n"/>
      <c r="D37" s="1339" t="n"/>
      <c r="E37" s="1339" t="n"/>
      <c r="F37" s="1339" t="n"/>
      <c r="G37" s="1339" t="n"/>
      <c r="H37" s="1137" t="n"/>
      <c r="I37" s="1134" t="n"/>
      <c r="J37" s="1134" t="n"/>
      <c r="K37" s="1134" t="n"/>
      <c r="L37" s="1134" t="n"/>
      <c r="M37" s="1134" t="n"/>
      <c r="N37" s="1134" t="n"/>
    </row>
    <row r="38" ht="28.8" customHeight="1">
      <c r="A38" s="1193" t="inlineStr">
        <is>
          <t>Company</t>
        </is>
      </c>
      <c r="B38" s="1193" t="inlineStr">
        <is>
          <t>EV/EBITDA</t>
        </is>
      </c>
      <c r="C38" s="1193" t="inlineStr">
        <is>
          <t>EV/Sales</t>
        </is>
      </c>
      <c r="D38" s="1193" t="inlineStr">
        <is>
          <t>P/E</t>
        </is>
      </c>
      <c r="E38" s="1193" t="inlineStr">
        <is>
          <t>P/B</t>
        </is>
      </c>
      <c r="F38" s="1193" t="inlineStr">
        <is>
          <t>EV/Tonne Capacity</t>
        </is>
      </c>
      <c r="G38" s="1193" t="inlineStr">
        <is>
          <t>EV/Tonne Production</t>
        </is>
      </c>
      <c r="H38" s="1134" t="n"/>
      <c r="I38" s="1134" t="n"/>
      <c r="J38" s="1134" t="n"/>
      <c r="K38" s="1134" t="n"/>
      <c r="L38" s="1134" t="n"/>
      <c r="M38" s="1134" t="n"/>
      <c r="N38" s="1134" t="n"/>
    </row>
    <row r="39">
      <c r="A39" s="1199" t="inlineStr">
        <is>
          <t>Tata Steel</t>
        </is>
      </c>
      <c r="B39" s="1287" t="n"/>
      <c r="C39" s="1287" t="n"/>
      <c r="D39" s="1287" t="n"/>
      <c r="E39" s="1287" t="n"/>
      <c r="F39" s="1287" t="n"/>
      <c r="G39" s="1287" t="n"/>
      <c r="H39" s="1134" t="n"/>
      <c r="I39" s="1134" t="n"/>
      <c r="J39" s="1134" t="n"/>
      <c r="K39" s="1134" t="n"/>
      <c r="L39" s="1134" t="n"/>
      <c r="M39" s="1134" t="n"/>
      <c r="N39" s="1134" t="n"/>
    </row>
    <row r="40">
      <c r="A40" s="1199" t="inlineStr">
        <is>
          <t>JSW Steel</t>
        </is>
      </c>
      <c r="B40" s="1287" t="n"/>
      <c r="C40" s="1287" t="n"/>
      <c r="D40" s="1287" t="n"/>
      <c r="E40" s="1287" t="n"/>
      <c r="F40" s="1287" t="n"/>
      <c r="G40" s="1287" t="n"/>
      <c r="H40" s="1134" t="n"/>
      <c r="I40" s="1134" t="n"/>
      <c r="J40" s="1134" t="n"/>
      <c r="K40" s="1134" t="n"/>
      <c r="L40" s="1134" t="n"/>
      <c r="M40" s="1134" t="n"/>
      <c r="N40" s="1134" t="n"/>
    </row>
    <row r="41">
      <c r="A41" s="1199" t="inlineStr">
        <is>
          <t>Jindal Steel</t>
        </is>
      </c>
      <c r="B41" s="1287" t="n"/>
      <c r="C41" s="1287" t="n"/>
      <c r="D41" s="1287" t="n"/>
      <c r="E41" s="1287" t="n"/>
      <c r="F41" s="1287" t="n"/>
      <c r="G41" s="1287" t="n"/>
      <c r="H41" s="1134" t="n"/>
      <c r="I41" s="1134" t="n"/>
      <c r="J41" s="1134" t="n"/>
      <c r="K41" s="1134" t="n"/>
      <c r="L41" s="1134" t="n"/>
      <c r="M41" s="1134" t="n"/>
      <c r="N41" s="1134" t="n"/>
    </row>
    <row r="42">
      <c r="A42" s="1199" t="inlineStr">
        <is>
          <t>SAIL</t>
        </is>
      </c>
      <c r="B42" s="1287" t="n"/>
      <c r="C42" s="1287" t="n"/>
      <c r="D42" s="1287" t="n"/>
      <c r="E42" s="1287" t="n"/>
      <c r="F42" s="1287" t="n"/>
      <c r="G42" s="1287" t="n"/>
      <c r="H42" s="1134" t="n"/>
      <c r="I42" s="1134" t="n"/>
      <c r="J42" s="1134" t="n"/>
      <c r="K42" s="1134" t="n"/>
      <c r="L42" s="1134" t="n"/>
      <c r="M42" s="1134" t="n"/>
      <c r="N42" s="1134" t="n"/>
    </row>
    <row r="43">
      <c r="A43" s="1199" t="inlineStr">
        <is>
          <t>Jindal Stainless</t>
        </is>
      </c>
      <c r="B43" s="1287" t="n"/>
      <c r="C43" s="1287" t="n"/>
      <c r="D43" s="1287" t="n"/>
      <c r="E43" s="1287" t="n"/>
      <c r="F43" s="1287" t="n"/>
      <c r="G43" s="1287" t="n"/>
      <c r="H43" s="1134" t="n"/>
      <c r="I43" s="1134" t="n"/>
      <c r="J43" s="1134" t="n"/>
      <c r="K43" s="1134" t="n"/>
      <c r="L43" s="1134" t="n"/>
      <c r="M43" s="1134" t="n"/>
      <c r="N43" s="1134" t="n"/>
    </row>
    <row r="44">
      <c r="A44" s="1199" t="inlineStr">
        <is>
          <t>AMNS India*</t>
        </is>
      </c>
      <c r="B44" s="334" t="n"/>
      <c r="C44" s="334" t="n"/>
      <c r="D44" s="334" t="n"/>
      <c r="E44" s="334" t="n"/>
      <c r="F44" s="334" t="n"/>
      <c r="G44" s="334" t="n"/>
      <c r="H44" s="1134" t="n"/>
      <c r="I44" s="1134" t="n"/>
      <c r="J44" s="1134" t="n"/>
      <c r="K44" s="1134" t="n"/>
      <c r="L44" s="1134" t="n"/>
      <c r="M44" s="1134" t="n"/>
      <c r="N44" s="1134" t="n"/>
    </row>
    <row r="45">
      <c r="A45" s="345" t="inlineStr">
        <is>
          <t>RINL</t>
        </is>
      </c>
      <c r="B45" s="334" t="n"/>
      <c r="C45" s="334" t="n"/>
      <c r="D45" s="334" t="n"/>
      <c r="E45" s="334" t="n"/>
      <c r="F45" s="334" t="n"/>
      <c r="G45" s="334" t="n"/>
      <c r="H45" s="1134" t="n"/>
      <c r="I45" s="1134" t="n"/>
      <c r="J45" s="1134" t="n"/>
      <c r="K45" s="1134" t="n"/>
      <c r="L45" s="1134" t="n"/>
      <c r="M45" s="1134" t="n"/>
      <c r="N45" s="1134" t="n"/>
    </row>
    <row r="46">
      <c r="A46" s="345" t="inlineStr">
        <is>
          <t>SMEK</t>
        </is>
      </c>
      <c r="B46" s="334" t="n"/>
      <c r="C46" s="334" t="n"/>
      <c r="D46" s="334" t="n"/>
      <c r="E46" s="334" t="n"/>
      <c r="F46" s="334" t="n"/>
      <c r="G46" s="334" t="n"/>
      <c r="H46" s="1134" t="n"/>
      <c r="I46" s="1134" t="n"/>
      <c r="J46" s="1134" t="n"/>
      <c r="K46" s="1134" t="n"/>
      <c r="L46" s="1134" t="n"/>
      <c r="M46" s="1134" t="n"/>
      <c r="N46" s="1134" t="n"/>
    </row>
    <row r="47">
      <c r="A47" s="345" t="inlineStr">
        <is>
          <t>GPIL</t>
        </is>
      </c>
      <c r="B47" s="334" t="n"/>
      <c r="C47" s="334" t="n"/>
      <c r="D47" s="334" t="n"/>
      <c r="E47" s="334" t="n"/>
      <c r="F47" s="334" t="n"/>
      <c r="G47" s="334" t="n"/>
      <c r="H47" s="1134" t="n"/>
      <c r="I47" s="1134" t="n"/>
      <c r="J47" s="1134" t="n"/>
      <c r="K47" s="1134" t="n"/>
      <c r="L47" s="1134" t="n"/>
      <c r="M47" s="1134" t="n"/>
      <c r="N47" s="1134" t="n"/>
    </row>
    <row r="48">
      <c r="A48" s="345" t="inlineStr">
        <is>
          <t>APL Apollo</t>
        </is>
      </c>
      <c r="B48" s="334" t="n"/>
      <c r="C48" s="334" t="n"/>
      <c r="D48" s="334" t="n"/>
      <c r="E48" s="334" t="n"/>
      <c r="F48" s="334" t="n"/>
      <c r="G48" s="334" t="n"/>
      <c r="H48" s="1134" t="n"/>
      <c r="I48" s="1134" t="n"/>
      <c r="J48" s="1134" t="n"/>
      <c r="K48" s="1134" t="n"/>
      <c r="L48" s="1134" t="n"/>
      <c r="M48" s="1134" t="n"/>
      <c r="N48" s="1134" t="n"/>
    </row>
    <row r="49">
      <c r="A49" s="345" t="inlineStr">
        <is>
          <t>Mukand Limited</t>
        </is>
      </c>
      <c r="B49" s="334" t="n"/>
      <c r="C49" s="334" t="n"/>
      <c r="D49" s="334" t="n"/>
      <c r="E49" s="334" t="n"/>
      <c r="F49" s="334" t="n"/>
      <c r="G49" s="334" t="n"/>
      <c r="H49" s="1134" t="n"/>
      <c r="I49" s="1134" t="n"/>
      <c r="J49" s="1134" t="n"/>
      <c r="K49" s="1134" t="n"/>
      <c r="L49" s="1134" t="n"/>
      <c r="M49" s="1134" t="n"/>
      <c r="N49" s="1134" t="n"/>
    </row>
    <row r="50">
      <c r="A50" s="345" t="inlineStr">
        <is>
          <t>Gallantt Ispat Limited</t>
        </is>
      </c>
      <c r="B50" s="334" t="n"/>
      <c r="C50" s="334" t="n"/>
      <c r="D50" s="334" t="n"/>
      <c r="E50" s="334" t="n"/>
      <c r="F50" s="334" t="n"/>
      <c r="G50" s="334" t="n"/>
      <c r="H50" s="1134" t="n"/>
      <c r="I50" s="1134" t="n"/>
      <c r="J50" s="1134" t="n"/>
      <c r="K50" s="1134" t="n"/>
      <c r="L50" s="1134" t="n"/>
      <c r="M50" s="1134" t="n"/>
      <c r="N50" s="1134" t="n"/>
    </row>
    <row r="51">
      <c r="A51" s="345" t="inlineStr">
        <is>
          <t>UGSL</t>
        </is>
      </c>
      <c r="B51" s="334" t="n"/>
      <c r="C51" s="334" t="n"/>
      <c r="D51" s="334" t="n"/>
      <c r="E51" s="334" t="n"/>
      <c r="F51" s="334" t="n"/>
      <c r="G51" s="334" t="n"/>
      <c r="H51" s="1134" t="n"/>
      <c r="I51" s="1134" t="n"/>
      <c r="J51" s="1134" t="n"/>
      <c r="K51" s="1134" t="n"/>
      <c r="L51" s="1134" t="n"/>
      <c r="M51" s="1134" t="n"/>
      <c r="N51" s="1134" t="n"/>
    </row>
    <row r="52">
      <c r="A52" s="345" t="inlineStr">
        <is>
          <t>KFIL</t>
        </is>
      </c>
      <c r="B52" s="334" t="n"/>
      <c r="C52" s="334" t="n"/>
      <c r="D52" s="334" t="n"/>
      <c r="E52" s="334" t="n"/>
      <c r="F52" s="334" t="n"/>
      <c r="G52" s="334" t="n"/>
      <c r="H52" s="1134" t="n"/>
      <c r="I52" s="1134" t="n"/>
      <c r="J52" s="1134" t="n"/>
      <c r="K52" s="1134" t="n"/>
      <c r="L52" s="1134" t="n"/>
      <c r="M52" s="1134" t="n"/>
      <c r="N52" s="1134" t="n"/>
    </row>
    <row r="53">
      <c r="A53" s="345" t="inlineStr">
        <is>
          <t>ESL Steel Ltd</t>
        </is>
      </c>
      <c r="B53" s="334" t="n"/>
      <c r="C53" s="334" t="n"/>
      <c r="D53" s="334" t="n"/>
      <c r="E53" s="334" t="n"/>
      <c r="F53" s="334" t="n"/>
      <c r="G53" s="334" t="n"/>
      <c r="H53" s="1134" t="n"/>
      <c r="I53" s="1134" t="n"/>
      <c r="J53" s="1134" t="n"/>
      <c r="K53" s="1134" t="n"/>
      <c r="L53" s="1134" t="n"/>
      <c r="M53" s="1134" t="n"/>
      <c r="N53" s="1134" t="n"/>
    </row>
    <row r="54">
      <c r="A54" s="334" t="inlineStr">
        <is>
          <t>Mean</t>
        </is>
      </c>
      <c r="B54" s="334" t="n"/>
      <c r="C54" s="334" t="n"/>
      <c r="D54" s="334" t="n"/>
      <c r="E54" s="334" t="n"/>
      <c r="F54" s="334" t="n"/>
      <c r="G54" s="334" t="n"/>
      <c r="H54" s="1134" t="n"/>
      <c r="I54" s="1134" t="n"/>
      <c r="J54" s="1134" t="n"/>
      <c r="K54" s="1134" t="n"/>
      <c r="L54" s="1134" t="n"/>
      <c r="M54" s="1134" t="n"/>
      <c r="N54" s="1134" t="n"/>
    </row>
    <row r="55">
      <c r="A55" s="334" t="inlineStr">
        <is>
          <t>Median</t>
        </is>
      </c>
      <c r="B55" s="334" t="n"/>
      <c r="C55" s="334" t="n"/>
      <c r="D55" s="334" t="n"/>
      <c r="E55" s="334" t="n"/>
      <c r="F55" s="334" t="n"/>
      <c r="G55" s="334" t="n"/>
      <c r="H55" s="1134" t="n"/>
      <c r="I55" s="1134" t="n"/>
      <c r="J55" s="1134" t="n"/>
      <c r="K55" s="1134" t="n"/>
      <c r="L55" s="1134" t="n"/>
      <c r="M55" s="1134" t="n"/>
      <c r="N55" s="1134" t="n"/>
    </row>
    <row r="56">
      <c r="A56" s="334" t="inlineStr">
        <is>
          <t>25th %le</t>
        </is>
      </c>
      <c r="B56" s="334" t="n"/>
      <c r="C56" s="334" t="n"/>
      <c r="D56" s="334" t="n"/>
      <c r="E56" s="334" t="n"/>
      <c r="F56" s="334" t="n"/>
      <c r="G56" s="334" t="n"/>
      <c r="H56" s="1134" t="n"/>
      <c r="I56" s="1134" t="n"/>
      <c r="J56" s="1134" t="n"/>
      <c r="K56" s="1134" t="n"/>
      <c r="L56" s="1134" t="n"/>
      <c r="M56" s="1134" t="n"/>
      <c r="N56" s="1134" t="n"/>
    </row>
    <row r="57">
      <c r="A57" s="334" t="inlineStr">
        <is>
          <t>75th %le</t>
        </is>
      </c>
      <c r="B57" s="334" t="n"/>
      <c r="C57" s="334" t="n"/>
      <c r="D57" s="334" t="n"/>
      <c r="E57" s="334" t="n"/>
      <c r="F57" s="334" t="n"/>
      <c r="G57" s="334" t="n"/>
      <c r="H57" s="1134" t="n"/>
      <c r="I57" s="1134" t="n"/>
      <c r="J57" s="1134" t="n"/>
      <c r="K57" s="1134" t="n"/>
      <c r="L57" s="1134" t="n"/>
      <c r="M57" s="1134" t="n"/>
      <c r="N57" s="1134" t="n"/>
    </row>
    <row r="58">
      <c r="A58" s="334" t="inlineStr">
        <is>
          <t>High</t>
        </is>
      </c>
      <c r="B58" s="334" t="n"/>
      <c r="C58" s="334" t="n"/>
      <c r="D58" s="334" t="n"/>
      <c r="E58" s="334" t="n"/>
      <c r="F58" s="334" t="n"/>
      <c r="G58" s="334" t="n"/>
      <c r="H58" s="1134" t="n"/>
      <c r="I58" s="1134" t="n"/>
      <c r="J58" s="1134" t="n"/>
      <c r="K58" s="1134" t="n"/>
      <c r="L58" s="1134" t="n"/>
      <c r="M58" s="1134" t="n"/>
      <c r="N58" s="1134" t="n"/>
    </row>
    <row r="59">
      <c r="A59" s="334" t="inlineStr">
        <is>
          <t>Low</t>
        </is>
      </c>
      <c r="B59" s="334" t="n"/>
      <c r="C59" s="334" t="n"/>
      <c r="D59" s="334" t="n"/>
      <c r="E59" s="334" t="n"/>
      <c r="F59" s="334" t="n"/>
      <c r="G59" s="334" t="n"/>
      <c r="H59" s="1134" t="n"/>
      <c r="I59" s="1134" t="n"/>
      <c r="J59" s="1134" t="n"/>
      <c r="K59" s="1134" t="n"/>
      <c r="L59" s="1134" t="n"/>
      <c r="M59" s="1134" t="n"/>
      <c r="N59" s="1134" t="n"/>
    </row>
    <row r="60">
      <c r="A60" s="1134" t="n"/>
      <c r="B60" s="1134" t="n"/>
      <c r="C60" s="1134" t="n"/>
      <c r="D60" s="1134" t="n"/>
      <c r="E60" s="1134" t="n"/>
      <c r="F60" s="1134" t="n"/>
      <c r="G60" s="1134" t="n"/>
      <c r="H60" s="1134" t="n"/>
      <c r="I60" s="1134" t="n"/>
      <c r="J60" s="1134" t="n"/>
      <c r="K60" s="1134" t="n"/>
      <c r="L60" s="1134" t="n"/>
      <c r="M60" s="1134" t="n"/>
      <c r="N60" s="1134" t="n"/>
    </row>
    <row r="61">
      <c r="A61" s="1134" t="n"/>
      <c r="B61" s="1134" t="n"/>
      <c r="C61" s="1134" t="n"/>
      <c r="D61" s="1134" t="n"/>
      <c r="E61" s="1134" t="n"/>
      <c r="F61" s="1134" t="n"/>
      <c r="G61" s="1134" t="n"/>
      <c r="H61" s="1134" t="n"/>
      <c r="I61" s="1134" t="n"/>
      <c r="J61" s="1134" t="n"/>
      <c r="K61" s="1134" t="n"/>
      <c r="L61" s="1134" t="n"/>
      <c r="M61" s="1134" t="n"/>
      <c r="N61" s="1134" t="n"/>
    </row>
    <row r="62" ht="15.6" customHeight="1">
      <c r="A62" s="1243" t="inlineStr">
        <is>
          <t>Historical Multiples</t>
        </is>
      </c>
      <c r="B62" s="1339" t="n"/>
      <c r="C62" s="1339" t="n"/>
      <c r="D62" s="1339" t="n"/>
      <c r="E62" s="1339" t="n"/>
      <c r="F62" s="1137" t="n"/>
      <c r="G62" s="1137" t="n"/>
      <c r="H62" s="1134" t="n"/>
      <c r="I62" s="1134" t="n"/>
      <c r="J62" s="1134" t="n"/>
      <c r="K62" s="1134" t="n"/>
      <c r="L62" s="1134" t="n"/>
      <c r="M62" s="1134" t="n"/>
      <c r="N62" s="1134" t="n"/>
    </row>
    <row r="63">
      <c r="A63" s="1193" t="inlineStr">
        <is>
          <t>Year</t>
        </is>
      </c>
      <c r="B63" s="1193" t="inlineStr">
        <is>
          <t>EV/EBITDA</t>
        </is>
      </c>
      <c r="C63" s="1193" t="inlineStr">
        <is>
          <t>EV/Sales</t>
        </is>
      </c>
      <c r="D63" s="1193" t="inlineStr">
        <is>
          <t>P/E</t>
        </is>
      </c>
      <c r="E63" s="1193" t="inlineStr">
        <is>
          <t>P/B</t>
        </is>
      </c>
      <c r="F63" s="1134" t="n"/>
      <c r="G63" s="1134" t="n"/>
      <c r="H63" s="1134" t="n"/>
      <c r="I63" s="1134" t="n"/>
      <c r="J63" s="1134" t="n"/>
      <c r="K63" s="1134" t="n"/>
      <c r="L63" s="1134" t="n"/>
      <c r="M63" s="1134" t="n"/>
      <c r="N63" s="1134" t="n"/>
    </row>
    <row r="64">
      <c r="A64" s="1199" t="inlineStr">
        <is>
          <t>FY21</t>
        </is>
      </c>
      <c r="B64" s="1287" t="n"/>
      <c r="C64" s="1287" t="n"/>
      <c r="D64" s="1287" t="n"/>
      <c r="E64" s="1287" t="n"/>
      <c r="F64" s="1134" t="n"/>
      <c r="G64" s="1134" t="n"/>
      <c r="H64" s="1134" t="n"/>
      <c r="I64" s="1134" t="n"/>
      <c r="J64" s="1134" t="n"/>
      <c r="K64" s="1134" t="n"/>
      <c r="L64" s="1134" t="n"/>
      <c r="M64" s="1134" t="n"/>
      <c r="N64" s="1134" t="n"/>
    </row>
    <row r="65">
      <c r="A65" s="1199" t="inlineStr">
        <is>
          <t>FY22</t>
        </is>
      </c>
      <c r="B65" s="1287" t="n"/>
      <c r="C65" s="1287" t="n"/>
      <c r="D65" s="1287" t="n"/>
      <c r="E65" s="1287" t="n"/>
      <c r="F65" s="1134" t="n"/>
      <c r="G65" s="1134" t="n"/>
      <c r="H65" s="1134" t="n"/>
      <c r="I65" s="1134" t="n"/>
      <c r="J65" s="1134" t="n"/>
      <c r="K65" s="1134" t="n"/>
      <c r="L65" s="1134" t="n"/>
      <c r="M65" s="1134" t="n"/>
      <c r="N65" s="1134" t="n"/>
    </row>
    <row r="66">
      <c r="A66" s="1199" t="inlineStr">
        <is>
          <t>FY23</t>
        </is>
      </c>
      <c r="B66" s="1287" t="n"/>
      <c r="C66" s="1287" t="n"/>
      <c r="D66" s="1287" t="n"/>
      <c r="E66" s="1287" t="n"/>
      <c r="F66" s="1134" t="n"/>
      <c r="G66" s="1134" t="n"/>
      <c r="H66" s="1134" t="n"/>
      <c r="I66" s="1134" t="n"/>
      <c r="J66" s="1134" t="n"/>
      <c r="K66" s="1134" t="n"/>
      <c r="L66" s="1134" t="n"/>
      <c r="M66" s="1134" t="n"/>
      <c r="N66" s="1134" t="n"/>
    </row>
    <row r="67">
      <c r="A67" s="1199" t="inlineStr">
        <is>
          <t>FY24</t>
        </is>
      </c>
      <c r="B67" s="1287" t="n"/>
      <c r="C67" s="1287" t="n"/>
      <c r="D67" s="1287" t="n"/>
      <c r="E67" s="1287" t="n"/>
      <c r="F67" s="1134" t="n"/>
      <c r="G67" s="1134" t="n"/>
      <c r="H67" s="1134" t="n"/>
      <c r="I67" s="1134" t="n"/>
      <c r="J67" s="1134" t="n"/>
      <c r="K67" s="1134" t="n"/>
      <c r="L67" s="1134" t="n"/>
      <c r="M67" s="1134" t="n"/>
      <c r="N67" s="1134" t="n"/>
    </row>
    <row r="68">
      <c r="A68" s="1199" t="inlineStr">
        <is>
          <t>FY25</t>
        </is>
      </c>
      <c r="B68" s="1287" t="n"/>
      <c r="C68" s="1287" t="n"/>
      <c r="D68" s="1287" t="n"/>
      <c r="E68" s="1287" t="n"/>
      <c r="F68" s="1134" t="n"/>
      <c r="G68" s="1134" t="n"/>
      <c r="H68" s="1134" t="n"/>
      <c r="I68" s="1134" t="n"/>
      <c r="J68" s="1134" t="n"/>
      <c r="K68" s="1134" t="n"/>
      <c r="L68" s="1134" t="n"/>
      <c r="M68" s="1134" t="n"/>
      <c r="N68" s="1134" t="n"/>
    </row>
    <row r="69">
      <c r="A69" s="1199" t="inlineStr">
        <is>
          <t>FY26</t>
        </is>
      </c>
      <c r="B69" s="1287" t="n"/>
      <c r="C69" s="1287" t="n"/>
      <c r="D69" s="1287" t="n"/>
      <c r="E69" s="1287" t="n"/>
      <c r="F69" s="1134" t="n"/>
      <c r="G69" s="1134" t="n"/>
      <c r="H69" s="1134" t="n"/>
      <c r="I69" s="1134" t="n"/>
      <c r="J69" s="1134" t="n"/>
      <c r="K69" s="1134" t="n"/>
      <c r="L69" s="1134" t="n"/>
      <c r="M69" s="1134" t="n"/>
      <c r="N69" s="1134" t="n"/>
    </row>
    <row r="70">
      <c r="A70" s="1134" t="n"/>
      <c r="B70" s="1134" t="n"/>
      <c r="C70" s="1134" t="n"/>
      <c r="D70" s="1134" t="n"/>
      <c r="E70" s="1134" t="n"/>
      <c r="F70" s="1134" t="n"/>
      <c r="G70" s="1134" t="n"/>
      <c r="H70" s="1134" t="n"/>
      <c r="I70" s="1134" t="n"/>
      <c r="J70" s="1134" t="n"/>
      <c r="K70" s="1134" t="n"/>
      <c r="L70" s="1134" t="n"/>
      <c r="M70" s="1134" t="n"/>
      <c r="N70" s="1134" t="n"/>
    </row>
    <row r="71">
      <c r="A71" s="1134" t="n"/>
      <c r="B71" s="1134" t="n"/>
      <c r="C71" s="1134" t="n"/>
      <c r="D71" s="1134" t="n"/>
      <c r="E71" s="1134" t="n"/>
      <c r="F71" s="1134" t="n"/>
      <c r="G71" s="1134" t="n"/>
      <c r="H71" s="1134" t="n"/>
      <c r="I71" s="1134" t="n"/>
      <c r="J71" s="1134" t="n"/>
      <c r="K71" s="1134" t="n"/>
      <c r="L71" s="1134" t="n"/>
      <c r="M71" s="1134" t="n"/>
      <c r="N71" s="1134" t="n"/>
    </row>
    <row r="72" ht="15.6" customHeight="1">
      <c r="A72" s="1243" t="inlineStr">
        <is>
          <t>Valuation Bridge</t>
        </is>
      </c>
      <c r="B72" s="1339" t="n"/>
      <c r="C72" s="1339" t="n"/>
      <c r="D72" s="1339" t="n"/>
      <c r="E72" s="1134" t="n"/>
      <c r="F72" s="1134" t="n"/>
      <c r="G72" s="1134" t="n"/>
      <c r="H72" s="1134" t="n"/>
      <c r="I72" s="1134" t="n"/>
      <c r="J72" s="1134" t="n"/>
      <c r="K72" s="1134" t="n"/>
      <c r="L72" s="1134" t="n"/>
      <c r="M72" s="1134" t="n"/>
      <c r="N72" s="1134" t="n"/>
    </row>
    <row r="73">
      <c r="A73" s="1193" t="inlineStr">
        <is>
          <t>Method</t>
        </is>
      </c>
      <c r="B73" s="1193" t="inlineStr">
        <is>
          <t>Multiple</t>
        </is>
      </c>
      <c r="C73" s="1193" t="inlineStr">
        <is>
          <t>Metric</t>
        </is>
      </c>
      <c r="D73" s="1193" t="inlineStr">
        <is>
          <t>EV</t>
        </is>
      </c>
      <c r="E73" s="1134" t="n"/>
      <c r="F73" s="1134" t="n"/>
      <c r="G73" s="1134" t="n"/>
      <c r="H73" s="1134" t="n"/>
      <c r="I73" s="1134" t="n"/>
      <c r="J73" s="1134" t="n"/>
      <c r="K73" s="1134" t="n"/>
      <c r="L73" s="1134" t="n"/>
      <c r="M73" s="1134" t="n"/>
      <c r="N73" s="1134" t="n"/>
    </row>
    <row r="74">
      <c r="A74" s="1199" t="inlineStr">
        <is>
          <t>EV/EBITDA</t>
        </is>
      </c>
      <c r="B74" s="1287" t="n"/>
      <c r="C74" s="1287" t="n"/>
      <c r="D74" s="1287" t="n"/>
      <c r="E74" s="1134" t="n"/>
      <c r="F74" s="1134" t="n"/>
      <c r="G74" s="1134" t="n"/>
      <c r="H74" s="1134" t="n"/>
      <c r="I74" s="1134" t="n"/>
      <c r="J74" s="1134" t="n"/>
      <c r="K74" s="1134" t="n"/>
      <c r="L74" s="1134" t="n"/>
      <c r="M74" s="1134" t="n"/>
      <c r="N74" s="1134" t="n"/>
    </row>
    <row r="75">
      <c r="A75" s="1199" t="inlineStr">
        <is>
          <t>EV/Sales</t>
        </is>
      </c>
      <c r="B75" s="1287" t="n"/>
      <c r="C75" s="1287" t="n"/>
      <c r="D75" s="1287" t="n"/>
      <c r="E75" s="1134" t="n"/>
      <c r="F75" s="1134" t="n"/>
      <c r="G75" s="1134" t="n"/>
      <c r="H75" s="1134" t="n"/>
      <c r="I75" s="1134" t="n"/>
      <c r="J75" s="1134" t="n"/>
      <c r="K75" s="1134" t="n"/>
      <c r="L75" s="1134" t="n"/>
      <c r="M75" s="1134" t="n"/>
      <c r="N75" s="1134" t="n"/>
    </row>
    <row r="76">
      <c r="A76" s="1199" t="inlineStr">
        <is>
          <t>P/E</t>
        </is>
      </c>
      <c r="B76" s="1287" t="n"/>
      <c r="C76" s="1287" t="n"/>
      <c r="D76" s="1287" t="n"/>
      <c r="E76" s="1134" t="n"/>
      <c r="F76" s="1134" t="n"/>
      <c r="G76" s="1134" t="n"/>
      <c r="H76" s="1134" t="n"/>
      <c r="I76" s="1134" t="n"/>
      <c r="J76" s="1134" t="n"/>
      <c r="K76" s="1134" t="n"/>
      <c r="L76" s="1134" t="n"/>
      <c r="M76" s="1134" t="n"/>
      <c r="N76" s="1134" t="n"/>
    </row>
    <row r="77">
      <c r="A77" s="1199" t="inlineStr">
        <is>
          <t>P/B</t>
        </is>
      </c>
      <c r="B77" s="1287" t="n"/>
      <c r="C77" s="1287" t="n"/>
      <c r="D77" s="1287" t="n"/>
      <c r="E77" s="1134" t="n"/>
      <c r="F77" s="1134" t="n"/>
      <c r="G77" s="1134" t="n"/>
      <c r="H77" s="1134" t="n"/>
      <c r="I77" s="1134" t="n"/>
      <c r="J77" s="1134" t="n"/>
      <c r="K77" s="1134" t="n"/>
      <c r="L77" s="1134" t="n"/>
      <c r="M77" s="1134" t="n"/>
      <c r="N77" s="1134" t="n"/>
    </row>
    <row r="78">
      <c r="A78" s="1199" t="inlineStr">
        <is>
          <t>EV/Capacity</t>
        </is>
      </c>
      <c r="B78" s="1287" t="n"/>
      <c r="C78" s="1287" t="n"/>
      <c r="D78" s="1287" t="n"/>
      <c r="E78" s="1134" t="n"/>
      <c r="F78" s="1134" t="n"/>
      <c r="G78" s="1134" t="n"/>
      <c r="H78" s="1134" t="n"/>
      <c r="I78" s="1134" t="n"/>
      <c r="J78" s="1134" t="n"/>
      <c r="K78" s="1134" t="n"/>
      <c r="L78" s="1134" t="n"/>
      <c r="M78" s="1134" t="n"/>
      <c r="N78" s="1134" t="n"/>
    </row>
    <row r="79">
      <c r="A79" s="1199" t="inlineStr">
        <is>
          <t>EV/Production</t>
        </is>
      </c>
      <c r="B79" s="1287" t="n"/>
      <c r="C79" s="1287" t="n"/>
      <c r="D79" s="1287" t="n"/>
      <c r="E79" s="1134" t="n"/>
      <c r="F79" s="1134" t="n"/>
      <c r="G79" s="1134" t="n"/>
      <c r="H79" s="1134" t="n"/>
      <c r="I79" s="1134" t="n"/>
      <c r="J79" s="1134" t="n"/>
      <c r="K79" s="1134" t="n"/>
      <c r="L79" s="1134" t="n"/>
      <c r="M79" s="1134" t="n"/>
      <c r="N79" s="1134" t="n"/>
    </row>
    <row r="80">
      <c r="A80" s="1134" t="n"/>
      <c r="B80" s="1134" t="n"/>
      <c r="C80" s="1134" t="n"/>
      <c r="D80" s="1134" t="n"/>
      <c r="E80" s="1134" t="n"/>
      <c r="F80" s="1134" t="n"/>
      <c r="G80" s="1134" t="n"/>
      <c r="H80" s="1134" t="n"/>
      <c r="I80" s="1134" t="n"/>
      <c r="J80" s="1134" t="n"/>
      <c r="K80" s="1134" t="n"/>
      <c r="L80" s="1134" t="n"/>
      <c r="M80" s="1134" t="n"/>
      <c r="N80" s="1134" t="n"/>
    </row>
    <row r="81">
      <c r="A81" s="1134" t="n"/>
      <c r="B81" s="1134" t="n"/>
      <c r="C81" s="1134" t="n"/>
      <c r="D81" s="1134" t="n"/>
      <c r="E81" s="1134" t="n"/>
      <c r="F81" s="1134" t="n"/>
      <c r="G81" s="1134" t="n"/>
      <c r="H81" s="1134" t="n"/>
      <c r="I81" s="1134" t="n"/>
      <c r="J81" s="1134" t="n"/>
      <c r="K81" s="1134" t="n"/>
      <c r="L81" s="1134" t="n"/>
      <c r="M81" s="1134" t="n"/>
      <c r="N81" s="1134" t="n"/>
    </row>
    <row r="82" ht="15.6" customHeight="1">
      <c r="A82" s="1243" t="inlineStr">
        <is>
          <t>Implied Enterprise Valuation</t>
        </is>
      </c>
      <c r="B82" s="1339" t="n"/>
      <c r="C82" s="1339" t="n"/>
      <c r="D82" s="1339" t="n"/>
      <c r="E82" s="1134" t="n"/>
      <c r="F82" s="1134" t="n"/>
      <c r="G82" s="1134" t="n"/>
      <c r="H82" s="1134" t="n"/>
      <c r="I82" s="1134" t="n"/>
      <c r="J82" s="1134" t="n"/>
      <c r="K82" s="1134" t="n"/>
      <c r="L82" s="1134" t="n"/>
      <c r="M82" s="1134" t="n"/>
      <c r="N82" s="1134" t="n"/>
    </row>
    <row r="83">
      <c r="A83" s="1193" t="inlineStr">
        <is>
          <t>Method</t>
        </is>
      </c>
      <c r="B83" s="1193" t="inlineStr">
        <is>
          <t>Method</t>
        </is>
      </c>
      <c r="C83" s="1193" t="inlineStr">
        <is>
          <t>Method</t>
        </is>
      </c>
      <c r="D83" s="1193" t="inlineStr">
        <is>
          <t>Method</t>
        </is>
      </c>
      <c r="E83" s="1134" t="n"/>
      <c r="F83" s="1134" t="n"/>
      <c r="G83" s="1134" t="n"/>
      <c r="H83" s="1134" t="n"/>
      <c r="I83" s="1134" t="n"/>
      <c r="J83" s="1134" t="n"/>
      <c r="K83" s="1134" t="n"/>
      <c r="L83" s="1134" t="n"/>
      <c r="M83" s="1134" t="n"/>
      <c r="N83" s="1134" t="n"/>
    </row>
    <row r="84">
      <c r="A84" s="1199" t="inlineStr">
        <is>
          <t>EV/EBITDA</t>
        </is>
      </c>
      <c r="B84" s="1287" t="n"/>
      <c r="C84" s="1287" t="n"/>
      <c r="D84" s="1287" t="n"/>
      <c r="E84" s="1134" t="n"/>
      <c r="F84" s="1134" t="n"/>
      <c r="G84" s="1134" t="n"/>
      <c r="H84" s="1134" t="n"/>
      <c r="I84" s="1134" t="n"/>
      <c r="J84" s="1134" t="n"/>
      <c r="K84" s="1134" t="n"/>
      <c r="L84" s="1134" t="n"/>
      <c r="M84" s="1134" t="n"/>
      <c r="N84" s="1134" t="n"/>
    </row>
    <row r="85">
      <c r="A85" s="1199" t="inlineStr">
        <is>
          <t>EV/Sales</t>
        </is>
      </c>
      <c r="B85" s="1287" t="n"/>
      <c r="C85" s="1287" t="n"/>
      <c r="D85" s="1287" t="n"/>
      <c r="E85" s="1134" t="n"/>
      <c r="F85" s="1134" t="n"/>
      <c r="G85" s="1134" t="n"/>
      <c r="H85" s="1134" t="n"/>
      <c r="I85" s="1134" t="n"/>
      <c r="J85" s="1134" t="n"/>
      <c r="K85" s="1134" t="n"/>
      <c r="L85" s="1134" t="n"/>
      <c r="M85" s="1134" t="n"/>
      <c r="N85" s="1134" t="n"/>
    </row>
    <row r="86">
      <c r="A86" s="1199" t="inlineStr">
        <is>
          <t>P/E</t>
        </is>
      </c>
      <c r="B86" s="1287" t="n"/>
      <c r="C86" s="1287" t="n"/>
      <c r="D86" s="1287" t="n"/>
      <c r="E86" s="1134" t="n"/>
      <c r="F86" s="1134" t="n"/>
      <c r="G86" s="1134" t="n"/>
      <c r="H86" s="1134" t="n"/>
      <c r="I86" s="1134" t="n"/>
      <c r="J86" s="1134" t="n"/>
      <c r="K86" s="1134" t="n"/>
      <c r="L86" s="1134" t="n"/>
      <c r="M86" s="1134" t="n"/>
      <c r="N86" s="1134" t="n"/>
    </row>
    <row r="87">
      <c r="A87" s="1199" t="inlineStr">
        <is>
          <t>P/B</t>
        </is>
      </c>
      <c r="B87" s="1287" t="n"/>
      <c r="C87" s="1287" t="n"/>
      <c r="D87" s="1287" t="n"/>
      <c r="E87" s="1134" t="n"/>
      <c r="F87" s="1134" t="n"/>
      <c r="G87" s="1134" t="n"/>
      <c r="H87" s="1134" t="n"/>
      <c r="I87" s="1134" t="n"/>
      <c r="J87" s="1134" t="n"/>
      <c r="K87" s="1134" t="n"/>
      <c r="L87" s="1134" t="n"/>
      <c r="M87" s="1134" t="n"/>
      <c r="N87" s="1134" t="n"/>
    </row>
    <row r="88">
      <c r="A88" s="1199" t="inlineStr">
        <is>
          <t>EV/Capacity</t>
        </is>
      </c>
      <c r="B88" s="1287" t="n"/>
      <c r="C88" s="1287" t="n"/>
      <c r="D88" s="1287" t="n"/>
      <c r="E88" s="1134" t="n"/>
      <c r="F88" s="1134" t="n"/>
      <c r="G88" s="1134" t="n"/>
      <c r="H88" s="1134" t="n"/>
      <c r="I88" s="1134" t="n"/>
      <c r="J88" s="1134" t="n"/>
      <c r="K88" s="1134" t="n"/>
      <c r="L88" s="1134" t="n"/>
      <c r="M88" s="1134" t="n"/>
      <c r="N88" s="1134" t="n"/>
    </row>
    <row r="89">
      <c r="A89" s="1199" t="inlineStr">
        <is>
          <t>Average</t>
        </is>
      </c>
      <c r="B89" s="1287" t="n"/>
      <c r="C89" s="1287" t="n"/>
      <c r="D89" s="1287" t="n"/>
      <c r="E89" s="1134" t="n"/>
      <c r="F89" s="1134" t="n"/>
      <c r="G89" s="1134" t="n"/>
      <c r="H89" s="1134" t="n"/>
      <c r="I89" s="1134" t="n"/>
      <c r="J89" s="1134" t="n"/>
      <c r="K89" s="1134" t="n"/>
      <c r="L89" s="1134" t="n"/>
      <c r="M89" s="1134" t="n"/>
      <c r="N89" s="1134" t="n"/>
    </row>
    <row r="90">
      <c r="A90" s="1134" t="n"/>
      <c r="B90" s="1134" t="n"/>
      <c r="C90" s="1134" t="n"/>
      <c r="D90" s="1134" t="n"/>
      <c r="E90" s="1134" t="n"/>
      <c r="F90" s="1134" t="n"/>
      <c r="G90" s="1134" t="n"/>
      <c r="H90" s="1134" t="n"/>
      <c r="I90" s="1134" t="n"/>
      <c r="J90" s="1134" t="n"/>
      <c r="K90" s="1134" t="n"/>
      <c r="L90" s="1134" t="n"/>
      <c r="M90" s="1134" t="n"/>
      <c r="N90" s="1134" t="n"/>
    </row>
    <row r="91">
      <c r="A91" s="1134" t="n"/>
      <c r="B91" s="1134" t="n"/>
      <c r="C91" s="1134" t="n"/>
      <c r="D91" s="1134" t="n"/>
      <c r="E91" s="1134" t="n"/>
      <c r="F91" s="1134" t="n"/>
      <c r="G91" s="1134" t="n"/>
      <c r="H91" s="1134" t="n"/>
      <c r="I91" s="1134" t="n"/>
      <c r="J91" s="1134" t="n"/>
      <c r="K91" s="1134" t="n"/>
      <c r="L91" s="1134" t="n"/>
      <c r="M91" s="1134" t="n"/>
      <c r="N91" s="1134" t="n"/>
    </row>
    <row r="92" ht="15.6" customHeight="1">
      <c r="A92" s="1243" t="inlineStr">
        <is>
          <t>Scenario Valuation</t>
        </is>
      </c>
      <c r="B92" s="1339" t="n"/>
      <c r="C92" s="1339" t="n"/>
      <c r="D92" s="1137" t="n"/>
      <c r="E92" s="1134" t="n"/>
      <c r="F92" s="1134" t="n"/>
      <c r="G92" s="1134" t="n"/>
      <c r="H92" s="1134" t="n"/>
      <c r="I92" s="1134" t="n"/>
      <c r="J92" s="1134" t="n"/>
      <c r="K92" s="1134" t="n"/>
      <c r="L92" s="1134" t="n"/>
      <c r="M92" s="1134" t="n"/>
      <c r="N92" s="1134" t="n"/>
    </row>
    <row r="93">
      <c r="A93" s="1193" t="inlineStr">
        <is>
          <t>Scenario</t>
        </is>
      </c>
      <c r="B93" s="1193" t="inlineStr">
        <is>
          <t>EV/EBITDA</t>
        </is>
      </c>
      <c r="C93" s="1193" t="inlineStr">
        <is>
          <t>EV</t>
        </is>
      </c>
      <c r="D93" s="1134" t="n"/>
      <c r="E93" s="1134" t="n"/>
      <c r="F93" s="1134" t="n"/>
      <c r="G93" s="1134" t="n"/>
      <c r="H93" s="1134" t="n"/>
      <c r="I93" s="1134" t="n"/>
      <c r="J93" s="1134" t="n"/>
      <c r="K93" s="1134" t="n"/>
      <c r="L93" s="1134" t="n"/>
      <c r="M93" s="1134" t="n"/>
      <c r="N93" s="1134" t="n"/>
    </row>
    <row r="94">
      <c r="A94" s="1199" t="inlineStr">
        <is>
          <t>Base</t>
        </is>
      </c>
      <c r="B94" s="1287" t="n"/>
      <c r="C94" s="1287" t="n"/>
      <c r="D94" s="1134" t="n"/>
      <c r="E94" s="1134" t="n"/>
      <c r="F94" s="1134" t="n"/>
      <c r="G94" s="1134" t="n"/>
      <c r="H94" s="1134" t="n"/>
      <c r="I94" s="1134" t="n"/>
      <c r="J94" s="1134" t="n"/>
      <c r="K94" s="1134" t="n"/>
      <c r="L94" s="1134" t="n"/>
      <c r="M94" s="1134" t="n"/>
      <c r="N94" s="1134" t="n"/>
    </row>
    <row r="95">
      <c r="A95" s="1199" t="inlineStr">
        <is>
          <t>Bull</t>
        </is>
      </c>
      <c r="B95" s="1287" t="n"/>
      <c r="C95" s="1287" t="n"/>
      <c r="D95" s="1134" t="n"/>
      <c r="E95" s="1134" t="n"/>
      <c r="F95" s="1134" t="n"/>
      <c r="G95" s="1134" t="n"/>
      <c r="H95" s="1134" t="n"/>
      <c r="I95" s="1134" t="n"/>
      <c r="J95" s="1134" t="n"/>
      <c r="K95" s="1134" t="n"/>
      <c r="L95" s="1134" t="n"/>
      <c r="M95" s="1134" t="n"/>
      <c r="N95" s="1134" t="n"/>
    </row>
    <row r="96">
      <c r="A96" s="1199" t="inlineStr">
        <is>
          <t>Bear</t>
        </is>
      </c>
      <c r="B96" s="1287" t="n"/>
      <c r="C96" s="1287" t="n"/>
      <c r="D96" s="1134" t="n"/>
      <c r="E96" s="1134" t="n"/>
      <c r="F96" s="1134" t="n"/>
      <c r="G96" s="1134" t="n"/>
      <c r="H96" s="1134" t="n"/>
      <c r="I96" s="1134" t="n"/>
      <c r="J96" s="1134" t="n"/>
      <c r="K96" s="1134" t="n"/>
      <c r="L96" s="1134" t="n"/>
      <c r="M96" s="1134" t="n"/>
      <c r="N96" s="1134" t="n"/>
    </row>
    <row r="97">
      <c r="A97" s="1199" t="inlineStr">
        <is>
          <t>Stress</t>
        </is>
      </c>
      <c r="B97" s="1287" t="n"/>
      <c r="C97" s="1287" t="n"/>
      <c r="D97" s="1134" t="n"/>
      <c r="E97" s="1134" t="n"/>
      <c r="F97" s="1134" t="n"/>
      <c r="G97" s="1134" t="n"/>
      <c r="H97" s="1134" t="n"/>
      <c r="I97" s="1134" t="n"/>
      <c r="J97" s="1134" t="n"/>
      <c r="K97" s="1134" t="n"/>
      <c r="L97" s="1134" t="n"/>
      <c r="M97" s="1134" t="n"/>
      <c r="N97" s="1134" t="n"/>
    </row>
    <row r="98">
      <c r="A98" s="1134" t="n"/>
      <c r="B98" s="1134" t="n"/>
      <c r="C98" s="1134" t="n"/>
      <c r="D98" s="1134" t="n"/>
      <c r="E98" s="1134" t="n"/>
      <c r="F98" s="1134" t="n"/>
      <c r="G98" s="1134" t="n"/>
      <c r="H98" s="1134" t="n"/>
      <c r="I98" s="1134" t="n"/>
      <c r="J98" s="1134" t="n"/>
      <c r="K98" s="1134" t="n"/>
      <c r="L98" s="1134" t="n"/>
      <c r="M98" s="1134" t="n"/>
      <c r="N98" s="1134" t="n"/>
    </row>
    <row r="99">
      <c r="A99" s="1134" t="n"/>
      <c r="B99" s="1134" t="n"/>
      <c r="C99" s="1134" t="n"/>
      <c r="D99" s="1134" t="n"/>
      <c r="E99" s="1134" t="n"/>
      <c r="F99" s="1134" t="n"/>
      <c r="G99" s="1134" t="n"/>
      <c r="H99" s="1134" t="n"/>
      <c r="I99" s="1134" t="n"/>
      <c r="J99" s="1134" t="n"/>
      <c r="K99" s="1134" t="n"/>
      <c r="L99" s="1134" t="n"/>
      <c r="M99" s="1134" t="n"/>
      <c r="N99" s="1134" t="n"/>
    </row>
    <row r="100">
      <c r="A100" s="1134" t="n"/>
      <c r="B100" s="1134" t="n"/>
      <c r="C100" s="1134" t="n"/>
      <c r="D100" s="1134" t="n"/>
      <c r="E100" s="1134" t="n"/>
      <c r="F100" s="1134" t="n"/>
      <c r="G100" s="1134" t="n"/>
      <c r="H100" s="1134" t="n"/>
      <c r="I100" s="1134" t="n"/>
      <c r="J100" s="1134" t="n"/>
      <c r="K100" s="1134" t="n"/>
      <c r="L100" s="1134" t="n"/>
      <c r="M100" s="1134" t="n"/>
      <c r="N100" s="1134" t="n"/>
    </row>
    <row r="101">
      <c r="A101" s="1134" t="n"/>
      <c r="B101" s="1134" t="n"/>
      <c r="C101" s="1134" t="n"/>
      <c r="D101" s="1134" t="n"/>
      <c r="E101" s="1134" t="n"/>
      <c r="F101" s="1134" t="n"/>
      <c r="G101" s="1134" t="n"/>
      <c r="H101" s="1134" t="n"/>
      <c r="I101" s="1134" t="n"/>
      <c r="J101" s="1134" t="n"/>
      <c r="K101" s="1134" t="n"/>
      <c r="L101" s="1134" t="n"/>
      <c r="M101" s="1134" t="n"/>
      <c r="N101" s="1134" t="n"/>
    </row>
    <row r="102">
      <c r="A102" s="1134" t="n"/>
      <c r="B102" s="1134" t="n"/>
      <c r="C102" s="1134" t="n"/>
      <c r="D102" s="1134" t="n"/>
      <c r="E102" s="1134" t="n"/>
      <c r="F102" s="1134" t="n"/>
      <c r="G102" s="1134" t="n"/>
      <c r="H102" s="1134" t="n"/>
      <c r="I102" s="1134" t="n"/>
      <c r="J102" s="1134" t="n"/>
      <c r="K102" s="1134" t="n"/>
      <c r="L102" s="1134" t="n"/>
      <c r="M102" s="1134" t="n"/>
      <c r="N102" s="1134" t="n"/>
    </row>
    <row r="103">
      <c r="A103" s="1134" t="n"/>
      <c r="B103" s="1134" t="n"/>
      <c r="C103" s="1134" t="n"/>
      <c r="D103" s="1134" t="n"/>
      <c r="E103" s="1134" t="n"/>
      <c r="F103" s="1134" t="n"/>
      <c r="G103" s="1134" t="n"/>
      <c r="H103" s="1134" t="n"/>
      <c r="I103" s="1134" t="n"/>
      <c r="J103" s="1134" t="n"/>
      <c r="K103" s="1134" t="n"/>
      <c r="L103" s="1134" t="n"/>
      <c r="M103" s="1134" t="n"/>
      <c r="N103" s="1134" t="n"/>
    </row>
    <row r="104">
      <c r="A104" s="1134" t="n"/>
      <c r="B104" s="1134" t="n"/>
      <c r="C104" s="1134" t="n"/>
      <c r="D104" s="1134" t="n"/>
      <c r="E104" s="1134" t="n"/>
      <c r="F104" s="1134" t="n"/>
      <c r="G104" s="1134" t="n"/>
      <c r="H104" s="1134" t="n"/>
      <c r="I104" s="1134" t="n"/>
      <c r="J104" s="1134" t="n"/>
      <c r="K104" s="1134" t="n"/>
      <c r="L104" s="1134" t="n"/>
      <c r="M104" s="1134" t="n"/>
      <c r="N104" s="1134" t="n"/>
    </row>
    <row r="105">
      <c r="A105" s="1167" t="n"/>
    </row>
    <row r="106">
      <c r="A106" s="1166" t="inlineStr">
        <is>
          <t>A - TRADING COMPARABLES (enter share prices in the shaded column)</t>
        </is>
      </c>
    </row>
    <row r="107" ht="41.4" customHeight="1">
      <c r="A107" s="20" t="inlineStr">
        <is>
          <t>Company</t>
        </is>
      </c>
      <c r="B107" s="21" t="inlineStr">
        <is>
          <t>FY2026 EBITDA (Rs cr)</t>
        </is>
      </c>
      <c r="C107" s="21" t="inlineStr">
        <is>
          <t>Net debt (Rs cr)</t>
        </is>
      </c>
      <c r="D107" s="21" t="inlineStr">
        <is>
          <t>PAT (Rs cr)</t>
        </is>
      </c>
      <c r="E107" s="21" t="inlineStr">
        <is>
          <t>EPS (Rs)</t>
        </is>
      </c>
      <c r="F107" s="21" t="inlineStr">
        <is>
          <t>Shares (cr) - derived</t>
        </is>
      </c>
      <c r="G107" s="21" t="inlineStr">
        <is>
          <t>Share price (Rs) - USER INPUT</t>
        </is>
      </c>
      <c r="H107" s="21" t="inlineStr">
        <is>
          <t>Market cap (Rs cr)</t>
        </is>
      </c>
      <c r="I107" s="21" t="inlineStr">
        <is>
          <t>EV (Rs cr)</t>
        </is>
      </c>
      <c r="J107" s="21" t="inlineStr">
        <is>
          <t>EV/EBITDA (x)</t>
        </is>
      </c>
      <c r="K107" s="21" t="inlineStr">
        <is>
          <t>Capacity (Mtpa)</t>
        </is>
      </c>
      <c r="L107" s="21" t="inlineStr">
        <is>
          <t>EV per tonne (Rs/t)</t>
        </is>
      </c>
      <c r="M107" s="21" t="inlineStr">
        <is>
          <t>Conf.</t>
        </is>
      </c>
      <c r="N107" s="35" t="inlineStr">
        <is>
          <t>Notes</t>
        </is>
      </c>
    </row>
    <row r="108" ht="72" customHeight="1">
      <c r="A108" s="53" t="inlineStr">
        <is>
          <t>Tata Steel</t>
        </is>
      </c>
      <c r="B108" s="1785" t="n">
        <v>34272</v>
      </c>
      <c r="C108" s="1785" t="n">
        <v>80144</v>
      </c>
      <c r="D108" s="1785" t="n">
        <v>10886</v>
      </c>
      <c r="E108" s="1629" t="n">
        <v>8.65</v>
      </c>
      <c r="F108" s="1782">
        <f>D108/E108</f>
        <v/>
      </c>
      <c r="G108" s="1829" t="n">
        <v>190</v>
      </c>
      <c r="H108" s="1785">
        <f>IFERROR(F108*G108,"")</f>
        <v/>
      </c>
      <c r="I108" s="1785">
        <f>IFERROR(H108+C108,"")</f>
        <v/>
      </c>
      <c r="J108" s="1830">
        <f>IFERROR(I108/B108,"")</f>
        <v/>
      </c>
      <c r="K108" s="1629" t="n">
        <v>26</v>
      </c>
      <c r="L108" s="1785">
        <f>IFERROR(I108/K108*10000,"")</f>
        <v/>
      </c>
      <c r="M108" s="23" t="inlineStr">
        <is>
          <t>Medium</t>
        </is>
      </c>
      <c r="N108" s="40" t="inlineStr">
        <is>
          <t>India segment used for volume and margin. Netherlands carries a disclosed material uncertainty related to going concern (Master DB, policy P18) - the single largest identifiable downside in the universe and NOT captured in this industry model, which forecasts India only. Capacity basis: INDICATIVE - Tata Steel discloses 35 Mtpa GLOBAL group crude steel capacity. The India component is not separately disclosed in the database; 26 Mtpa is inferred from FY2026 India crude steel production of 23.43 Mt at roughly 90% utilisation and is flagged Low confidence.</t>
        </is>
      </c>
    </row>
    <row r="109" ht="84" customHeight="1">
      <c r="A109" s="53" t="inlineStr">
        <is>
          <t>JSW Steel</t>
        </is>
      </c>
      <c r="B109" s="1785" t="n">
        <v>29240</v>
      </c>
      <c r="C109" s="1785" t="n">
        <v>53870</v>
      </c>
      <c r="D109" s="1785" t="n">
        <v>25508</v>
      </c>
      <c r="E109" s="1629" t="n">
        <v>91.26000000000001</v>
      </c>
      <c r="F109" s="1782">
        <f>D109/E109</f>
        <v/>
      </c>
      <c r="G109" s="1829" t="n">
        <v>1280</v>
      </c>
      <c r="H109" s="1785">
        <f>IFERROR(F109*G109,"")</f>
        <v/>
      </c>
      <c r="I109" s="1785">
        <f>IFERROR(H109+C109,"")</f>
        <v/>
      </c>
      <c r="J109" s="1830">
        <f>IFERROR(I109/B109,"")</f>
        <v/>
      </c>
      <c r="K109" s="1629" t="n">
        <v>31.9</v>
      </c>
      <c r="L109" s="1785">
        <f>IFERROR(I109/K109*10000,"")</f>
        <v/>
      </c>
      <c r="M109" s="23" t="inlineStr">
        <is>
          <t>Medium</t>
        </is>
      </c>
      <c r="N109" s="40" t="inlineStr">
        <is>
          <t>FY2027 additions include BMM Ispat (0.90 Mtpa), an acquisition of existing capacity: it adds to JSW but NOT to national capacity. BPSL was deconsolidated from 27-Mar-2026, so FY2026 to FY2027 company volumes are not like-for-like. DERIVED SHARE COUNT IS UNRELIABLE for JSW: PAT of Rs 25,508 cr includes the Rs 18,051 cr BPSL slump-sale gain while EPS of Rs 91.26 is on profit attributable to owners, so PAT/EPS overstates the share count by roughly 15%. Overwrite column G with the actual count. Capacity basis: JSW Steel India existing capacity, disclosed. Cross-checked: FY2026 India production of 29.25 Mt at the stated 92% utilisation implies 31.8 Mtpa.</t>
        </is>
      </c>
    </row>
    <row r="110" ht="48" customHeight="1">
      <c r="A110" s="53" t="inlineStr">
        <is>
          <t>SAIL</t>
        </is>
      </c>
      <c r="B110" s="1785" t="n">
        <v>13146</v>
      </c>
      <c r="C110" s="1785" t="n">
        <v>31928</v>
      </c>
      <c r="D110" s="1785" t="n">
        <v>3373</v>
      </c>
      <c r="E110" s="1629" t="n">
        <v>8.17</v>
      </c>
      <c r="F110" s="1782">
        <f>D110/E110</f>
        <v/>
      </c>
      <c r="G110" s="1829" t="n">
        <v>165</v>
      </c>
      <c r="H110" s="1785">
        <f>IFERROR(F110*G110,"")</f>
        <v/>
      </c>
      <c r="I110" s="1785">
        <f>IFERROR(H110+C110,"")</f>
        <v/>
      </c>
      <c r="J110" s="1830">
        <f>IFERROR(I110/B110,"")</f>
        <v/>
      </c>
      <c r="K110" s="1629" t="n">
        <v>19.676</v>
      </c>
      <c r="L110" s="1785">
        <f>IFERROR(I110/K110*10000,"")</f>
        <v/>
      </c>
      <c r="M110" s="23" t="inlineStr">
        <is>
          <t>Medium</t>
        </is>
      </c>
      <c r="N110" s="40" t="inlineStr">
        <is>
          <t>EBITDA per tonne is struck on the STANDALONE EBITDA headline over standalone sales volume. Do not pair a consolidated enterprise value with this EBITDA - see Master DB Conflict C09. Capacity basis: SAIL crude steel operating capacity per Ministry of Steel, Rajya Sabha USQ 3982 answered 27-Mar-2026.</t>
        </is>
      </c>
    </row>
    <row r="111" ht="48" customHeight="1">
      <c r="A111" s="53" t="inlineStr">
        <is>
          <t>Jindal Steel</t>
        </is>
      </c>
      <c r="B111" s="1785" t="n">
        <v>9660</v>
      </c>
      <c r="C111" s="1785" t="n">
        <v>16019</v>
      </c>
      <c r="D111" s="1785" t="n">
        <v>3361</v>
      </c>
      <c r="E111" s="1629" t="n">
        <v>33.01</v>
      </c>
      <c r="F111" s="1782">
        <f>D111/E111</f>
        <v/>
      </c>
      <c r="G111" s="1829" t="n">
        <v>1105</v>
      </c>
      <c r="H111" s="1785">
        <f>IFERROR(F111*G111,"")</f>
        <v/>
      </c>
      <c r="I111" s="1785">
        <f>IFERROR(H111+C111,"")</f>
        <v/>
      </c>
      <c r="J111" s="1830">
        <f>IFERROR(I111/B111,"")</f>
        <v/>
      </c>
      <c r="K111" s="1629" t="n">
        <v>15.6</v>
      </c>
      <c r="L111" s="1785">
        <f>IFERROR(I111/K111*10000,"")</f>
        <v/>
      </c>
      <c r="M111" s="23" t="inlineStr">
        <is>
          <t>Medium</t>
        </is>
      </c>
      <c r="N111" s="40" t="inlineStr">
        <is>
          <t>Capacity rose from 9.6 to 15.6 Mtpa in FY2026, so FY2027 volume growth comes from utilising capacity already built rather than from new additions. Company guidance for FY2027 is 11.0-11.5 Mt of production against 9.25 Mt in FY2026. Capacity basis: Jindal Steel total steelmaking capacity entering FY2027, disclosed.</t>
        </is>
      </c>
    </row>
    <row r="112" ht="60" customHeight="1">
      <c r="A112" s="53" t="inlineStr">
        <is>
          <t>Jindal Stainless</t>
        </is>
      </c>
      <c r="B112" s="1785" t="n">
        <v>5560</v>
      </c>
      <c r="C112" s="1785" t="n">
        <v>3040</v>
      </c>
      <c r="D112" s="1785" t="n">
        <v>3185</v>
      </c>
      <c r="E112" s="1629" t="n">
        <v>38.74</v>
      </c>
      <c r="F112" s="1782">
        <f>D112/E112</f>
        <v/>
      </c>
      <c r="G112" s="1829" t="n">
        <v>734</v>
      </c>
      <c r="H112" s="1785">
        <f>IFERROR(F112*G112,"")</f>
        <v/>
      </c>
      <c r="I112" s="1785">
        <f>IFERROR(H112+C112,"")</f>
        <v/>
      </c>
      <c r="J112" s="1830">
        <f>IFERROR(I112/B112,"")</f>
        <v/>
      </c>
      <c r="K112" s="1629" t="n">
        <v>3</v>
      </c>
      <c r="L112" s="1785">
        <f>IFERROR(I112/K112*10000,"")</f>
        <v/>
      </c>
      <c r="M112" s="23" t="inlineStr">
        <is>
          <t>Medium</t>
        </is>
      </c>
      <c r="N112" s="40" t="inlineStr">
        <is>
          <t>STAINLESS. Realisation of roughly Rs 1,67,000/t and EBITDA per tonne of Rs 21,634 are not comparable with carbon steel and this company is EXCLUDED from the blended industry realisation anchor. Management guided FY2027 EBITDA per tonne to Rs 18,000-20,000, i.e. BELOW the FY2026 outcome. Capacity basis: Jindal Stainless INDIA melt capacity. Group melt capacity is 4.2 Mtpa including 1.2 Mtpa in Indonesia, which is excluded from the India build.</t>
        </is>
      </c>
    </row>
    <row r="113" ht="48" customHeight="1">
      <c r="A113" s="53" t="inlineStr">
        <is>
          <t>AM/NS India</t>
        </is>
      </c>
      <c r="B113" s="1785" t="n">
        <v>69</v>
      </c>
      <c r="C113" s="74" t="n"/>
      <c r="D113" s="74" t="n"/>
      <c r="E113" s="74" t="n"/>
      <c r="F113" s="74" t="n"/>
      <c r="G113" s="74" t="n"/>
      <c r="H113" s="74" t="n"/>
      <c r="I113" s="74" t="n"/>
      <c r="J113" s="74" t="n"/>
      <c r="K113" s="1629" t="n">
        <v>9</v>
      </c>
      <c r="L113" s="1785">
        <f>IFERROR(I113/K113*10000,"")</f>
        <v/>
      </c>
      <c r="M113" s="23" t="inlineStr">
        <is>
          <t>n/a</t>
        </is>
      </c>
      <c r="N113" s="40" t="inlineStr">
        <is>
          <t>Unlisted 60:40 joint venture. All figures are 100% basis, USD, calendar quarters, converted at the derived FY2026 average USD/INR of 88.4. The fiscal-year figures are themselves derived by summing calendar quarters - Master DB Conflict C16. Unlisted - no market-based valuation is possible. Capacity basis: AM/NS India Hazira capacity, expanding to 15 Mtpa.</t>
        </is>
      </c>
    </row>
    <row r="114" ht="48" customHeight="1">
      <c r="A114" s="54" t="inlineStr">
        <is>
          <t>RINL</t>
        </is>
      </c>
      <c r="B114" s="45" t="n"/>
      <c r="C114" s="45" t="n"/>
      <c r="D114" s="45" t="n"/>
      <c r="E114" s="45" t="n"/>
      <c r="F114" s="45" t="n"/>
      <c r="G114" s="45" t="n"/>
      <c r="H114" s="45" t="n"/>
      <c r="I114" s="45" t="n"/>
      <c r="J114" s="45" t="n"/>
      <c r="K114" s="45" t="n"/>
      <c r="L114" s="45" t="n"/>
      <c r="M114" s="22" t="inlineStr">
        <is>
          <t>n/a</t>
        </is>
      </c>
      <c r="N114" s="47" t="inlineStr">
        <is>
          <t>Unlisted and wholly Government-owned. No EBITDA, balance sheet or valuation data is publicly available, so RINL appears in the volume build only. Unlisted - no market-based valuation is possible. Capacity basis: Not verified - a 7.3 Mtpa liquid steel nameplate is widely cited but is not asserted in the database.</t>
        </is>
      </c>
    </row>
    <row r="115" ht="15" customHeight="1" thickBot="1"/>
    <row r="116" ht="24.6" customHeight="1" thickBot="1">
      <c r="A116" s="1329" t="inlineStr">
        <is>
          <t>Median EV/EBITDA (listed, once prices entered)</t>
        </is>
      </c>
      <c r="B116" s="1831" t="n"/>
      <c r="C116" s="1831" t="n"/>
      <c r="D116" s="1831" t="n"/>
      <c r="E116" s="156" t="n"/>
      <c r="F116" s="156" t="n"/>
      <c r="G116" s="156" t="n"/>
      <c r="H116" s="156" t="n"/>
      <c r="I116" s="156" t="n"/>
      <c r="J116" s="1832">
        <f>IFERROR(MEDIAN(J108:J114),"enter prices")</f>
        <v/>
      </c>
      <c r="K116" s="156" t="n"/>
      <c r="L116" s="156" t="n"/>
      <c r="M116" s="156" t="n"/>
      <c r="N116" s="157" t="inlineStr">
        <is>
          <t>Live. Compare against the exit multiple driver D19 of 6.0x, which is NOT sourced and should be re-based on this observed evidence once prices are entered.</t>
        </is>
      </c>
    </row>
    <row r="119">
      <c r="A119" s="1166" t="inlineStr">
        <is>
          <t>B - REPLACEMENT COST AND EV PER TONNE BENCHMARK</t>
        </is>
      </c>
    </row>
    <row r="120">
      <c r="A120" s="1304" t="inlineStr">
        <is>
          <t>Greenfield / brownfield capex intensity</t>
        </is>
      </c>
      <c r="B120" s="1745" t="n"/>
      <c r="C120" s="1745" t="n"/>
      <c r="D120" s="1805" t="n"/>
      <c r="E120" s="1691">
        <f>'Model Assumptions'!K$23</f>
        <v/>
      </c>
      <c r="F120" s="1306" t="inlineStr">
        <is>
          <t>From driver D16 - Rs 55,000/t base. Cross-checked against JSW JVML at Rs 52,000/t, SAIL at roughly Rs 67,000/t and Tata Ludhiana EAF at Rs 42,700/t.</t>
        </is>
      </c>
      <c r="G120" s="1745" t="n"/>
      <c r="H120" s="1745" t="n"/>
      <c r="I120" s="1745" t="n"/>
      <c r="J120" s="1745" t="n"/>
      <c r="K120" s="1745" t="n"/>
      <c r="L120" s="1745" t="n"/>
      <c r="M120" s="1745" t="n"/>
      <c r="N120" s="1805" t="n"/>
    </row>
    <row r="121">
      <c r="A121" s="1304" t="inlineStr">
        <is>
          <t>Replacement cost of India's FY2026 capacity</t>
        </is>
      </c>
      <c r="B121" s="1745" t="n"/>
      <c r="C121" s="1745" t="n"/>
      <c r="D121" s="1805" t="n"/>
      <c r="E121" s="1833">
        <f>220.4*E120/10</f>
        <v/>
      </c>
      <c r="F121" s="1306" t="inlineStr">
        <is>
          <t>220.4 Mtpa at the capex intensity above. A useful sanity bound: an acquirer should not pay materially more per tonne than it costs to build, adjusted for time to market, permits and captive raw material.</t>
        </is>
      </c>
      <c r="G121" s="1745" t="n"/>
      <c r="H121" s="1745" t="n"/>
      <c r="I121" s="1745" t="n"/>
      <c r="J121" s="1745" t="n"/>
      <c r="K121" s="1745" t="n"/>
      <c r="L121" s="1745" t="n"/>
      <c r="M121" s="1745" t="n"/>
      <c r="N121" s="1805" t="n"/>
    </row>
    <row r="122">
      <c r="A122" s="1304" t="inlineStr">
        <is>
          <t>Implied EV per tonne at the exit multiple</t>
        </is>
      </c>
      <c r="B122" s="1745" t="n"/>
      <c r="C122" s="1745" t="n"/>
      <c r="D122" s="1805" t="n"/>
      <c r="E122" s="1833">
        <f>IFERROR('EBITDA Model'!K$103*'Model Assumptions'!K$26/('Capacity Forecast'!K$96)*10,"")</f>
        <v/>
      </c>
      <c r="F122" s="1306" t="inlineStr">
        <is>
          <t>FY2033E industry EBITDA at the exit multiple D19, divided by FY2033E capacity. Compare against replacement cost: an implied EV/t far above build cost signals either scarcity value or overvaluation.</t>
        </is>
      </c>
      <c r="G122" s="1745" t="n"/>
      <c r="H122" s="1745" t="n"/>
      <c r="I122" s="1745" t="n"/>
      <c r="J122" s="1745" t="n"/>
      <c r="K122" s="1745" t="n"/>
      <c r="L122" s="1745" t="n"/>
      <c r="M122" s="1745" t="n"/>
      <c r="N122" s="1805" t="n"/>
    </row>
    <row r="125">
      <c r="A125" s="1166" t="inlineStr">
        <is>
          <t>C - INDUSTRY DCF (unlevered, off 16 Cash Flow Model)</t>
        </is>
      </c>
    </row>
    <row r="126" customFormat="1" s="38">
      <c r="A126" s="1305" t="inlineStr">
        <is>
          <t>Line item</t>
        </is>
      </c>
      <c r="B126" s="78" t="inlineStr">
        <is>
          <t>Unit</t>
        </is>
      </c>
      <c r="C126" s="78" t="inlineStr">
        <is>
          <t>FY2026A</t>
        </is>
      </c>
      <c r="D126" s="78" t="inlineStr">
        <is>
          <t>FY2027E</t>
        </is>
      </c>
      <c r="E126" s="78" t="inlineStr">
        <is>
          <t>FY2028E</t>
        </is>
      </c>
      <c r="F126" s="78" t="inlineStr">
        <is>
          <t>FY2029E</t>
        </is>
      </c>
      <c r="G126" s="78" t="inlineStr">
        <is>
          <t>FY2030E</t>
        </is>
      </c>
      <c r="H126" s="78" t="inlineStr">
        <is>
          <t>FY2031E</t>
        </is>
      </c>
      <c r="I126" s="78" t="inlineStr">
        <is>
          <t>FY2032E</t>
        </is>
      </c>
      <c r="J126" s="78" t="inlineStr">
        <is>
          <t>FY2033E</t>
        </is>
      </c>
      <c r="K126" s="78" t="inlineStr">
        <is>
          <t>CAGR</t>
        </is>
      </c>
      <c r="L126" s="78" t="inlineStr">
        <is>
          <t>Source</t>
        </is>
      </c>
      <c r="M126" s="78" t="inlineStr">
        <is>
          <t>Conf.</t>
        </is>
      </c>
      <c r="N126" s="1305" t="inlineStr">
        <is>
          <t>Notes / methodology</t>
        </is>
      </c>
    </row>
    <row r="127" ht="27.6" customFormat="1" customHeight="1" s="38">
      <c r="A127" s="36" t="inlineStr">
        <is>
          <t>Unlevered free cash flow</t>
        </is>
      </c>
      <c r="B127" s="69" t="inlineStr">
        <is>
          <t>Rs cr</t>
        </is>
      </c>
      <c r="C127" s="74" t="n"/>
      <c r="D127" s="1785">
        <f>'Cash Flow Model'!D$108</f>
        <v/>
      </c>
      <c r="E127" s="1785">
        <f>'Cash Flow Model'!E$108</f>
        <v/>
      </c>
      <c r="F127" s="1785">
        <f>'Cash Flow Model'!F$108</f>
        <v/>
      </c>
      <c r="G127" s="1785">
        <f>'Cash Flow Model'!G$108</f>
        <v/>
      </c>
      <c r="H127" s="1785">
        <f>'Cash Flow Model'!H$108</f>
        <v/>
      </c>
      <c r="I127" s="1785">
        <f>'Cash Flow Model'!I$108</f>
        <v/>
      </c>
      <c r="J127" s="1785">
        <f>'Cash Flow Model'!J$108</f>
        <v/>
      </c>
      <c r="K127" s="74" t="n"/>
      <c r="L127" s="23" t="inlineStr">
        <is>
          <t>16 Cash Flow</t>
        </is>
      </c>
      <c r="M127" s="23" t="inlineStr">
        <is>
          <t>Medium</t>
        </is>
      </c>
    </row>
    <row r="128" customFormat="1" s="38">
      <c r="A128" s="36" t="inlineStr">
        <is>
          <t>WACC</t>
        </is>
      </c>
      <c r="B128" s="69" t="inlineStr">
        <is>
          <t>%</t>
        </is>
      </c>
      <c r="C128" s="74" t="n"/>
      <c r="D128" s="1628">
        <f>'Model Assumptions'!E$27</f>
        <v/>
      </c>
      <c r="E128" s="1628">
        <f>'Model Assumptions'!F$27</f>
        <v/>
      </c>
      <c r="F128" s="1628">
        <f>'Model Assumptions'!G$27</f>
        <v/>
      </c>
      <c r="G128" s="1628">
        <f>'Model Assumptions'!H$27</f>
        <v/>
      </c>
      <c r="H128" s="1628">
        <f>'Model Assumptions'!I$27</f>
        <v/>
      </c>
      <c r="I128" s="1628">
        <f>'Model Assumptions'!J$27</f>
        <v/>
      </c>
      <c r="J128" s="1628">
        <f>'Model Assumptions'!K$27</f>
        <v/>
      </c>
      <c r="K128" s="74" t="n"/>
      <c r="L128" s="23" t="inlineStr">
        <is>
          <t>02 Assumptions</t>
        </is>
      </c>
      <c r="M128" s="23" t="inlineStr">
        <is>
          <t>Medium</t>
        </is>
      </c>
      <c r="N128" s="1306" t="inlineStr">
        <is>
          <t>Cross-checked against the build-up on 02 Section D by 25 Audit Checks.</t>
        </is>
      </c>
    </row>
    <row r="129" ht="36" customFormat="1" customHeight="1" s="38">
      <c r="A129" s="36" t="inlineStr">
        <is>
          <t>Discount period</t>
        </is>
      </c>
      <c r="B129" s="69" t="inlineStr">
        <is>
          <t>years</t>
        </is>
      </c>
      <c r="C129" s="74" t="n"/>
      <c r="D129" s="1782" t="n">
        <v>0.5</v>
      </c>
      <c r="E129" s="1782" t="n">
        <v>1.5</v>
      </c>
      <c r="F129" s="1782" t="n">
        <v>2.5</v>
      </c>
      <c r="G129" s="1782" t="n">
        <v>3.5</v>
      </c>
      <c r="H129" s="1782" t="n">
        <v>4.5</v>
      </c>
      <c r="I129" s="1782" t="n">
        <v>5.5</v>
      </c>
      <c r="J129" s="1782" t="n">
        <v>6.5</v>
      </c>
      <c r="K129" s="74" t="n"/>
      <c r="L129" s="23" t="inlineStr">
        <is>
          <t>Convention</t>
        </is>
      </c>
      <c r="M129" s="23" t="inlineStr">
        <is>
          <t>High</t>
        </is>
      </c>
      <c r="N129" s="1306" t="inlineStr">
        <is>
          <t>MID-YEAR CONVENTION: cash flows are assumed to arise evenly through the year, so they are discounted from the mid-point. Using year-end would understate value by roughly 5-6% at a 12% WACC.</t>
        </is>
      </c>
    </row>
    <row r="130" customFormat="1" s="38">
      <c r="A130" s="36" t="inlineStr">
        <is>
          <t>Discount factor</t>
        </is>
      </c>
      <c r="B130" s="69" t="inlineStr">
        <is>
          <t>x</t>
        </is>
      </c>
      <c r="C130" s="74" t="n"/>
      <c r="D130" s="1834">
        <f>1/(1+D128)^D129</f>
        <v/>
      </c>
      <c r="E130" s="1834">
        <f>1/(1+E128)^E129</f>
        <v/>
      </c>
      <c r="F130" s="1834">
        <f>1/(1+F128)^F129</f>
        <v/>
      </c>
      <c r="G130" s="1834">
        <f>1/(1+G128)^G129</f>
        <v/>
      </c>
      <c r="H130" s="1834">
        <f>1/(1+H128)^H129</f>
        <v/>
      </c>
      <c r="I130" s="1834">
        <f>1/(1+I128)^I129</f>
        <v/>
      </c>
      <c r="J130" s="1834">
        <f>1/(1+J128)^J129</f>
        <v/>
      </c>
      <c r="K130" s="74" t="n"/>
      <c r="L130" s="23" t="inlineStr">
        <is>
          <t>Computed</t>
        </is>
      </c>
      <c r="M130" s="23" t="inlineStr">
        <is>
          <t>Medium</t>
        </is>
      </c>
    </row>
    <row r="131" customFormat="1" s="38">
      <c r="A131" s="36" t="inlineStr">
        <is>
          <t>Present value of FCF</t>
        </is>
      </c>
      <c r="B131" s="69" t="inlineStr">
        <is>
          <t>Rs cr</t>
        </is>
      </c>
      <c r="C131" s="74" t="n"/>
      <c r="D131" s="1785">
        <f>D127*D130</f>
        <v/>
      </c>
      <c r="E131" s="1785">
        <f>E127*E130</f>
        <v/>
      </c>
      <c r="F131" s="1785">
        <f>F127*F130</f>
        <v/>
      </c>
      <c r="G131" s="1785">
        <f>G127*G130</f>
        <v/>
      </c>
      <c r="H131" s="1785">
        <f>H127*H130</f>
        <v/>
      </c>
      <c r="I131" s="1785">
        <f>I127*I130</f>
        <v/>
      </c>
      <c r="J131" s="1785">
        <f>J127*J130</f>
        <v/>
      </c>
      <c r="K131" s="74" t="n"/>
      <c r="L131" s="23" t="inlineStr">
        <is>
          <t>Computed</t>
        </is>
      </c>
      <c r="M131" s="23" t="inlineStr">
        <is>
          <t>Medium</t>
        </is>
      </c>
    </row>
    <row r="132" ht="15" customHeight="1" thickBot="1"/>
    <row r="133">
      <c r="A133" s="1326" t="inlineStr">
        <is>
          <t>Sum of PV of explicit forecast FCF</t>
        </is>
      </c>
      <c r="B133" s="1801" t="n"/>
      <c r="C133" s="1802" t="n"/>
      <c r="D133" s="1835">
        <f>SUM(D131:J131)</f>
        <v/>
      </c>
      <c r="E133" s="1324" t="inlineStr">
        <is>
          <t>Seven years, FY2027E to FY2033E.</t>
        </is>
      </c>
      <c r="F133" s="1801" t="n"/>
      <c r="G133" s="1801" t="n"/>
      <c r="H133" s="1801" t="n"/>
      <c r="I133" s="1801" t="n"/>
      <c r="J133" s="1801" t="n"/>
      <c r="K133" s="1801" t="n"/>
      <c r="L133" s="1801" t="n"/>
      <c r="M133" s="1801" t="n"/>
      <c r="N133" s="1802" t="n"/>
    </row>
    <row r="134">
      <c r="A134" s="1328" t="inlineStr">
        <is>
          <t>Terminal EBITDA (FY2033E)</t>
        </is>
      </c>
      <c r="B134" s="1745" t="n"/>
      <c r="C134" s="1805" t="n"/>
      <c r="D134" s="1707">
        <f>'EBITDA Model'!J$103</f>
        <v/>
      </c>
      <c r="E134" s="1306" t="inlineStr">
        <is>
          <t>FY2033 is a NORMALISED year - the FY2030-FY2031 capacity cohort has reached steady-state utilisation - which is the whole reason the horizon is 7 years rather than 5. Check the cycle position on 18 before accepting it as mid-cycle.</t>
        </is>
      </c>
      <c r="F134" s="1745" t="n"/>
      <c r="G134" s="1745" t="n"/>
      <c r="H134" s="1745" t="n"/>
      <c r="I134" s="1745" t="n"/>
      <c r="J134" s="1745" t="n"/>
      <c r="K134" s="1745" t="n"/>
      <c r="L134" s="1745" t="n"/>
      <c r="M134" s="1745" t="n"/>
      <c r="N134" s="1805" t="n"/>
    </row>
    <row r="135">
      <c r="A135" s="1328" t="inlineStr">
        <is>
          <t>Exit EV/EBITDA multiple</t>
        </is>
      </c>
      <c r="B135" s="1745" t="n"/>
      <c r="C135" s="1805" t="n"/>
      <c r="D135" s="1731" t="n">
        <v>7</v>
      </c>
      <c r="E135" s="1306" t="inlineStr">
        <is>
          <t>Seven years, FY2027E to FY2033E.</t>
        </is>
      </c>
      <c r="F135" s="1745" t="n"/>
      <c r="G135" s="1745" t="n"/>
      <c r="H135" s="1745" t="n"/>
      <c r="I135" s="1745" t="n"/>
      <c r="J135" s="1745" t="n"/>
      <c r="K135" s="1745" t="n"/>
      <c r="L135" s="1745" t="n"/>
      <c r="M135" s="1745" t="n"/>
      <c r="N135" s="1805" t="n"/>
    </row>
    <row r="136">
      <c r="A136" s="1328" t="inlineStr">
        <is>
          <t>Terminal value</t>
        </is>
      </c>
      <c r="B136" s="1745" t="n"/>
      <c r="C136" s="1805" t="n"/>
      <c r="D136" s="1707">
        <f>D134*D135</f>
        <v/>
      </c>
      <c r="E136" s="1306" t="inlineStr">
        <is>
          <t>Seven years, FY2027E to FY2033E.</t>
        </is>
      </c>
      <c r="F136" s="1745" t="n"/>
      <c r="G136" s="1745" t="n"/>
      <c r="H136" s="1745" t="n"/>
      <c r="I136" s="1745" t="n"/>
      <c r="J136" s="1745" t="n"/>
      <c r="K136" s="1745" t="n"/>
      <c r="L136" s="1745" t="n"/>
      <c r="M136" s="1745" t="n"/>
      <c r="N136" s="1805" t="n"/>
    </row>
    <row r="137">
      <c r="A137" s="1328" t="inlineStr">
        <is>
          <t>PV of terminal value</t>
        </is>
      </c>
      <c r="B137" s="1745" t="n"/>
      <c r="C137" s="1805" t="n"/>
      <c r="D137" s="1707">
        <f>D136*J130</f>
        <v/>
      </c>
      <c r="E137" s="1306" t="inlineStr">
        <is>
          <t>Discounted at the terminal-year discount factor.</t>
        </is>
      </c>
      <c r="F137" s="1745" t="n"/>
      <c r="G137" s="1745" t="n"/>
      <c r="H137" s="1745" t="n"/>
      <c r="I137" s="1745" t="n"/>
      <c r="J137" s="1745" t="n"/>
      <c r="K137" s="1745" t="n"/>
      <c r="L137" s="1745" t="n"/>
      <c r="M137" s="1745" t="n"/>
      <c r="N137" s="1805" t="n"/>
    </row>
    <row r="138">
      <c r="A138" s="1328" t="inlineStr">
        <is>
          <t>ENTERPRISE VALUE</t>
        </is>
      </c>
      <c r="B138" s="1745" t="n"/>
      <c r="C138" s="1805" t="n"/>
      <c r="D138" s="1836">
        <f>D133+D137</f>
        <v/>
      </c>
      <c r="E138" s="1306" t="inlineStr">
        <is>
          <t>Seven years, FY2027E to FY2033E.</t>
        </is>
      </c>
      <c r="F138" s="1745" t="n"/>
      <c r="G138" s="1745" t="n"/>
      <c r="H138" s="1745" t="n"/>
      <c r="I138" s="1745" t="n"/>
      <c r="J138" s="1745" t="n"/>
      <c r="K138" s="1745" t="n"/>
      <c r="L138" s="1745" t="n"/>
      <c r="M138" s="1745" t="n"/>
      <c r="N138" s="1805" t="n"/>
    </row>
    <row r="139" ht="15" customHeight="1" thickBot="1">
      <c r="A139" s="1322" t="inlineStr">
        <is>
          <t>Terminal value as % of EV</t>
        </is>
      </c>
      <c r="B139" s="1808" t="n"/>
      <c r="C139" s="1809" t="n"/>
      <c r="D139" s="1837">
        <f>IFERROR(D137/D138,"")</f>
        <v/>
      </c>
      <c r="E139" s="1307" t="inlineStr">
        <is>
          <t>Seven years, FY2027E to FY2033E.</t>
        </is>
      </c>
      <c r="F139" s="1808" t="n"/>
      <c r="G139" s="1808" t="n"/>
      <c r="H139" s="1808" t="n"/>
      <c r="I139" s="1808" t="n"/>
      <c r="J139" s="1808" t="n"/>
      <c r="K139" s="1808" t="n"/>
      <c r="L139" s="1808" t="n"/>
      <c r="M139" s="1808" t="n"/>
      <c r="N139" s="1809" t="n"/>
    </row>
    <row r="141" ht="15" customHeight="1" thickBot="1">
      <c r="A141" s="1166" t="inlineStr">
        <is>
          <t>D - RETURNS</t>
        </is>
      </c>
    </row>
    <row r="142">
      <c r="A142" s="56" t="inlineStr">
        <is>
          <t>Line item</t>
        </is>
      </c>
      <c r="B142" s="58" t="inlineStr">
        <is>
          <t>Unit</t>
        </is>
      </c>
      <c r="C142" s="58" t="inlineStr">
        <is>
          <t>FY2026A</t>
        </is>
      </c>
      <c r="D142" s="58" t="inlineStr">
        <is>
          <t>FY2027E</t>
        </is>
      </c>
      <c r="E142" s="58" t="inlineStr">
        <is>
          <t>FY2028E</t>
        </is>
      </c>
      <c r="F142" s="58" t="inlineStr">
        <is>
          <t>FY2029E</t>
        </is>
      </c>
      <c r="G142" s="58" t="inlineStr">
        <is>
          <t>FY2030E</t>
        </is>
      </c>
      <c r="H142" s="58" t="inlineStr">
        <is>
          <t>FY2031E</t>
        </is>
      </c>
      <c r="I142" s="58" t="inlineStr">
        <is>
          <t>FY2032E</t>
        </is>
      </c>
      <c r="J142" s="58" t="inlineStr">
        <is>
          <t>FY2033E</t>
        </is>
      </c>
      <c r="K142" s="58" t="inlineStr">
        <is>
          <t>CAGR</t>
        </is>
      </c>
      <c r="L142" s="58" t="inlineStr">
        <is>
          <t>Source</t>
        </is>
      </c>
      <c r="M142" s="58" t="inlineStr">
        <is>
          <t>Conf.</t>
        </is>
      </c>
      <c r="N142" s="1317" t="inlineStr">
        <is>
          <t>Notes / methodology</t>
        </is>
      </c>
    </row>
    <row r="143">
      <c r="A143" s="61" t="inlineStr">
        <is>
          <t>EBIT</t>
        </is>
      </c>
      <c r="B143" s="69" t="inlineStr">
        <is>
          <t>Rs cr</t>
        </is>
      </c>
      <c r="C143" s="74" t="n"/>
      <c r="D143" s="1785">
        <f>'Cash Flow Model'!D$94</f>
        <v/>
      </c>
      <c r="E143" s="1785">
        <f>'Cash Flow Model'!E$94</f>
        <v/>
      </c>
      <c r="F143" s="1785">
        <f>'Cash Flow Model'!F$94</f>
        <v/>
      </c>
      <c r="G143" s="1785">
        <f>'Cash Flow Model'!G$94</f>
        <v/>
      </c>
      <c r="H143" s="1785">
        <f>'Cash Flow Model'!H$94</f>
        <v/>
      </c>
      <c r="I143" s="1785">
        <f>'Cash Flow Model'!I$94</f>
        <v/>
      </c>
      <c r="J143" s="1785">
        <f>'Cash Flow Model'!J$94</f>
        <v/>
      </c>
      <c r="K143" s="74" t="n"/>
      <c r="L143" s="23" t="inlineStr">
        <is>
          <t>16 Cash Flow</t>
        </is>
      </c>
      <c r="M143" s="23" t="inlineStr">
        <is>
          <t>Medium</t>
        </is>
      </c>
      <c r="N143" s="60" t="n"/>
    </row>
    <row r="144">
      <c r="A144" s="61" t="inlineStr">
        <is>
          <t>Effective tax rate</t>
        </is>
      </c>
      <c r="B144" s="69" t="inlineStr">
        <is>
          <t>%</t>
        </is>
      </c>
      <c r="C144" s="74" t="n"/>
      <c r="D144" s="1628">
        <f>'Model Assumptions'!E$22</f>
        <v/>
      </c>
      <c r="E144" s="1628">
        <f>'Model Assumptions'!F$22</f>
        <v/>
      </c>
      <c r="F144" s="1628">
        <f>'Model Assumptions'!G$22</f>
        <v/>
      </c>
      <c r="G144" s="1628">
        <f>'Model Assumptions'!H$22</f>
        <v/>
      </c>
      <c r="H144" s="1628">
        <f>'Model Assumptions'!I$22</f>
        <v/>
      </c>
      <c r="I144" s="1628">
        <f>'Model Assumptions'!J$22</f>
        <v/>
      </c>
      <c r="J144" s="1628">
        <f>'Model Assumptions'!K$22</f>
        <v/>
      </c>
      <c r="K144" s="74" t="n"/>
      <c r="L144" s="23" t="inlineStr">
        <is>
          <t>02 Assumptions</t>
        </is>
      </c>
      <c r="M144" s="23" t="inlineStr">
        <is>
          <t>Medium</t>
        </is>
      </c>
      <c r="N144" s="60" t="n"/>
    </row>
    <row r="145">
      <c r="A145" s="61" t="inlineStr">
        <is>
          <t>NOPAT</t>
        </is>
      </c>
      <c r="B145" s="69" t="inlineStr">
        <is>
          <t>Rs cr</t>
        </is>
      </c>
      <c r="C145" s="74" t="n"/>
      <c r="D145" s="1785">
        <f>D143*(1-D144)</f>
        <v/>
      </c>
      <c r="E145" s="1785">
        <f>E143*(1-E144)</f>
        <v/>
      </c>
      <c r="F145" s="1785">
        <f>F143*(1-F144)</f>
        <v/>
      </c>
      <c r="G145" s="1785">
        <f>G143*(1-G144)</f>
        <v/>
      </c>
      <c r="H145" s="1785">
        <f>H143*(1-H144)</f>
        <v/>
      </c>
      <c r="I145" s="1785">
        <f>I143*(1-I144)</f>
        <v/>
      </c>
      <c r="J145" s="1785">
        <f>J143*(1-J144)</f>
        <v/>
      </c>
      <c r="K145" s="74" t="n"/>
      <c r="L145" s="23" t="inlineStr">
        <is>
          <t>Computed</t>
        </is>
      </c>
      <c r="M145" s="23" t="inlineStr">
        <is>
          <t>Medium</t>
        </is>
      </c>
      <c r="N145" s="60" t="n"/>
    </row>
    <row r="146" ht="36" customHeight="1">
      <c r="A146" s="61" t="inlineStr">
        <is>
          <t>Invested capital (proxy)</t>
        </is>
      </c>
      <c r="B146" s="69" t="inlineStr">
        <is>
          <t>Rs cr</t>
        </is>
      </c>
      <c r="C146" s="74" t="n"/>
      <c r="D146" s="1785">
        <f>220.4*'Model Assumptions'!E$23/10+'Working Capital Model'!D$71</f>
        <v/>
      </c>
      <c r="E146" s="1785">
        <f>220.4*'Model Assumptions'!F$23/10+'Working Capital Model'!E$71</f>
        <v/>
      </c>
      <c r="F146" s="1785">
        <f>220.4*'Model Assumptions'!G$23/10+'Working Capital Model'!F$71</f>
        <v/>
      </c>
      <c r="G146" s="1785">
        <f>220.4*'Model Assumptions'!H$23/10+'Working Capital Model'!G$71</f>
        <v/>
      </c>
      <c r="H146" s="1785">
        <f>220.4*'Model Assumptions'!I$23/10+'Working Capital Model'!H$71</f>
        <v/>
      </c>
      <c r="I146" s="1785">
        <f>220.4*'Model Assumptions'!J$23/10+'Working Capital Model'!I$71</f>
        <v/>
      </c>
      <c r="J146" s="1785">
        <f>220.4*'Model Assumptions'!K$23/10+'Working Capital Model'!J$71</f>
        <v/>
      </c>
      <c r="K146" s="74" t="n"/>
      <c r="L146" s="23" t="inlineStr">
        <is>
          <t>Computed - PROXY</t>
        </is>
      </c>
      <c r="M146" s="23" t="inlineStr">
        <is>
          <t>Low</t>
        </is>
      </c>
      <c r="N146" s="1315" t="inlineStr">
        <is>
          <t>PROXY ONLY: FY2026 capacity at replacement cost plus net working capital. The database does not carry net fixed assets, so a true invested-capital base could not be built. A replacement-cost proxy understates ROIC for older, depreciated assets and is stated as indicative.</t>
        </is>
      </c>
    </row>
    <row r="147">
      <c r="A147" s="68" t="inlineStr">
        <is>
          <t>ROIC (indicative)</t>
        </is>
      </c>
      <c r="B147" s="69" t="inlineStr">
        <is>
          <t>%</t>
        </is>
      </c>
      <c r="C147" s="74" t="n"/>
      <c r="D147" s="1784">
        <f>IFERROR(D145/D146,"")</f>
        <v/>
      </c>
      <c r="E147" s="1784">
        <f>IFERROR(E145/E146,"")</f>
        <v/>
      </c>
      <c r="F147" s="1784">
        <f>IFERROR(F145/F146,"")</f>
        <v/>
      </c>
      <c r="G147" s="1784">
        <f>IFERROR(G145/G146,"")</f>
        <v/>
      </c>
      <c r="H147" s="1784">
        <f>IFERROR(H145/H146,"")</f>
        <v/>
      </c>
      <c r="I147" s="1784">
        <f>IFERROR(I145/I146,"")</f>
        <v/>
      </c>
      <c r="J147" s="1784">
        <f>IFERROR(J145/J146,"")</f>
        <v/>
      </c>
      <c r="K147" s="74" t="n"/>
      <c r="L147" s="23" t="inlineStr">
        <is>
          <t>Computed</t>
        </is>
      </c>
      <c r="M147" s="23" t="inlineStr">
        <is>
          <t>Low</t>
        </is>
      </c>
      <c r="N147" s="60" t="n"/>
    </row>
    <row r="148" ht="36.6" customHeight="1" thickBot="1">
      <c r="A148" s="86" t="inlineStr">
        <is>
          <t>ROIC less WACC (value spread)</t>
        </is>
      </c>
      <c r="B148" s="70" t="inlineStr">
        <is>
          <t>ppt</t>
        </is>
      </c>
      <c r="C148" s="83" t="n"/>
      <c r="D148" s="1838">
        <f>D147-D128</f>
        <v/>
      </c>
      <c r="E148" s="1838">
        <f>E147-E128</f>
        <v/>
      </c>
      <c r="F148" s="1838">
        <f>F147-F128</f>
        <v/>
      </c>
      <c r="G148" s="1838">
        <f>G147-G128</f>
        <v/>
      </c>
      <c r="H148" s="1838">
        <f>H147-H128</f>
        <v/>
      </c>
      <c r="I148" s="1838">
        <f>I147-I128</f>
        <v/>
      </c>
      <c r="J148" s="1838">
        <f>J147-J128</f>
        <v/>
      </c>
      <c r="K148" s="83" t="n"/>
      <c r="L148" s="27" t="inlineStr">
        <is>
          <t>Computed</t>
        </is>
      </c>
      <c r="M148" s="27" t="inlineStr">
        <is>
          <t>Low</t>
        </is>
      </c>
      <c r="N148" s="1308" t="inlineStr">
        <is>
          <t>THE VALUE-CREATION TEST. A persistently negative spread means the industry destroys value by adding capacity, however strong the volume growth - which is the central strategic question for Indian steel and the reason capacity discipline matters more than capacity ambition.</t>
        </is>
      </c>
    </row>
    <row r="150">
      <c r="A150" s="1132" t="inlineStr">
        <is>
          <t>This is an INDUSTRY DCF. It is a sanity frame and a source of mid-cycle multiples, not a substitute for a single-name model. Every line needed for a single-name build - volume, realisation spread, cost spread, capex, working capital - is isolated elsewhere in this workbook.</t>
        </is>
      </c>
    </row>
  </sheetData>
  <mergeCells count="33">
    <mergeCell ref="A116:D116"/>
    <mergeCell ref="A137:C137"/>
    <mergeCell ref="A122:D122"/>
    <mergeCell ref="A133:C133"/>
    <mergeCell ref="A72:D72"/>
    <mergeCell ref="A139:C139"/>
    <mergeCell ref="A136:C136"/>
    <mergeCell ref="E136:N136"/>
    <mergeCell ref="A121:D121"/>
    <mergeCell ref="F122:N122"/>
    <mergeCell ref="E134:N134"/>
    <mergeCell ref="A1:N1"/>
    <mergeCell ref="A7:E7"/>
    <mergeCell ref="F121:N121"/>
    <mergeCell ref="A135:C135"/>
    <mergeCell ref="E139:N139"/>
    <mergeCell ref="A82:D82"/>
    <mergeCell ref="A18:H18"/>
    <mergeCell ref="A134:C134"/>
    <mergeCell ref="F120:N120"/>
    <mergeCell ref="E135:N135"/>
    <mergeCell ref="A92:C92"/>
    <mergeCell ref="E138:N138"/>
    <mergeCell ref="A5:N5"/>
    <mergeCell ref="A37:G37"/>
    <mergeCell ref="A150:N150"/>
    <mergeCell ref="E137:N137"/>
    <mergeCell ref="A62:E62"/>
    <mergeCell ref="A120:D120"/>
    <mergeCell ref="A138:C138"/>
    <mergeCell ref="A119:F119"/>
    <mergeCell ref="A2:G2"/>
    <mergeCell ref="E133:N13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codeName="Sheet29">
    <tabColor rgb="FF7030A0"/>
    <outlinePr summaryBelow="1" summaryRight="1"/>
    <pageSetUpPr/>
  </sheetPr>
  <dimension ref="A1:L65"/>
  <sheetViews>
    <sheetView showGridLines="0" workbookViewId="0">
      <selection activeCell="C19" sqref="C19"/>
    </sheetView>
  </sheetViews>
  <sheetFormatPr baseColWidth="8" defaultRowHeight="14.4"/>
  <cols>
    <col width="52" customWidth="1" style="1262" min="1" max="1"/>
    <col width="17.109375" customWidth="1" style="1262" min="2" max="7"/>
    <col width="13" customWidth="1" style="1262" min="8" max="10"/>
    <col width="12" customWidth="1" style="1262" min="11" max="11"/>
    <col width="8.88671875" customWidth="1" style="107" min="12" max="12"/>
    <col width="8.88671875" customWidth="1" style="1262" min="13" max="16384"/>
  </cols>
  <sheetData>
    <row r="1" ht="26.4" customHeight="1" thickBot="1">
      <c r="A1" s="1301" t="inlineStr">
        <is>
          <t>INDUSTRY DASHBOARD</t>
        </is>
      </c>
      <c r="B1" s="1301" t="n"/>
      <c r="C1" s="1301" t="n"/>
      <c r="D1" s="1301" t="n"/>
      <c r="E1" s="1301" t="n"/>
      <c r="F1" s="1301" t="n"/>
      <c r="G1" s="1301" t="n"/>
      <c r="H1" s="1301" t="n"/>
      <c r="I1" s="1301" t="n"/>
      <c r="J1" s="1301" t="n"/>
      <c r="K1" s="347">
        <f>'Control Panel'!E17</f>
        <v/>
      </c>
      <c r="L1" s="346" t="n"/>
    </row>
    <row r="2">
      <c r="A2" s="1136" t="inlineStr">
        <is>
          <t xml:space="preserve">Industry Financial Model  |  Indian Steel Industry  |  Horizon FY2027E-FY2033E  |  Base year FY2026A </t>
        </is>
      </c>
    </row>
    <row r="3">
      <c r="A3" s="1167" t="n"/>
    </row>
    <row r="4">
      <c r="A4" s="1145" t="inlineStr">
        <is>
          <t>OBJECTIVE</t>
        </is>
      </c>
    </row>
    <row r="5">
      <c r="A5" s="1134" t="inlineStr">
        <is>
          <t>Provide a one-page executive summary of the Indian steel industry with live KPIs, charts, valuation outputs, and investment conclusions.</t>
        </is>
      </c>
    </row>
    <row r="6" ht="15" customHeight="1" thickBot="1">
      <c r="A6" s="1167" t="n"/>
    </row>
    <row r="7" ht="16.2" customHeight="1" thickBot="1">
      <c r="A7" s="348" t="inlineStr">
        <is>
          <t>Navigation Buttons</t>
        </is>
      </c>
      <c r="B7" s="351" t="inlineStr">
        <is>
          <t>Index</t>
        </is>
      </c>
      <c r="C7" s="350" t="inlineStr">
        <is>
          <t>Control Panel</t>
        </is>
      </c>
      <c r="D7" s="350" t="inlineStr">
        <is>
          <t>Assumptions</t>
        </is>
      </c>
      <c r="E7" s="350" t="inlineStr">
        <is>
          <t>Valuation</t>
        </is>
      </c>
      <c r="F7" s="350" t="inlineStr">
        <is>
          <t>Sensitivity</t>
        </is>
      </c>
      <c r="G7" s="351" t="inlineStr">
        <is>
          <t>Database</t>
        </is>
      </c>
      <c r="H7" s="349" t="inlineStr">
        <is>
          <t>Report</t>
        </is>
      </c>
    </row>
    <row r="8">
      <c r="A8" s="1167" t="n"/>
    </row>
    <row r="9">
      <c r="A9" s="1167" t="n"/>
    </row>
    <row r="10">
      <c r="A10" s="1167" t="n"/>
    </row>
    <row r="11">
      <c r="A11" s="1167" t="n"/>
    </row>
    <row r="12">
      <c r="A12" s="1167" t="n"/>
    </row>
    <row r="13">
      <c r="A13" s="1167" t="n"/>
    </row>
    <row r="14">
      <c r="A14" s="1167" t="n"/>
    </row>
    <row r="15">
      <c r="A15" s="1167" t="n"/>
    </row>
    <row r="16">
      <c r="A16" s="1167" t="n"/>
    </row>
    <row r="17">
      <c r="A17" s="1167" t="n"/>
    </row>
    <row r="18">
      <c r="A18" s="1167" t="n"/>
    </row>
    <row r="19">
      <c r="A19" s="1167" t="n"/>
    </row>
    <row r="20">
      <c r="A20" s="1167" t="n"/>
    </row>
    <row r="21">
      <c r="A21" s="1167" t="n"/>
    </row>
    <row r="22">
      <c r="A22" s="1167" t="n"/>
    </row>
    <row r="23">
      <c r="A23" s="1167" t="n"/>
    </row>
    <row r="24">
      <c r="A24" s="1167" t="n"/>
    </row>
    <row r="25">
      <c r="A25" s="1167" t="n"/>
    </row>
    <row r="26">
      <c r="A26" s="1167" t="n"/>
    </row>
    <row r="27">
      <c r="A27" s="1167" t="n"/>
    </row>
    <row r="28">
      <c r="A28" s="164" t="n"/>
      <c r="B28" s="113" t="n"/>
      <c r="D28" s="113" t="n"/>
    </row>
    <row r="29" ht="15" customHeight="1" thickBot="1"/>
    <row r="30">
      <c r="A30" s="56" t="inlineStr">
        <is>
          <t>Line item</t>
        </is>
      </c>
      <c r="B30" s="1316" t="inlineStr">
        <is>
          <t>Unit</t>
        </is>
      </c>
      <c r="C30" s="58" t="inlineStr">
        <is>
          <t>FY2026A</t>
        </is>
      </c>
      <c r="D30" s="58" t="inlineStr">
        <is>
          <t>FY2027E</t>
        </is>
      </c>
      <c r="E30" s="58" t="inlineStr">
        <is>
          <t>FY2028E</t>
        </is>
      </c>
      <c r="F30" s="58" t="inlineStr">
        <is>
          <t>FY2029E</t>
        </is>
      </c>
      <c r="G30" s="58" t="inlineStr">
        <is>
          <t>FY2030E</t>
        </is>
      </c>
      <c r="H30" s="58" t="inlineStr">
        <is>
          <t>FY2031E</t>
        </is>
      </c>
      <c r="I30" s="58" t="inlineStr">
        <is>
          <t>FY2032E</t>
        </is>
      </c>
      <c r="J30" s="58" t="inlineStr">
        <is>
          <t>FY2033E</t>
        </is>
      </c>
      <c r="K30" s="58" t="inlineStr">
        <is>
          <t>CAGR</t>
        </is>
      </c>
      <c r="L30" s="165" t="inlineStr">
        <is>
          <t>Source</t>
        </is>
      </c>
    </row>
    <row r="31">
      <c r="A31" s="1839" t="inlineStr">
        <is>
          <t>DEMAND AND SUPPLY</t>
        </is>
      </c>
      <c r="B31" s="1745" t="n"/>
      <c r="C31" s="1745" t="n"/>
      <c r="D31" s="1745" t="n"/>
      <c r="E31" s="1745" t="n"/>
      <c r="F31" s="1745" t="n"/>
      <c r="G31" s="1745" t="n"/>
      <c r="H31" s="1745" t="n"/>
      <c r="I31" s="1745" t="n"/>
      <c r="J31" s="1745" t="n"/>
      <c r="K31" s="1745" t="n"/>
      <c r="L31" s="1840" t="n"/>
    </row>
    <row r="32">
      <c r="A32" s="61" t="inlineStr">
        <is>
          <t>Apparent finished steel consumption</t>
        </is>
      </c>
      <c r="B32" s="37" t="inlineStr">
        <is>
          <t>Mt</t>
        </is>
      </c>
      <c r="C32" s="1565">
        <f>'Steel Demand Model'!C$75</f>
        <v/>
      </c>
      <c r="D32" s="1565">
        <f>'Steel Demand Model'!D$75</f>
        <v/>
      </c>
      <c r="E32" s="1565">
        <f>'Steel Demand Model'!E$75</f>
        <v/>
      </c>
      <c r="F32" s="1565">
        <f>'Steel Demand Model'!F$75</f>
        <v/>
      </c>
      <c r="G32" s="1565">
        <f>'Steel Demand Model'!G$75</f>
        <v/>
      </c>
      <c r="H32" s="1565">
        <f>'Steel Demand Model'!H$75</f>
        <v/>
      </c>
      <c r="I32" s="1565">
        <f>'Steel Demand Model'!I$75</f>
        <v/>
      </c>
      <c r="J32" s="1565">
        <f>'Steel Demand Model'!J$75</f>
        <v/>
      </c>
      <c r="K32" s="1569">
        <f>IFERROR(IF(AND(ISNUMBER(C32),ISNUMBER(J32),C32&gt;0),(J32/C32)^(1/7)-1,""),"")</f>
        <v/>
      </c>
      <c r="L32" s="166" t="inlineStr">
        <is>
          <t>04</t>
        </is>
      </c>
    </row>
    <row r="33">
      <c r="A33" s="61" t="inlineStr">
        <is>
          <t>Consumption growth</t>
        </is>
      </c>
      <c r="B33" s="37" t="inlineStr">
        <is>
          <t>%</t>
        </is>
      </c>
      <c r="C33" s="1569">
        <f>'Steel Demand Model'!C$74</f>
        <v/>
      </c>
      <c r="D33" s="1569">
        <f>'Steel Demand Model'!D$74</f>
        <v/>
      </c>
      <c r="E33" s="1569">
        <f>'Steel Demand Model'!E$74</f>
        <v/>
      </c>
      <c r="F33" s="1569">
        <f>'Steel Demand Model'!F$74</f>
        <v/>
      </c>
      <c r="G33" s="1569">
        <f>'Steel Demand Model'!G$74</f>
        <v/>
      </c>
      <c r="H33" s="1569">
        <f>'Steel Demand Model'!H$74</f>
        <v/>
      </c>
      <c r="I33" s="1569">
        <f>'Steel Demand Model'!I$74</f>
        <v/>
      </c>
      <c r="J33" s="1569">
        <f>'Steel Demand Model'!J$74</f>
        <v/>
      </c>
      <c r="K33" s="38" t="n"/>
      <c r="L33" s="166" t="inlineStr">
        <is>
          <t>04</t>
        </is>
      </c>
    </row>
    <row r="34">
      <c r="A34" s="61" t="inlineStr">
        <is>
          <t>Per capita consumption</t>
        </is>
      </c>
      <c r="B34" s="37" t="inlineStr">
        <is>
          <t>kg</t>
        </is>
      </c>
      <c r="C34" s="1565">
        <f>'Steel Demand Model'!C$80</f>
        <v/>
      </c>
      <c r="D34" s="1565">
        <f>'Steel Demand Model'!D$80</f>
        <v/>
      </c>
      <c r="E34" s="1565">
        <f>'Steel Demand Model'!E$80</f>
        <v/>
      </c>
      <c r="F34" s="1565">
        <f>'Steel Demand Model'!F$80</f>
        <v/>
      </c>
      <c r="G34" s="1565">
        <f>'Steel Demand Model'!G$80</f>
        <v/>
      </c>
      <c r="H34" s="1565">
        <f>'Steel Demand Model'!H$80</f>
        <v/>
      </c>
      <c r="I34" s="1565">
        <f>'Steel Demand Model'!I$80</f>
        <v/>
      </c>
      <c r="J34" s="1565">
        <f>'Steel Demand Model'!J$80</f>
        <v/>
      </c>
      <c r="K34" s="1569">
        <f>IFERROR(IF(AND(ISNUMBER(C34),ISNUMBER(J34),C34&gt;0),(J34/C34)^(1/7)-1,""),"")</f>
        <v/>
      </c>
      <c r="L34" s="166" t="inlineStr">
        <is>
          <t>04</t>
        </is>
      </c>
    </row>
    <row r="35">
      <c r="A35" s="61" t="inlineStr">
        <is>
          <t>Crude steel production</t>
        </is>
      </c>
      <c r="B35" s="37" t="inlineStr">
        <is>
          <t>Mt</t>
        </is>
      </c>
      <c r="C35" s="1565">
        <f>'Steel Supply Model'!C$88</f>
        <v/>
      </c>
      <c r="D35" s="1565">
        <f>'Steel Supply Model'!D$88</f>
        <v/>
      </c>
      <c r="E35" s="1565">
        <f>'Steel Supply Model'!E$88</f>
        <v/>
      </c>
      <c r="F35" s="1565">
        <f>'Steel Supply Model'!F$88</f>
        <v/>
      </c>
      <c r="G35" s="1565">
        <f>'Steel Supply Model'!G$88</f>
        <v/>
      </c>
      <c r="H35" s="1565">
        <f>'Steel Supply Model'!H$88</f>
        <v/>
      </c>
      <c r="I35" s="1565">
        <f>'Steel Supply Model'!I$88</f>
        <v/>
      </c>
      <c r="J35" s="1565">
        <f>'Steel Supply Model'!J$88</f>
        <v/>
      </c>
      <c r="K35" s="1569">
        <f>IFERROR(IF(AND(ISNUMBER(C35),ISNUMBER(J35),C35&gt;0),(J35/C35)^(1/7)-1,""),"")</f>
        <v/>
      </c>
      <c r="L35" s="166" t="inlineStr">
        <is>
          <t>05</t>
        </is>
      </c>
    </row>
    <row r="36">
      <c r="A36" s="61" t="inlineStr">
        <is>
          <t>Crude steel capacity</t>
        </is>
      </c>
      <c r="B36" s="37" t="inlineStr">
        <is>
          <t>Mtpa</t>
        </is>
      </c>
      <c r="C36" s="1565">
        <f>'Capacity Forecast'!C$96</f>
        <v/>
      </c>
      <c r="D36" s="1565">
        <f>'Capacity Forecast'!D$96</f>
        <v/>
      </c>
      <c r="E36" s="1565">
        <f>'Capacity Forecast'!E$96</f>
        <v/>
      </c>
      <c r="F36" s="1565">
        <f>'Capacity Forecast'!F$96</f>
        <v/>
      </c>
      <c r="G36" s="1565">
        <f>'Capacity Forecast'!G$96</f>
        <v/>
      </c>
      <c r="H36" s="1565">
        <f>'Capacity Forecast'!H$96</f>
        <v/>
      </c>
      <c r="I36" s="1565">
        <f>'Capacity Forecast'!I$96</f>
        <v/>
      </c>
      <c r="J36" s="1565">
        <f>'Capacity Forecast'!J$96</f>
        <v/>
      </c>
      <c r="K36" s="1569">
        <f>IFERROR(IF(AND(ISNUMBER(C36),ISNUMBER(J36),C36&gt;0),(J36/C36)^(1/7)-1,""),"")</f>
        <v/>
      </c>
      <c r="L36" s="166" t="inlineStr">
        <is>
          <t>06</t>
        </is>
      </c>
    </row>
    <row r="37">
      <c r="A37" s="61" t="inlineStr">
        <is>
          <t>Capacity utilisation</t>
        </is>
      </c>
      <c r="B37" s="37" t="inlineStr">
        <is>
          <t>%</t>
        </is>
      </c>
      <c r="C37" s="1569">
        <f>'Capacity Utilisation'!C$65</f>
        <v/>
      </c>
      <c r="D37" s="1569">
        <f>'Capacity Utilisation'!D$65</f>
        <v/>
      </c>
      <c r="E37" s="1569">
        <f>'Capacity Utilisation'!E$65</f>
        <v/>
      </c>
      <c r="F37" s="1569">
        <f>'Capacity Utilisation'!F$65</f>
        <v/>
      </c>
      <c r="G37" s="1569">
        <f>'Capacity Utilisation'!G$65</f>
        <v/>
      </c>
      <c r="H37" s="1569">
        <f>'Capacity Utilisation'!H$65</f>
        <v/>
      </c>
      <c r="I37" s="1569">
        <f>'Capacity Utilisation'!I$65</f>
        <v/>
      </c>
      <c r="J37" s="1569">
        <f>'Capacity Utilisation'!J$65</f>
        <v/>
      </c>
      <c r="K37" s="38" t="n"/>
      <c r="L37" s="166" t="inlineStr">
        <is>
          <t>08</t>
        </is>
      </c>
    </row>
    <row r="38">
      <c r="A38" s="1839" t="inlineStr">
        <is>
          <t>PRICES AND COSTS</t>
        </is>
      </c>
      <c r="B38" s="1745" t="n"/>
      <c r="C38" s="1745" t="n"/>
      <c r="D38" s="1745" t="n"/>
      <c r="E38" s="1745" t="n"/>
      <c r="F38" s="1745" t="n"/>
      <c r="G38" s="1745" t="n"/>
      <c r="H38" s="1745" t="n"/>
      <c r="I38" s="1745" t="n"/>
      <c r="J38" s="1745" t="n"/>
      <c r="K38" s="1745" t="n"/>
      <c r="L38" s="1840" t="n"/>
    </row>
    <row r="39">
      <c r="A39" s="61" t="inlineStr">
        <is>
          <t>Blended realisation</t>
        </is>
      </c>
      <c r="B39" s="37" t="inlineStr">
        <is>
          <t>Rs/t</t>
        </is>
      </c>
      <c r="C39" s="1691">
        <f>'Steel Price Forecast'!C$72</f>
        <v/>
      </c>
      <c r="D39" s="1691">
        <f>'Steel Price Forecast'!D$72</f>
        <v/>
      </c>
      <c r="E39" s="1691">
        <f>'Steel Price Forecast'!E$72</f>
        <v/>
      </c>
      <c r="F39" s="1691">
        <f>'Steel Price Forecast'!F$72</f>
        <v/>
      </c>
      <c r="G39" s="1691">
        <f>'Steel Price Forecast'!G$72</f>
        <v/>
      </c>
      <c r="H39" s="1691">
        <f>'Steel Price Forecast'!H$72</f>
        <v/>
      </c>
      <c r="I39" s="1691">
        <f>'Steel Price Forecast'!I$72</f>
        <v/>
      </c>
      <c r="J39" s="1691">
        <f>'Steel Price Forecast'!J$72</f>
        <v/>
      </c>
      <c r="K39" s="1569">
        <f>IFERROR(IF(AND(ISNUMBER(C39),ISNUMBER(J39),C39&gt;0),(J39/C39)^(1/7)-1,""),"")</f>
        <v/>
      </c>
      <c r="L39" s="166" t="inlineStr">
        <is>
          <t>09</t>
        </is>
      </c>
    </row>
    <row r="40">
      <c r="A40" s="61" t="inlineStr">
        <is>
          <t>Iron ore 62% Fe CFR China</t>
        </is>
      </c>
      <c r="B40" s="37" t="inlineStr">
        <is>
          <t>US$/dmt</t>
        </is>
      </c>
      <c r="C40" s="1563">
        <f>'Raw Material Forecast'!C$61</f>
        <v/>
      </c>
      <c r="D40" s="1563">
        <f>'Raw Material Forecast'!D$61</f>
        <v/>
      </c>
      <c r="E40" s="1563">
        <f>'Raw Material Forecast'!E$61</f>
        <v/>
      </c>
      <c r="F40" s="1563">
        <f>'Raw Material Forecast'!F$61</f>
        <v/>
      </c>
      <c r="G40" s="1563">
        <f>'Raw Material Forecast'!G$61</f>
        <v/>
      </c>
      <c r="H40" s="1563">
        <f>'Raw Material Forecast'!H$61</f>
        <v/>
      </c>
      <c r="I40" s="1563">
        <f>'Raw Material Forecast'!I$61</f>
        <v/>
      </c>
      <c r="J40" s="1563">
        <f>'Raw Material Forecast'!J$61</f>
        <v/>
      </c>
      <c r="K40" s="1569">
        <f>IFERROR(IF(AND(ISNUMBER(C40),ISNUMBER(J40),C40&gt;0),(J40/C40)^(1/7)-1,""),"")</f>
        <v/>
      </c>
      <c r="L40" s="166" t="inlineStr">
        <is>
          <t>10</t>
        </is>
      </c>
    </row>
    <row r="41">
      <c r="A41" s="61" t="inlineStr">
        <is>
          <t>Premium HCC coking coal</t>
        </is>
      </c>
      <c r="B41" s="37" t="inlineStr">
        <is>
          <t>US$/t</t>
        </is>
      </c>
      <c r="C41" s="1563">
        <f>'Raw Material Forecast'!C$62</f>
        <v/>
      </c>
      <c r="D41" s="1563">
        <f>'Raw Material Forecast'!D$62</f>
        <v/>
      </c>
      <c r="E41" s="1563">
        <f>'Raw Material Forecast'!E$62</f>
        <v/>
      </c>
      <c r="F41" s="1563">
        <f>'Raw Material Forecast'!F$62</f>
        <v/>
      </c>
      <c r="G41" s="1563">
        <f>'Raw Material Forecast'!G$62</f>
        <v/>
      </c>
      <c r="H41" s="1563">
        <f>'Raw Material Forecast'!H$62</f>
        <v/>
      </c>
      <c r="I41" s="1563">
        <f>'Raw Material Forecast'!I$62</f>
        <v/>
      </c>
      <c r="J41" s="1563">
        <f>'Raw Material Forecast'!J$62</f>
        <v/>
      </c>
      <c r="K41" s="1569">
        <f>IFERROR(IF(AND(ISNUMBER(C41),ISNUMBER(J41),C41&gt;0),(J41/C41)^(1/7)-1,""),"")</f>
        <v/>
      </c>
      <c r="L41" s="166" t="inlineStr">
        <is>
          <t>10</t>
        </is>
      </c>
    </row>
    <row r="42">
      <c r="A42" s="61" t="inlineStr">
        <is>
          <t>USD/INR</t>
        </is>
      </c>
      <c r="B42" s="37" t="inlineStr">
        <is>
          <t>Rs/US$</t>
        </is>
      </c>
      <c r="C42" s="1563">
        <f>'Raw Material Forecast'!C$63</f>
        <v/>
      </c>
      <c r="D42" s="1563">
        <f>'Raw Material Forecast'!D$63</f>
        <v/>
      </c>
      <c r="E42" s="1563">
        <f>'Raw Material Forecast'!E$63</f>
        <v/>
      </c>
      <c r="F42" s="1563">
        <f>'Raw Material Forecast'!F$63</f>
        <v/>
      </c>
      <c r="G42" s="1563">
        <f>'Raw Material Forecast'!G$63</f>
        <v/>
      </c>
      <c r="H42" s="1563">
        <f>'Raw Material Forecast'!H$63</f>
        <v/>
      </c>
      <c r="I42" s="1563">
        <f>'Raw Material Forecast'!I$63</f>
        <v/>
      </c>
      <c r="J42" s="1563">
        <f>'Raw Material Forecast'!J$63</f>
        <v/>
      </c>
      <c r="K42" s="1569">
        <f>IFERROR(IF(AND(ISNUMBER(C42),ISNUMBER(J42),C42&gt;0),(J42/C42)^(1/7)-1,""),"")</f>
        <v/>
      </c>
      <c r="L42" s="166" t="inlineStr">
        <is>
          <t>10</t>
        </is>
      </c>
    </row>
    <row r="43">
      <c r="A43" s="61" t="inlineStr">
        <is>
          <t>Cash cost per tonne</t>
        </is>
      </c>
      <c r="B43" s="37" t="inlineStr">
        <is>
          <t>Rs/t</t>
        </is>
      </c>
      <c r="C43" s="1691">
        <f>'Cost Curve'!C$65</f>
        <v/>
      </c>
      <c r="D43" s="1691">
        <f>'Cost Curve'!D$65</f>
        <v/>
      </c>
      <c r="E43" s="1691">
        <f>'Cost Curve'!E$65</f>
        <v/>
      </c>
      <c r="F43" s="1691">
        <f>'Cost Curve'!F$65</f>
        <v/>
      </c>
      <c r="G43" s="1691">
        <f>'Cost Curve'!G$65</f>
        <v/>
      </c>
      <c r="H43" s="1691">
        <f>'Cost Curve'!H$65</f>
        <v/>
      </c>
      <c r="I43" s="1691">
        <f>'Cost Curve'!I$65</f>
        <v/>
      </c>
      <c r="J43" s="1691">
        <f>'Cost Curve'!J$65</f>
        <v/>
      </c>
      <c r="K43" s="1569">
        <f>IFERROR(IF(AND(ISNUMBER(C43),ISNUMBER(J43),C43&gt;0),(J43/C43)^(1/7)-1,""),"")</f>
        <v/>
      </c>
      <c r="L43" s="166" t="inlineStr">
        <is>
          <t>11</t>
        </is>
      </c>
    </row>
    <row r="44">
      <c r="A44" s="1839" t="inlineStr">
        <is>
          <t>PROFITABILITY</t>
        </is>
      </c>
      <c r="B44" s="1745" t="n"/>
      <c r="C44" s="1745" t="n"/>
      <c r="D44" s="1745" t="n"/>
      <c r="E44" s="1745" t="n"/>
      <c r="F44" s="1745" t="n"/>
      <c r="G44" s="1745" t="n"/>
      <c r="H44" s="1745" t="n"/>
      <c r="I44" s="1745" t="n"/>
      <c r="J44" s="1745" t="n"/>
      <c r="K44" s="1745" t="n"/>
      <c r="L44" s="1840" t="n"/>
    </row>
    <row r="45">
      <c r="A45" s="61" t="inlineStr">
        <is>
          <t>EBITDA per tonne</t>
        </is>
      </c>
      <c r="B45" s="37" t="inlineStr">
        <is>
          <t>Rs/t</t>
        </is>
      </c>
      <c r="C45" s="1691">
        <f>'EBITDA Model'!C$101</f>
        <v/>
      </c>
      <c r="D45" s="1691">
        <f>'EBITDA Model'!D$101</f>
        <v/>
      </c>
      <c r="E45" s="1691">
        <f>'EBITDA Model'!E$101</f>
        <v/>
      </c>
      <c r="F45" s="1691">
        <f>'EBITDA Model'!F$101</f>
        <v/>
      </c>
      <c r="G45" s="1691">
        <f>'EBITDA Model'!G$101</f>
        <v/>
      </c>
      <c r="H45" s="1691">
        <f>'EBITDA Model'!H$101</f>
        <v/>
      </c>
      <c r="I45" s="1691">
        <f>'EBITDA Model'!I$101</f>
        <v/>
      </c>
      <c r="J45" s="1691">
        <f>'EBITDA Model'!J$101</f>
        <v/>
      </c>
      <c r="K45" s="1569">
        <f>IFERROR(IF(AND(ISNUMBER(C45),ISNUMBER(J45),C45&gt;0),(J45/C45)^(1/7)-1,""),"")</f>
        <v/>
      </c>
      <c r="L45" s="166" t="inlineStr">
        <is>
          <t>13</t>
        </is>
      </c>
    </row>
    <row r="46">
      <c r="A46" s="61" t="inlineStr">
        <is>
          <t>Industry EBITDA margin</t>
        </is>
      </c>
      <c r="B46" s="37" t="inlineStr">
        <is>
          <t>%</t>
        </is>
      </c>
      <c r="C46" s="1569">
        <f>'Margin Analysis'!C$81</f>
        <v/>
      </c>
      <c r="D46" s="1569">
        <f>'Margin Analysis'!D$81</f>
        <v/>
      </c>
      <c r="E46" s="1569">
        <f>'Margin Analysis'!E$81</f>
        <v/>
      </c>
      <c r="F46" s="1569">
        <f>'Margin Analysis'!F$81</f>
        <v/>
      </c>
      <c r="G46" s="1569">
        <f>'Margin Analysis'!G$81</f>
        <v/>
      </c>
      <c r="H46" s="1569">
        <f>'Margin Analysis'!H$81</f>
        <v/>
      </c>
      <c r="I46" s="1569">
        <f>'Margin Analysis'!I$81</f>
        <v/>
      </c>
      <c r="J46" s="1569">
        <f>'Margin Analysis'!J$81</f>
        <v/>
      </c>
      <c r="K46" s="38" t="n"/>
      <c r="L46" s="166" t="inlineStr">
        <is>
          <t>14</t>
        </is>
      </c>
    </row>
    <row r="47">
      <c r="A47" s="61" t="inlineStr">
        <is>
          <t>Industry revenue</t>
        </is>
      </c>
      <c r="B47" s="37" t="inlineStr">
        <is>
          <t>Rs cr</t>
        </is>
      </c>
      <c r="C47" s="1691">
        <f>'Revenue Forecast'!C$95</f>
        <v/>
      </c>
      <c r="D47" s="1691">
        <f>'Revenue Forecast'!D$95</f>
        <v/>
      </c>
      <c r="E47" s="1691">
        <f>'Revenue Forecast'!E$95</f>
        <v/>
      </c>
      <c r="F47" s="1691">
        <f>'Revenue Forecast'!F$95</f>
        <v/>
      </c>
      <c r="G47" s="1691">
        <f>'Revenue Forecast'!G$95</f>
        <v/>
      </c>
      <c r="H47" s="1691">
        <f>'Revenue Forecast'!H$95</f>
        <v/>
      </c>
      <c r="I47" s="1691">
        <f>'Revenue Forecast'!I$95</f>
        <v/>
      </c>
      <c r="J47" s="1691">
        <f>'Revenue Forecast'!J$95</f>
        <v/>
      </c>
      <c r="K47" s="1569">
        <f>IFERROR(IF(AND(ISNUMBER(C47),ISNUMBER(J47),C47&gt;0),(J47/C47)^(1/7)-1,""),"")</f>
        <v/>
      </c>
      <c r="L47" s="166" t="inlineStr">
        <is>
          <t>12</t>
        </is>
      </c>
    </row>
    <row r="48">
      <c r="A48" s="61" t="inlineStr">
        <is>
          <t>Industry EBITDA</t>
        </is>
      </c>
      <c r="B48" s="37" t="inlineStr">
        <is>
          <t>Rs cr</t>
        </is>
      </c>
      <c r="C48" s="1691">
        <f>'EBITDA Model'!C$103</f>
        <v/>
      </c>
      <c r="D48" s="1691">
        <f>'EBITDA Model'!D$103</f>
        <v/>
      </c>
      <c r="E48" s="1691">
        <f>'EBITDA Model'!E$103</f>
        <v/>
      </c>
      <c r="F48" s="1691">
        <f>'EBITDA Model'!F$103</f>
        <v/>
      </c>
      <c r="G48" s="1691">
        <f>'EBITDA Model'!G$103</f>
        <v/>
      </c>
      <c r="H48" s="1691">
        <f>'EBITDA Model'!H$103</f>
        <v/>
      </c>
      <c r="I48" s="1691">
        <f>'EBITDA Model'!I$103</f>
        <v/>
      </c>
      <c r="J48" s="1691">
        <f>'EBITDA Model'!J$103</f>
        <v/>
      </c>
      <c r="K48" s="1569">
        <f>IFERROR(IF(AND(ISNUMBER(C48),ISNUMBER(J48),C48&gt;0),(J48/C48)^(1/7)-1,""),"")</f>
        <v/>
      </c>
      <c r="L48" s="166" t="inlineStr">
        <is>
          <t>13</t>
        </is>
      </c>
    </row>
    <row r="49">
      <c r="A49" s="61" t="inlineStr">
        <is>
          <t>Cycle position</t>
        </is>
      </c>
      <c r="B49" s="37" t="inlineStr">
        <is>
          <t>class</t>
        </is>
      </c>
      <c r="C49" s="79">
        <f>'Industry Cycle Model'!C90</f>
        <v/>
      </c>
      <c r="D49" s="79">
        <f>'Industry Cycle Model'!D90</f>
        <v/>
      </c>
      <c r="E49" s="79">
        <f>'Industry Cycle Model'!E90</f>
        <v/>
      </c>
      <c r="F49" s="79">
        <f>'Industry Cycle Model'!F90</f>
        <v/>
      </c>
      <c r="G49" s="79">
        <f>'Industry Cycle Model'!G90</f>
        <v/>
      </c>
      <c r="H49" s="79">
        <f>'Industry Cycle Model'!H90</f>
        <v/>
      </c>
      <c r="I49" s="79">
        <f>'Industry Cycle Model'!I90</f>
        <v/>
      </c>
      <c r="J49" s="79">
        <f>'Industry Cycle Model'!J90</f>
        <v/>
      </c>
      <c r="K49" s="38" t="n"/>
      <c r="L49" s="166" t="inlineStr">
        <is>
          <t>18</t>
        </is>
      </c>
    </row>
    <row r="50">
      <c r="A50" s="1839" t="inlineStr">
        <is>
          <t>CASH AND BALANCE SHEET</t>
        </is>
      </c>
      <c r="B50" s="1745" t="n"/>
      <c r="C50" s="1745" t="n"/>
      <c r="D50" s="1745" t="n"/>
      <c r="E50" s="1745" t="n"/>
      <c r="F50" s="1745" t="n"/>
      <c r="G50" s="1745" t="n"/>
      <c r="H50" s="1745" t="n"/>
      <c r="I50" s="1745" t="n"/>
      <c r="J50" s="1745" t="n"/>
      <c r="K50" s="1745" t="n"/>
      <c r="L50" s="1840" t="n"/>
    </row>
    <row r="51">
      <c r="A51" s="61" t="inlineStr">
        <is>
          <t>Total capex</t>
        </is>
      </c>
      <c r="B51" s="37" t="inlineStr">
        <is>
          <t>Rs cr</t>
        </is>
      </c>
      <c r="C51" s="1691">
        <f>'Cash Flow Model'!C$104</f>
        <v/>
      </c>
      <c r="D51" s="1691">
        <f>'Cash Flow Model'!D$104</f>
        <v/>
      </c>
      <c r="E51" s="1691">
        <f>'Cash Flow Model'!E$104</f>
        <v/>
      </c>
      <c r="F51" s="1691">
        <f>'Cash Flow Model'!F$104</f>
        <v/>
      </c>
      <c r="G51" s="1691">
        <f>'Cash Flow Model'!G$104</f>
        <v/>
      </c>
      <c r="H51" s="1691">
        <f>'Cash Flow Model'!H$104</f>
        <v/>
      </c>
      <c r="I51" s="1691">
        <f>'Cash Flow Model'!I$104</f>
        <v/>
      </c>
      <c r="J51" s="1691">
        <f>'Cash Flow Model'!J$104</f>
        <v/>
      </c>
      <c r="K51" s="1569">
        <f>IFERROR(IF(AND(ISNUMBER(C51),ISNUMBER(J51),C51&gt;0),(J51/C51)^(1/7)-1,""),"")</f>
        <v/>
      </c>
      <c r="L51" s="166" t="inlineStr">
        <is>
          <t>16</t>
        </is>
      </c>
    </row>
    <row r="52">
      <c r="A52" s="61" t="inlineStr">
        <is>
          <t>Unlevered free cash flow</t>
        </is>
      </c>
      <c r="B52" s="37" t="inlineStr">
        <is>
          <t>Rs cr</t>
        </is>
      </c>
      <c r="C52" s="1691">
        <f>'Cash Flow Model'!C$108</f>
        <v/>
      </c>
      <c r="D52" s="1691">
        <f>'Cash Flow Model'!D$108</f>
        <v/>
      </c>
      <c r="E52" s="1691">
        <f>'Cash Flow Model'!E$108</f>
        <v/>
      </c>
      <c r="F52" s="1691">
        <f>'Cash Flow Model'!F$108</f>
        <v/>
      </c>
      <c r="G52" s="1691">
        <f>'Cash Flow Model'!G$108</f>
        <v/>
      </c>
      <c r="H52" s="1691">
        <f>'Cash Flow Model'!H$108</f>
        <v/>
      </c>
      <c r="I52" s="1691">
        <f>'Cash Flow Model'!I$108</f>
        <v/>
      </c>
      <c r="J52" s="1691">
        <f>'Cash Flow Model'!J$108</f>
        <v/>
      </c>
      <c r="K52" s="1569">
        <f>IFERROR(IF(AND(ISNUMBER(C52),ISNUMBER(J52),C52&gt;0),(J52/C52)^(1/7)-1,""),"")</f>
        <v/>
      </c>
      <c r="L52" s="166" t="inlineStr">
        <is>
          <t>16</t>
        </is>
      </c>
    </row>
    <row r="53">
      <c r="A53" s="61" t="inlineStr">
        <is>
          <t>FCF conversion</t>
        </is>
      </c>
      <c r="B53" s="37" t="inlineStr">
        <is>
          <t>% of EBITDA</t>
        </is>
      </c>
      <c r="C53" s="1569">
        <f>'Cash Flow Model'!C$109</f>
        <v/>
      </c>
      <c r="D53" s="1569">
        <f>'Cash Flow Model'!D$109</f>
        <v/>
      </c>
      <c r="E53" s="1569">
        <f>'Cash Flow Model'!E$109</f>
        <v/>
      </c>
      <c r="F53" s="1569">
        <f>'Cash Flow Model'!F$109</f>
        <v/>
      </c>
      <c r="G53" s="1569">
        <f>'Cash Flow Model'!G$109</f>
        <v/>
      </c>
      <c r="H53" s="1569">
        <f>'Cash Flow Model'!H$109</f>
        <v/>
      </c>
      <c r="I53" s="1569">
        <f>'Cash Flow Model'!I$109</f>
        <v/>
      </c>
      <c r="J53" s="1569">
        <f>'Cash Flow Model'!J$109</f>
        <v/>
      </c>
      <c r="K53" s="38" t="n"/>
      <c r="L53" s="166" t="inlineStr">
        <is>
          <t>16</t>
        </is>
      </c>
    </row>
    <row r="54">
      <c r="A54" s="61" t="inlineStr">
        <is>
          <t>Net debt</t>
        </is>
      </c>
      <c r="B54" s="37" t="inlineStr">
        <is>
          <t>Rs cr</t>
        </is>
      </c>
      <c r="C54" s="1691">
        <f>'Capital Allocation'!C$79</f>
        <v/>
      </c>
      <c r="D54" s="1691">
        <f>'Capital Allocation'!D$79</f>
        <v/>
      </c>
      <c r="E54" s="1691">
        <f>'Capital Allocation'!E$79</f>
        <v/>
      </c>
      <c r="F54" s="1691">
        <f>'Capital Allocation'!F$79</f>
        <v/>
      </c>
      <c r="G54" s="1691">
        <f>'Capital Allocation'!G$79</f>
        <v/>
      </c>
      <c r="H54" s="1691">
        <f>'Capital Allocation'!H$79</f>
        <v/>
      </c>
      <c r="I54" s="1691">
        <f>'Capital Allocation'!I$79</f>
        <v/>
      </c>
      <c r="J54" s="1691">
        <f>'Capital Allocation'!J$79</f>
        <v/>
      </c>
      <c r="K54" s="1569">
        <f>IFERROR(IF(AND(ISNUMBER(C54),ISNUMBER(J54),C54&gt;0),(J54/C54)^(1/7)-1,""),"")</f>
        <v/>
      </c>
      <c r="L54" s="166" t="inlineStr">
        <is>
          <t>17</t>
        </is>
      </c>
    </row>
    <row r="55">
      <c r="A55" s="61" t="inlineStr">
        <is>
          <t>Net debt / EBITDA</t>
        </is>
      </c>
      <c r="B55" s="37" t="inlineStr">
        <is>
          <t>x</t>
        </is>
      </c>
      <c r="C55" s="1733" t="n">
        <v>1.070998714565345</v>
      </c>
      <c r="D55" s="1733" t="inlineStr"/>
      <c r="E55" s="1733" t="inlineStr"/>
      <c r="F55" s="1733" t="inlineStr"/>
      <c r="G55" s="1733" t="inlineStr"/>
      <c r="H55" s="1733" t="inlineStr"/>
      <c r="I55" s="1733" t="inlineStr"/>
      <c r="J55" s="1733" t="inlineStr"/>
      <c r="K55" s="38" t="n"/>
      <c r="L55" s="166" t="inlineStr">
        <is>
          <t>17</t>
        </is>
      </c>
    </row>
    <row r="56">
      <c r="A56" s="1839" t="inlineStr">
        <is>
          <t>TRADE</t>
        </is>
      </c>
      <c r="B56" s="1745" t="n"/>
      <c r="C56" s="1745" t="n"/>
      <c r="D56" s="1745" t="n"/>
      <c r="E56" s="1745" t="n"/>
      <c r="F56" s="1745" t="n"/>
      <c r="G56" s="1745" t="n"/>
      <c r="H56" s="1745" t="n"/>
      <c r="I56" s="1745" t="n"/>
      <c r="J56" s="1745" t="n"/>
      <c r="K56" s="1745" t="n"/>
      <c r="L56" s="1840" t="n"/>
    </row>
    <row r="57">
      <c r="A57" s="61" t="inlineStr">
        <is>
          <t>Finished steel imports</t>
        </is>
      </c>
      <c r="B57" s="37" t="inlineStr">
        <is>
          <t>Mt</t>
        </is>
      </c>
      <c r="C57" s="1563">
        <f>'Trade Model'!C$70</f>
        <v/>
      </c>
      <c r="D57" s="1563">
        <f>'Trade Model'!D$70</f>
        <v/>
      </c>
      <c r="E57" s="1563">
        <f>'Trade Model'!E$70</f>
        <v/>
      </c>
      <c r="F57" s="1563">
        <f>'Trade Model'!F$70</f>
        <v/>
      </c>
      <c r="G57" s="1563">
        <f>'Trade Model'!G$70</f>
        <v/>
      </c>
      <c r="H57" s="1563">
        <f>'Trade Model'!H$70</f>
        <v/>
      </c>
      <c r="I57" s="1563">
        <f>'Trade Model'!I$70</f>
        <v/>
      </c>
      <c r="J57" s="1563">
        <f>'Trade Model'!J$70</f>
        <v/>
      </c>
      <c r="K57" s="1569">
        <f>IFERROR(IF(AND(ISNUMBER(C57),ISNUMBER(J57),C57&gt;0),(J57/C57)^(1/7)-1,""),"")</f>
        <v/>
      </c>
      <c r="L57" s="166" t="inlineStr">
        <is>
          <t>19</t>
        </is>
      </c>
    </row>
    <row r="58">
      <c r="A58" s="61" t="inlineStr">
        <is>
          <t>Finished steel exports</t>
        </is>
      </c>
      <c r="B58" s="37" t="inlineStr">
        <is>
          <t>Mt</t>
        </is>
      </c>
      <c r="C58" s="1563">
        <f>'Trade Model'!C$72</f>
        <v/>
      </c>
      <c r="D58" s="1563">
        <f>'Trade Model'!D$72</f>
        <v/>
      </c>
      <c r="E58" s="1563">
        <f>'Trade Model'!E$72</f>
        <v/>
      </c>
      <c r="F58" s="1563">
        <f>'Trade Model'!F$72</f>
        <v/>
      </c>
      <c r="G58" s="1563">
        <f>'Trade Model'!G$72</f>
        <v/>
      </c>
      <c r="H58" s="1563">
        <f>'Trade Model'!H$72</f>
        <v/>
      </c>
      <c r="I58" s="1563">
        <f>'Trade Model'!I$72</f>
        <v/>
      </c>
      <c r="J58" s="1563">
        <f>'Trade Model'!J$72</f>
        <v/>
      </c>
      <c r="K58" s="1569">
        <f>IFERROR(IF(AND(ISNUMBER(C58),ISNUMBER(J58),C58&gt;0),(J58/C58)^(1/7)-1,""),"")</f>
        <v/>
      </c>
      <c r="L58" s="166" t="inlineStr">
        <is>
          <t>19</t>
        </is>
      </c>
    </row>
    <row r="59">
      <c r="A59" s="61" t="inlineStr">
        <is>
          <t>Net trade position</t>
        </is>
      </c>
      <c r="B59" s="37" t="inlineStr">
        <is>
          <t>Mt</t>
        </is>
      </c>
      <c r="C59" s="1563">
        <f>'Trade Model'!C$79</f>
        <v/>
      </c>
      <c r="D59" s="1563">
        <f>'Trade Model'!D$79</f>
        <v/>
      </c>
      <c r="E59" s="1563">
        <f>'Trade Model'!E$79</f>
        <v/>
      </c>
      <c r="F59" s="1563">
        <f>'Trade Model'!F$79</f>
        <v/>
      </c>
      <c r="G59" s="1563">
        <f>'Trade Model'!G$79</f>
        <v/>
      </c>
      <c r="H59" s="1563">
        <f>'Trade Model'!H$79</f>
        <v/>
      </c>
      <c r="I59" s="1563">
        <f>'Trade Model'!I$79</f>
        <v/>
      </c>
      <c r="J59" s="1563">
        <f>'Trade Model'!J$79</f>
        <v/>
      </c>
      <c r="K59" s="1569">
        <f>IFERROR(IF(AND(ISNUMBER(C59),ISNUMBER(J59),C59&gt;0),(J59/C59)^(1/7)-1,""),"")</f>
        <v/>
      </c>
      <c r="L59" s="166" t="inlineStr">
        <is>
          <t>19</t>
        </is>
      </c>
    </row>
    <row r="60">
      <c r="A60" s="61" t="inlineStr">
        <is>
          <t>Import penetration</t>
        </is>
      </c>
      <c r="B60" s="37" t="inlineStr">
        <is>
          <t>% of consumption</t>
        </is>
      </c>
      <c r="C60" s="1569">
        <f>'Trade Model'!C$77</f>
        <v/>
      </c>
      <c r="D60" s="1569">
        <f>'Trade Model'!D$77</f>
        <v/>
      </c>
      <c r="E60" s="1569">
        <f>'Trade Model'!E$77</f>
        <v/>
      </c>
      <c r="F60" s="1569">
        <f>'Trade Model'!F$77</f>
        <v/>
      </c>
      <c r="G60" s="1569">
        <f>'Trade Model'!G$77</f>
        <v/>
      </c>
      <c r="H60" s="1569">
        <f>'Trade Model'!H$77</f>
        <v/>
      </c>
      <c r="I60" s="1569">
        <f>'Trade Model'!I$77</f>
        <v/>
      </c>
      <c r="J60" s="1569">
        <f>'Trade Model'!J$77</f>
        <v/>
      </c>
      <c r="K60" s="38" t="n"/>
      <c r="L60" s="166" t="inlineStr">
        <is>
          <t>19</t>
        </is>
      </c>
    </row>
    <row r="61">
      <c r="A61" s="1839" t="inlineStr">
        <is>
          <t>RETURNS</t>
        </is>
      </c>
      <c r="B61" s="1745" t="n"/>
      <c r="C61" s="1745" t="n"/>
      <c r="D61" s="1745" t="n"/>
      <c r="E61" s="1745" t="n"/>
      <c r="F61" s="1745" t="n"/>
      <c r="G61" s="1745" t="n"/>
      <c r="H61" s="1745" t="n"/>
      <c r="I61" s="1745" t="n"/>
      <c r="J61" s="1745" t="n"/>
      <c r="K61" s="1745" t="n"/>
      <c r="L61" s="1840" t="n"/>
    </row>
    <row r="62">
      <c r="A62" s="61" t="inlineStr">
        <is>
          <t>ROIC (indicative)</t>
        </is>
      </c>
      <c r="B62" s="37" t="inlineStr">
        <is>
          <t>%</t>
        </is>
      </c>
      <c r="C62" s="1569">
        <f>'Comparable Valuation'!C$147</f>
        <v/>
      </c>
      <c r="D62" s="1569">
        <f>'Comparable Valuation'!D$147</f>
        <v/>
      </c>
      <c r="E62" s="1569">
        <f>'Comparable Valuation'!E$147</f>
        <v/>
      </c>
      <c r="F62" s="1569">
        <f>'Comparable Valuation'!F$147</f>
        <v/>
      </c>
      <c r="G62" s="1569">
        <f>'Comparable Valuation'!G$147</f>
        <v/>
      </c>
      <c r="H62" s="1569">
        <f>'Comparable Valuation'!H$147</f>
        <v/>
      </c>
      <c r="I62" s="1569">
        <f>'Comparable Valuation'!I$147</f>
        <v/>
      </c>
      <c r="J62" s="1569">
        <f>'Comparable Valuation'!J$147</f>
        <v/>
      </c>
      <c r="K62" s="38" t="n"/>
      <c r="L62" s="166" t="inlineStr">
        <is>
          <t>23</t>
        </is>
      </c>
    </row>
    <row r="63" ht="15" customHeight="1" thickBot="1">
      <c r="A63" s="64" t="inlineStr">
        <is>
          <t>ROIC less WACC</t>
        </is>
      </c>
      <c r="B63" s="65" t="inlineStr">
        <is>
          <t>ppt</t>
        </is>
      </c>
      <c r="C63" s="1713">
        <f>'Comparable Valuation'!C$148</f>
        <v/>
      </c>
      <c r="D63" s="1713">
        <f>'Comparable Valuation'!D$148</f>
        <v/>
      </c>
      <c r="E63" s="1713">
        <f>'Comparable Valuation'!E$148</f>
        <v/>
      </c>
      <c r="F63" s="1713">
        <f>'Comparable Valuation'!F$148</f>
        <v/>
      </c>
      <c r="G63" s="1713">
        <f>'Comparable Valuation'!G$148</f>
        <v/>
      </c>
      <c r="H63" s="1713">
        <f>'Comparable Valuation'!H$148</f>
        <v/>
      </c>
      <c r="I63" s="1713">
        <f>'Comparable Valuation'!I$148</f>
        <v/>
      </c>
      <c r="J63" s="1713">
        <f>'Comparable Valuation'!J$148</f>
        <v/>
      </c>
      <c r="K63" s="66" t="n"/>
      <c r="L63" s="167" t="inlineStr">
        <is>
          <t>23</t>
        </is>
      </c>
    </row>
    <row r="65">
      <c r="A65" s="1132" t="inlineStr">
        <is>
          <t>Change the scenario on 01 Control Panel and this page re-states entirely. Read alongside 22 Sensitivity section E, which states how much of this rests on unsourced inputs.</t>
        </is>
      </c>
    </row>
  </sheetData>
  <mergeCells count="9">
    <mergeCell ref="A38:L38"/>
    <mergeCell ref="A5:F5"/>
    <mergeCell ref="A31:L31"/>
    <mergeCell ref="A61:L61"/>
    <mergeCell ref="A44:L44"/>
    <mergeCell ref="A2:D2"/>
    <mergeCell ref="A56:L56"/>
    <mergeCell ref="A50:L50"/>
    <mergeCell ref="A65:L65"/>
  </mergeCells>
  <hyperlinks>
    <hyperlink ref="B7" location="Index!A1" display="Index"/>
    <hyperlink ref="C7" location="'Control Panel'!A1" display="Control Panel"/>
    <hyperlink ref="D7" location="'Model Assumptions'!A1" display="Assumptions"/>
    <hyperlink ref="E7" location="'Comparable Valuation'!A1" display="Valuation"/>
    <hyperlink ref="F7" location="'Sensitivity Analysis'!A1" display="Sensitivity"/>
    <hyperlink xmlns:r="http://schemas.openxmlformats.org/officeDocument/2006/relationships" ref="G7" r:id="rId1"/>
  </hyperlinks>
  <pageMargins left="0.7" right="0.7" top="0.75" bottom="0.75" header="0.3" footer="0.3"/>
</worksheet>
</file>

<file path=xl/worksheets/sheet30.xml><?xml version="1.0" encoding="utf-8"?>
<worksheet xmlns="http://schemas.openxmlformats.org/spreadsheetml/2006/main">
  <sheetPr codeName="Sheet30">
    <tabColor theme="8" tint="0.5999938962981048"/>
    <outlinePr summaryBelow="1" summaryRight="1"/>
    <pageSetUpPr/>
  </sheetPr>
  <dimension ref="A1:E55"/>
  <sheetViews>
    <sheetView showGridLines="0" workbookViewId="0">
      <selection activeCell="B16" sqref="B16"/>
    </sheetView>
  </sheetViews>
  <sheetFormatPr baseColWidth="8" defaultRowHeight="14.4"/>
  <cols>
    <col width="13" customWidth="1" style="1262" min="1" max="1"/>
    <col width="56" customWidth="1" style="1262" min="2" max="2"/>
    <col width="14" customWidth="1" style="1262" min="3" max="3"/>
    <col width="100" customWidth="1" style="1262" min="4" max="4"/>
    <col width="21.77734375" customWidth="1" style="1262" min="5" max="5"/>
    <col width="13" customWidth="1" style="1262" min="6" max="10"/>
    <col width="12" customWidth="1" style="1262" min="11" max="11"/>
    <col width="22" customWidth="1" style="1262" min="12" max="12"/>
    <col width="12" customWidth="1" style="1262" min="13" max="13"/>
    <col width="100" customWidth="1" style="1262" min="14" max="14"/>
    <col width="8.88671875" customWidth="1" style="1262" min="15" max="16384"/>
  </cols>
  <sheetData>
    <row r="1" ht="21" customHeight="1">
      <c r="A1" s="1334" t="inlineStr">
        <is>
          <t>25  Audit Checks</t>
        </is>
      </c>
    </row>
    <row r="2">
      <c r="A2" s="1136" t="inlineStr">
        <is>
          <t>Industry Financial Model  |  Indian Steel Industry  |  Horizon FY2027E-FY2033E  |  Base year FY2026A  |  Built 03-Aug-2026</t>
        </is>
      </c>
    </row>
    <row r="3">
      <c r="A3" s="1167" t="n"/>
    </row>
    <row r="4">
      <c r="A4" s="1145" t="inlineStr">
        <is>
          <t>OBJECTIVE</t>
        </is>
      </c>
    </row>
    <row r="5">
      <c r="A5" s="1134" t="inlineStr">
        <is>
          <t>Thirty live validations. Every one is a formula, so they re-run automatically whenever a driver or the scenario changes.</t>
        </is>
      </c>
    </row>
    <row r="6">
      <c r="A6" s="1145" t="inlineStr">
        <is>
          <t>METHODOLOGY</t>
        </is>
      </c>
    </row>
    <row r="7" ht="27.6" customHeight="1">
      <c r="A7" s="1134" t="inlineStr">
        <is>
          <t>Checks are grouped: structural integrity, identity reconciliation, economic plausibility, cross-sheet consistency, and known model limitations. The limitations block is not a set of tests - it is a standing disclosure of what this model does NOT do, which is as important to a reviewer as what it does.</t>
        </is>
      </c>
    </row>
    <row r="8">
      <c r="A8" s="1145" t="inlineStr">
        <is>
          <t>UNITS</t>
        </is>
      </c>
    </row>
    <row r="9">
      <c r="A9" s="1134" t="inlineStr">
        <is>
          <t>PASS, FAIL or WARN.</t>
        </is>
      </c>
    </row>
    <row r="10">
      <c r="A10" s="1145" t="inlineStr">
        <is>
          <t>DEPENDENCIES</t>
        </is>
      </c>
    </row>
    <row r="11">
      <c r="A11" s="1134" t="inlineStr">
        <is>
          <t>Thirty live validations. Every one is a formula, so they re-run automatically whenever a driver or the scenario changes.</t>
        </is>
      </c>
    </row>
    <row r="12" ht="15" customHeight="1" thickBot="1">
      <c r="A12" s="1167" t="n"/>
    </row>
    <row r="13">
      <c r="A13" s="168" t="inlineStr">
        <is>
          <t>Check ID</t>
        </is>
      </c>
      <c r="B13" s="1316" t="inlineStr">
        <is>
          <t>Validation</t>
        </is>
      </c>
      <c r="C13" s="58" t="inlineStr">
        <is>
          <t>Result</t>
        </is>
      </c>
      <c r="D13" s="1316" t="inlineStr">
        <is>
          <t>What it proves / what to do if it fails</t>
        </is>
      </c>
      <c r="E13" s="1802" t="n"/>
    </row>
    <row r="14">
      <c r="A14" s="25" t="inlineStr">
        <is>
          <t>A01</t>
        </is>
      </c>
      <c r="B14" s="36" t="inlineStr">
        <is>
          <t>No negative capacity in any forecast year</t>
        </is>
      </c>
      <c r="C14" s="24">
        <f>IF(MIN('Capacity Forecast'!D$96:J$96)&gt;0,"PASS","FAIL")</f>
        <v/>
      </c>
      <c r="D14" s="1306" t="inlineStr">
        <is>
          <t>Capacity must be strictly positive. A failure means the delivery factor or secondary additions driver has been set to an impossible value.</t>
        </is>
      </c>
      <c r="E14" s="1805" t="n"/>
    </row>
    <row r="15">
      <c r="A15" s="25" t="inlineStr">
        <is>
          <t>A02</t>
        </is>
      </c>
      <c r="B15" s="36" t="inlineStr">
        <is>
          <t>Capacity is monotonically non-decreasing</t>
        </is>
      </c>
      <c r="C15" s="24">
        <f t="array" ref="C15">IF(SUMPRODUCT(--('Capacity Forecast'!D$95:J$95&lt;0))=0,"PASS","FAIL")</f>
        <v/>
      </c>
      <c r="D15" s="1306" t="inlineStr">
        <is>
          <t>The model does not permit capacity closures. If a scenario should include closures, add them as negative entries in the project tracker.</t>
        </is>
      </c>
      <c r="E15" s="1805" t="n"/>
    </row>
    <row r="16">
      <c r="A16" s="25" t="inlineStr">
        <is>
          <t>A03</t>
        </is>
      </c>
      <c r="B16" s="36" t="inlineStr">
        <is>
          <t>Capacity utilisation never exceeds 100%</t>
        </is>
      </c>
      <c r="C16" s="24">
        <f>IF(MAX('Capacity Utilisation'!D$65:J$65)&lt;=1,"PASS","FAIL")</f>
        <v/>
      </c>
      <c r="D16" s="1306" t="inlineStr">
        <is>
          <t>Physically impossible above 100%. Guarded by the ceiling on 05, so a failure indicates the ceiling has been bypassed.</t>
        </is>
      </c>
      <c r="E16" s="1805" t="n"/>
    </row>
    <row r="17">
      <c r="A17" s="25" t="inlineStr">
        <is>
          <t>A04</t>
        </is>
      </c>
      <c r="B17" s="36" t="inlineStr">
        <is>
          <t>Capacity utilisation never exceeds the practical maximum</t>
        </is>
      </c>
      <c r="C17" s="24">
        <f>IF(MAX('Capacity Utilisation'!D$65:J$65)&lt;=MAX('Steel Supply Model'!D$86:J$86)+0.0001,"PASS","FAIL")</f>
        <v/>
      </c>
      <c r="D17" s="1306" t="inlineStr">
        <is>
          <t>Confirms the MIN() ceiling on 05 Steel Supply is actually binding where it should.</t>
        </is>
      </c>
      <c r="E17" s="1805" t="n"/>
    </row>
    <row r="18">
      <c r="A18" s="25" t="inlineStr">
        <is>
          <t>A05</t>
        </is>
      </c>
      <c r="B18" s="36" t="inlineStr">
        <is>
          <t>Capacity utilisation is above a plausible floor of 55%</t>
        </is>
      </c>
      <c r="C18" s="24">
        <f>IF(MIN('Capacity Utilisation'!D$65:J$65)&gt;=0.55,"PASS","WARN")</f>
        <v/>
      </c>
      <c r="D18" s="1306" t="inlineStr">
        <is>
          <t>Below 55% would imply mass idling that the model does not represent. A WARN means the capacity path is far ahead of the demand path.</t>
        </is>
      </c>
      <c r="E18" s="1805" t="n"/>
    </row>
    <row r="19">
      <c r="A19" s="25" t="inlineStr">
        <is>
          <t>A06</t>
        </is>
      </c>
      <c r="B19" s="36" t="inlineStr">
        <is>
          <t>Consumption is positive and growing in every year</t>
        </is>
      </c>
      <c r="C19" s="24">
        <f t="array" ref="C19">IF(AND(MIN('Steel Demand Model'!D$75:J$75)&gt;0,SUMPRODUCT(--('Steel Demand Model'!D$74:J$74&lt;0))=0),"PASS","WARN")</f>
        <v/>
      </c>
      <c r="D19" s="1306" t="inlineStr">
        <is>
          <t>Indian consumption has contracted only once in twelve years (FY2021, -5.27%). A WARN flags a scenario assuming contraction, which needs justification.</t>
        </is>
      </c>
      <c r="E19" s="1805" t="n"/>
    </row>
    <row r="20" ht="27.6" customHeight="1">
      <c r="A20" s="25" t="inlineStr">
        <is>
          <t>A07</t>
        </is>
      </c>
      <c r="B20" s="36" t="inlineStr">
        <is>
          <t>SUPPLY IDENTITY: production equals consumption plus net exports plus stock change</t>
        </is>
      </c>
      <c r="C20" s="24">
        <f t="array" ref="C20">IF(SUMPRODUCT(ABS('Steel Supply Model'!D$81:J$81-('Steel Supply Model'!D$78:J$78+'Steel Supply Model'!D$79:J$79+'Steel Supply Model'!D$80:J$80)))&lt;0.05,"PASS","FAIL")</f>
        <v/>
      </c>
      <c r="D20" s="1306" t="inlineStr">
        <is>
          <t>THE MOST IMPORTANT CHECK ON THE SHEET. This is the Joint Plant Committee's own identity. A failure means the demand and trade blocks have drifted apart and every downstream number is wrong.</t>
        </is>
      </c>
      <c r="E20" s="1805" t="n"/>
    </row>
    <row r="21">
      <c r="A21" s="25" t="inlineStr">
        <is>
          <t>A08</t>
        </is>
      </c>
      <c r="B21" s="36" t="inlineStr">
        <is>
          <t>FY2026A supply identity reconciles to reported actuals</t>
        </is>
      </c>
      <c r="C21" s="24">
        <f>IF(ABS(160.94-(163.74+0.078+-2.88))&lt;0.01,"PASS","FAIL")</f>
        <v/>
      </c>
      <c r="D21" s="1306" t="inlineStr">
        <is>
          <t>163.74 + 0.078 - 2.88 = 160.94, which equals reported FY2026 finished steel production. Proves the base year is internally consistent before any forecasting begins.</t>
        </is>
      </c>
      <c r="E21" s="1805" t="n"/>
    </row>
    <row r="22">
      <c r="A22" s="25" t="inlineStr">
        <is>
          <t>A09</t>
        </is>
      </c>
      <c r="B22" s="36" t="inlineStr">
        <is>
          <t>Crude steel production is at least finished steel production</t>
        </is>
      </c>
      <c r="C22" s="24">
        <f t="array" ref="C22">IF(SUMPRODUCT(--('Steel Supply Model'!D$88:J$88&lt;'Steel Supply Model'!D$90:J$90))=0,"PASS","FAIL")</f>
        <v/>
      </c>
      <c r="D22" s="1306" t="inlineStr">
        <is>
          <t>Yield loss means crude must exceed finished. A failure means the crude-to-finished ratio has been set below 1.0.</t>
        </is>
      </c>
      <c r="E22" s="1805" t="n"/>
    </row>
    <row r="23" ht="27.6" customHeight="1">
      <c r="A23" s="25" t="inlineStr">
        <is>
          <t>A10</t>
        </is>
      </c>
      <c r="B23" s="36" t="inlineStr">
        <is>
          <t>MARGIN BRIDGE: realisation change plus cost change equals EBITDA/t change</t>
        </is>
      </c>
      <c r="C23" s="24">
        <f t="array" ref="C23">IF(SUMPRODUCT(ABS('Margin Analysis'!D$85:J$85-('Margin Analysis'!D$80:J$80-10733)))&lt;5,"PASS","FAIL")</f>
        <v/>
      </c>
      <c r="D23" s="1306" t="inlineStr">
        <is>
          <t>Proves the margin decomposition on 14 is arithmetically complete - no unexplained residual between the price and cost effects.</t>
        </is>
      </c>
      <c r="E23" s="1805" t="n"/>
    </row>
    <row r="24">
      <c r="A24" s="25" t="inlineStr">
        <is>
          <t>A11</t>
        </is>
      </c>
      <c r="B24" s="36" t="inlineStr">
        <is>
          <t>EBITDA equals production times EBITDA per tonne divided by 10</t>
        </is>
      </c>
      <c r="C24" s="24">
        <f t="array" ref="C24">IF(SUMPRODUCT(ABS('EBITDA Model'!D$103:J$103-'EBITDA Model'!D$102:J$102*'EBITDA Model'!D$101:J$101/10))&lt;1,"PASS","FAIL")</f>
        <v/>
      </c>
      <c r="D24" s="1306" t="inlineStr">
        <is>
          <t>Unit-consistency check on the Rs/t to Rs crore bridge. This is where factor-of-ten errors hide.</t>
        </is>
      </c>
      <c r="E24" s="1805" t="n"/>
    </row>
    <row r="25">
      <c r="A25" s="25" t="inlineStr">
        <is>
          <t>A12</t>
        </is>
      </c>
      <c r="B25" s="36" t="inlineStr">
        <is>
          <t>Revenue equals production times realisation divided by 10</t>
        </is>
      </c>
      <c r="C25" s="24">
        <f t="array" ref="C25">IF(SUMPRODUCT(ABS('Revenue Forecast'!D$95:J$95-'Revenue Forecast'!D$93:J$93*'Revenue Forecast'!D$94:J$94/10))&lt;1,"PASS","FAIL")</f>
        <v/>
      </c>
      <c r="D25" s="1306" t="inlineStr">
        <is>
          <t>Same unit bridge on the revenue line.</t>
        </is>
      </c>
      <c r="E25" s="1805" t="n"/>
    </row>
    <row r="26">
      <c r="A26" s="25" t="inlineStr">
        <is>
          <t>A13</t>
        </is>
      </c>
      <c r="B26" s="36" t="inlineStr">
        <is>
          <t>EBITDA per tonne equals realisation less cash cost</t>
        </is>
      </c>
      <c r="C26" s="24">
        <f t="array" ref="C26">IF(SUMPRODUCT(ABS('EBITDA Model'!D$101:J$101-('EBITDA Model'!D$99:J$99-'EBITDA Model'!D$100:J$100)))&lt;1,"PASS","FAIL")</f>
        <v/>
      </c>
      <c r="D26" s="1306" t="inlineStr">
        <is>
          <t>Confirms EBITDA is built as a spread, not as a margin applied to revenue.</t>
        </is>
      </c>
      <c r="E26" s="1805" t="n"/>
    </row>
    <row r="27" ht="27.6" customHeight="1">
      <c r="A27" s="25" t="inlineStr">
        <is>
          <t>A14</t>
        </is>
      </c>
      <c r="B27" s="36" t="inlineStr">
        <is>
          <t>Industry EBITDA margin lies within the observed envelope of -7% to +26%</t>
        </is>
      </c>
      <c r="C27" s="24">
        <f>IF(AND(MIN('Margin Analysis'!D$81:J$81)&gt;=-0.07,MAX('Margin Analysis'!D$81:J$81)&lt;=0.26),"PASS","WARN")</f>
        <v/>
      </c>
      <c r="D27" s="1306" t="inlineStr">
        <is>
          <t>The envelope is the FY2022 observed peak and the SAIL FY2016 worst observation. A WARN is expected in the Stress Case, which deliberately breaches the floor at -9.2%. Outside the envelope is not automatically wrong, but it must be justified.</t>
        </is>
      </c>
      <c r="E27" s="1805" t="n"/>
    </row>
    <row r="28">
      <c r="A28" s="25" t="inlineStr">
        <is>
          <t>A15</t>
        </is>
      </c>
      <c r="B28" s="36" t="inlineStr">
        <is>
          <t>Cash cost is positive in every year</t>
        </is>
      </c>
      <c r="C28" s="24">
        <f>IF(MIN('Cost Curve'!D$65:J$65)&gt;0,"PASS","FAIL")</f>
        <v/>
      </c>
      <c r="D28" s="1306" t="inlineStr">
        <is>
          <t>A non-positive cash cost is impossible.</t>
        </is>
      </c>
      <c r="E28" s="1805" t="n"/>
    </row>
    <row r="29">
      <c r="A29" s="25" t="inlineStr">
        <is>
          <t>A16</t>
        </is>
      </c>
      <c r="B29" s="36" t="inlineStr">
        <is>
          <t>Realisation is positive in every year</t>
        </is>
      </c>
      <c r="C29" s="24">
        <f>IF(MIN('Steel Price Forecast'!D$72:J$72)&gt;0,"PASS","FAIL")</f>
        <v/>
      </c>
      <c r="D29" s="1306" t="inlineStr">
        <is>
          <t>Guards against a price adjustment factor driving realisation to or below zero.</t>
        </is>
      </c>
      <c r="E29" s="1805" t="n"/>
    </row>
    <row r="30">
      <c r="A30" s="25" t="inlineStr">
        <is>
          <t>A17</t>
        </is>
      </c>
      <c r="B30" s="36" t="inlineStr">
        <is>
          <t>Price adjustment factor stays within a plausible 0.85x to 1.15x band</t>
        </is>
      </c>
      <c r="C30" s="24">
        <f>IF(AND(MIN('Steel Price Forecast'!D$71:J$71)&gt;=0.85,MAX('Steel Price Forecast'!D$71:J$71)&lt;=1.15),"PASS","WARN")</f>
        <v/>
      </c>
      <c r="D30" s="1306" t="inlineStr">
        <is>
          <t>The utilisation feedback should modulate price, not dominate it. A WARN means the elasticity D23 or the utilisation path is extreme.</t>
        </is>
      </c>
      <c r="E30" s="1805" t="n"/>
    </row>
    <row r="31">
      <c r="A31" s="25" t="inlineStr">
        <is>
          <t>A18</t>
        </is>
      </c>
      <c r="B31" s="36" t="inlineStr">
        <is>
          <t>Cash tax is never negative</t>
        </is>
      </c>
      <c r="C31" s="24">
        <f>IF(MIN('Cash Flow Model'!D$96:J$96)&gt;=0,"PASS","FAIL")</f>
        <v/>
      </c>
      <c r="D31" s="1306" t="inlineStr">
        <is>
          <t>Tax is floored at zero on negative EBIT. No loss carry-forward is modelled, which is conservative and disclosed.</t>
        </is>
      </c>
      <c r="E31" s="1805" t="n"/>
    </row>
    <row r="32">
      <c r="A32" s="25" t="inlineStr">
        <is>
          <t>A19</t>
        </is>
      </c>
      <c r="B32" s="36" t="inlineStr">
        <is>
          <t>Net working capital is positive in every year</t>
        </is>
      </c>
      <c r="C32" s="24">
        <f>IF(MIN('Working Capital Model'!D$71:J$71)&gt;0,"PASS","FAIL")</f>
        <v/>
      </c>
      <c r="D32" s="1306" t="inlineStr">
        <is>
          <t>Steel producers carry positive working capital. Negative would indicate a sign error in the days driver.</t>
        </is>
      </c>
      <c r="E32" s="1805" t="n"/>
    </row>
    <row r="33" ht="25.2" customHeight="1">
      <c r="A33" s="25" t="inlineStr">
        <is>
          <t>A20</t>
        </is>
      </c>
      <c r="B33" s="36" t="inlineStr">
        <is>
          <t>WACC used downstream matches the WACC build-up on 02 Section D</t>
        </is>
      </c>
      <c r="C33" s="24">
        <f>IF(ABS('Model Assumptions'!E$27-'Model Assumptions'!$D$168)&lt;0.005,"PASS","WARN")</f>
        <v/>
      </c>
      <c r="D33" s="1306" t="inlineStr">
        <is>
          <t>Driver D20 is what the model discounts at; Section D is the transparent build-up. If they diverge, one of them has been edited without the other - reconcile before using any valuation output.</t>
        </is>
      </c>
      <c r="E33" s="1805" t="n"/>
    </row>
    <row r="34" ht="27" customHeight="1">
      <c r="A34" s="25" t="inlineStr">
        <is>
          <t>A21</t>
        </is>
      </c>
      <c r="B34" s="36" t="inlineStr">
        <is>
          <t>Terminal value is less than 75% of enterprise value</t>
        </is>
      </c>
      <c r="C34" s="24">
        <f>IF(IFERROR('Comparable Valuation'!$D$139,0)&lt;0.75,"PASS","WARN")</f>
        <v/>
      </c>
      <c r="D34" s="1306" t="inlineStr">
        <is>
          <t>Above 75% the valuation is essentially an assertion about the exit multiple - which is UNSOURCED - rather than a forecast. Shorten the horizon or re-base the multiple.</t>
        </is>
      </c>
      <c r="E34" s="1805" t="n"/>
    </row>
    <row r="35">
      <c r="A35" s="25" t="inlineStr">
        <is>
          <t>A22</t>
        </is>
      </c>
      <c r="B35" s="36" t="inlineStr">
        <is>
          <t>Discount factors are strictly decreasing</t>
        </is>
      </c>
      <c r="C35" s="24">
        <f t="array" ref="C35">IF(SUMPRODUCT(--('Comparable Valuation'!D$130:I$130&gt;'Comparable Valuation'!E$130:J$130))=6,"PASS","FAIL")</f>
        <v/>
      </c>
      <c r="D35" s="1306" t="inlineStr">
        <is>
          <t>Confirms the mid-year discounting convention is applied consistently.</t>
        </is>
      </c>
      <c r="E35" s="1805" t="n"/>
    </row>
    <row r="36">
      <c r="A36" s="25" t="inlineStr">
        <is>
          <t>A23</t>
        </is>
      </c>
      <c r="B36" s="36" t="inlineStr">
        <is>
          <t>Imports and exports are both non-negative</t>
        </is>
      </c>
      <c r="C36" s="24">
        <f>IF(AND(MIN('Trade Model'!D$70:J$70)&gt;=0,MIN('Trade Model'!D$72:J$72)&gt;=0),"PASS","FAIL")</f>
        <v/>
      </c>
      <c r="D36" s="1306" t="inlineStr">
        <is>
          <t>A negative export volume would mean the net export driver has overwhelmed the import driver - the two must be set coherently.</t>
        </is>
      </c>
      <c r="E36" s="1805" t="n"/>
    </row>
    <row r="37">
      <c r="A37" s="25" t="inlineStr">
        <is>
          <t>A24</t>
        </is>
      </c>
      <c r="B37" s="36" t="inlineStr">
        <is>
          <t>Trade block reconciles to the supply balance</t>
        </is>
      </c>
      <c r="C37" s="24">
        <f t="array" ref="C37">IF(SUMPRODUCT(ABS(('Trade Model'!D$72:J$72-'Trade Model'!D$68:J$68)-'Trade Model'!D$71:J$71))&lt;0.05,"PASS","FAIL")</f>
        <v/>
      </c>
      <c r="D37" s="1306" t="inlineStr">
        <is>
          <t>Exports less the import driver must equal net exports by construction. Proves 19 has not drifted from 05.</t>
        </is>
      </c>
      <c r="E37" s="1805" t="n"/>
    </row>
    <row r="38">
      <c r="A38" s="25" t="inlineStr">
        <is>
          <t>A25</t>
        </is>
      </c>
      <c r="B38" s="36" t="inlineStr">
        <is>
          <t>Import penetration stays below 20% of consumption</t>
        </is>
      </c>
      <c r="C38" s="24">
        <f>IF(MAX('Trade Model'!D$77:J$77)&lt;0.2,"PASS","WARN")</f>
        <v/>
      </c>
      <c r="D38" s="1306" t="inlineStr">
        <is>
          <t>The historical maximum in the database is 6.3% (FY2025). Above 20% would imply a collapse in domestic competitiveness that the price deck does not reflect.</t>
        </is>
      </c>
      <c r="E38" s="1805" t="n"/>
    </row>
    <row r="39" ht="27.6" customHeight="1">
      <c r="A39" s="25" t="inlineStr">
        <is>
          <t>A26</t>
        </is>
      </c>
      <c r="B39" s="36" t="inlineStr">
        <is>
          <t>FY2031 capacity is within 10% of the National Steel Policy 300 Mtpa target</t>
        </is>
      </c>
      <c r="C39" s="24">
        <f>IF(ABS('Capacity Forecast'!H$101-1)&lt;0.1,"PASS","WARN")</f>
        <v/>
      </c>
      <c r="D39" s="1306" t="inlineStr">
        <is>
          <t>An external validation, not a constraint. The capacity block was built bottom-up and was not calibrated to the policy target, so close agreement is evidence the build is sensible. A WARN in the Bear or Stress case is expected and correct.</t>
        </is>
      </c>
      <c r="E39" s="1805" t="n"/>
    </row>
    <row r="40" ht="27.6" customHeight="1">
      <c r="A40" s="25" t="inlineStr">
        <is>
          <t>A27</t>
        </is>
      </c>
      <c r="B40" s="36" t="inlineStr">
        <is>
          <t>Scenario tie-out: live workbook matches the independent Python mirror</t>
        </is>
      </c>
      <c r="C40" s="24">
        <f>'Scenario Manager'!$H$74</f>
        <v/>
      </c>
      <c r="D40" s="1306" t="inlineStr">
        <is>
          <t>THE REGRESSION TEST. Compares eleven live FY2033 outputs against values computed independently at build time by fmodel/chain.py. A failure means an Excel formula does not implement the intended arithmetic - stop and investigate before using any output.</t>
        </is>
      </c>
      <c r="E40" s="1805" t="n"/>
    </row>
    <row r="41">
      <c r="A41" s="25" t="inlineStr">
        <is>
          <t>A28</t>
        </is>
      </c>
      <c r="B41" s="36" t="inlineStr">
        <is>
          <t>Every active driver resolves to a number for the selected scenario</t>
        </is>
      </c>
      <c r="C41" s="24">
        <f>IF(COUNT('Model Assumptions'!E$8:K$33)=182,"PASS","FAIL")</f>
        <v/>
      </c>
      <c r="D41" s="1306" t="inlineStr">
        <is>
          <t>Confirms every INDEX lookup against ScenID has resolved. A failure means a driver row is missing a scenario or ScenID is out of range.</t>
        </is>
      </c>
      <c r="E41" s="1805" t="n"/>
    </row>
    <row r="42" ht="24.6" customHeight="1">
      <c r="A42" s="25" t="inlineStr">
        <is>
          <t>A29</t>
        </is>
      </c>
      <c r="B42" s="36" t="inlineStr">
        <is>
          <t>ScenID resolves to a valid index between 1 and 4</t>
        </is>
      </c>
      <c r="C42" s="24">
        <f>IF(AND(ScenID&gt;=1,ScenID&lt;=4),"PASS","FAIL")</f>
        <v/>
      </c>
      <c r="D42" s="1306" t="inlineStr">
        <is>
          <t>If the scenario cell is edited to free text outside the four permitted values, MATCH returns an error and the entire workbook fails. Data validation prevents this, but the check is retained as a backstop.</t>
        </is>
      </c>
      <c r="E42" s="1805" t="n"/>
    </row>
    <row r="43">
      <c r="A43" s="25" t="inlineStr">
        <is>
          <t>A30</t>
        </is>
      </c>
      <c r="B43" s="36" t="inlineStr">
        <is>
          <t>No forecast column is entirely blank</t>
        </is>
      </c>
      <c r="C43" s="24">
        <f>IF(COUNT('EBITDA Model'!D$103:J$103)=7,"PASS","FAIL")</f>
        <v/>
      </c>
      <c r="D43" s="1306" t="inlineStr">
        <is>
          <t>Catches a broken link or a deleted column in the core EBITDA line.</t>
        </is>
      </c>
      <c r="E43" s="1805" t="n"/>
    </row>
    <row r="44" ht="29.4" customHeight="1" thickBot="1">
      <c r="A44" s="169" t="n"/>
      <c r="B44" s="170" t="inlineStr">
        <is>
          <t>OVERALL</t>
        </is>
      </c>
      <c r="C44" s="123">
        <f>IF(COUNTIF(C14:C43,"FAIL")&gt;0,"FAIL",IF(COUNTIF(C14:C43,"WARN")&gt;0,"PASS WITH WARNINGS","ALL PASS"))</f>
        <v/>
      </c>
      <c r="D44" s="1841" t="inlineStr">
        <is>
          <t>WARN results are expected in the Bear and Stress cases: A14 (margin envelope) and A26 (policy target) are deliberately breached by design in those scenarios. Any FAIL must be investigated before the model is used.</t>
        </is>
      </c>
      <c r="E44" s="1842" t="n"/>
    </row>
    <row r="47">
      <c r="A47" s="1166" t="inlineStr">
        <is>
          <t>KNOWN LIMITATIONS - STANDING DISCLOSURE, NOT TESTS</t>
        </is>
      </c>
    </row>
    <row r="48">
      <c r="A48" s="1167" t="inlineStr">
        <is>
          <t>1. NO ENDOGENOUS SUPPLY RESPONSE. The model does not idle capacity or cut production when margins turn negative, which in reality would arrest a decline. The Stress Case must therefore be read as a lower bound on margin, not a central expectation.</t>
        </is>
      </c>
    </row>
    <row r="49">
      <c r="A49" s="1167" t="inlineStr">
        <is>
          <t>2. NO CIRCULARITY BETWEEN PRICE AND CURRENT-YEAR UTILISATION. The price feedback uses PRIOR-year utilisation. This is a deliberate simplification to avoid an iterative solve; it slightly dampens the cycle relative to reality.</t>
        </is>
      </c>
    </row>
    <row r="50">
      <c r="A50" s="1167" t="inlineStr">
        <is>
          <t>3. COKING COAL HAS NO FISCAL-YEAR AVERAGE. The FY2026 reference of US$225/t is a Mar-2026 SPOT observation. The database asserts no average because the two public series disagree by up to US$40/t. A licensed price-reporting-agency series is the single highest-priority data gap.</t>
        </is>
      </c>
    </row>
    <row r="51">
      <c r="A51" s="1167" t="inlineStr">
        <is>
          <t>4. WORKING CAPITAL IS NOT DERIVED FROM BALANCE SHEETS. The database does not carry receivables, inventory or payables. 45 days is a sector convention. Fix before any financing or credit work.</t>
        </is>
      </c>
    </row>
    <row r="52">
      <c r="A52" s="1167" t="inlineStr">
        <is>
          <t>5. NO COMPANY-SPECIFIC COST CURVES BELOW THE FOUR MAJORS. Cost positions for Jindal Stainless, AM/NS India and RINL are not built, and the secondary sector - roughly half of India's output - has no cost representation at all.</t>
        </is>
      </c>
    </row>
    <row r="53">
      <c r="A53" s="1167" t="inlineStr">
        <is>
          <t>6. SHARE PRICES ARE NOT SOURCED, so no trading multiple is asserted. The comparables framework computes the moment prices are entered.</t>
        </is>
      </c>
    </row>
    <row r="54">
      <c r="A54" s="1167" t="inlineStr">
        <is>
          <t>7. INVESTED CAPITAL IS A REPLACEMENT-COST PROXY, so ROIC is indicative only and understates returns on older depreciated assets.</t>
        </is>
      </c>
    </row>
    <row r="55">
      <c r="A55" s="1167" t="inlineStr">
        <is>
          <t>8. SINGLE-COUNTRY SCOPE. Tata Steel's Netherlands and UK operations, including the disclosed going-concern uncertainty at Tata Steel Netherlands, are entirely outside this India model and must be handled in the single-name build.</t>
        </is>
      </c>
    </row>
  </sheetData>
  <mergeCells count="47">
    <mergeCell ref="D20:E20"/>
    <mergeCell ref="A5:D5"/>
    <mergeCell ref="A48:E48"/>
    <mergeCell ref="D19:E19"/>
    <mergeCell ref="D34:E34"/>
    <mergeCell ref="A49:E49"/>
    <mergeCell ref="A51:E51"/>
    <mergeCell ref="A1:E1"/>
    <mergeCell ref="D22:E22"/>
    <mergeCell ref="D40:E40"/>
    <mergeCell ref="D36:E36"/>
    <mergeCell ref="D31:E31"/>
    <mergeCell ref="D21:E21"/>
    <mergeCell ref="A9:D9"/>
    <mergeCell ref="A47:C47"/>
    <mergeCell ref="A54:E54"/>
    <mergeCell ref="A7:E7"/>
    <mergeCell ref="D13:E13"/>
    <mergeCell ref="D27:E27"/>
    <mergeCell ref="D32:E32"/>
    <mergeCell ref="A11:D11"/>
    <mergeCell ref="D41:E41"/>
    <mergeCell ref="D17:E17"/>
    <mergeCell ref="A55:E55"/>
    <mergeCell ref="A50:E50"/>
    <mergeCell ref="D16:E16"/>
    <mergeCell ref="A2:E2"/>
    <mergeCell ref="D43:E43"/>
    <mergeCell ref="D37:E37"/>
    <mergeCell ref="D28:E28"/>
    <mergeCell ref="D18:E18"/>
    <mergeCell ref="D39:E39"/>
    <mergeCell ref="D25:E25"/>
    <mergeCell ref="A53:E53"/>
    <mergeCell ref="D24:E24"/>
    <mergeCell ref="D30:E30"/>
    <mergeCell ref="D42:E42"/>
    <mergeCell ref="D15:E15"/>
    <mergeCell ref="A52:E52"/>
    <mergeCell ref="D33:E33"/>
    <mergeCell ref="D29:E29"/>
    <mergeCell ref="D23:E23"/>
    <mergeCell ref="D38:E38"/>
    <mergeCell ref="D14:E14"/>
    <mergeCell ref="D26:E26"/>
    <mergeCell ref="D44:E44"/>
    <mergeCell ref="D35:E35"/>
  </mergeCells>
  <pageMargins left="0.7" right="0.7" top="0.75" bottom="0.75" header="0.3" footer="0.3"/>
</worksheet>
</file>

<file path=xl/worksheets/sheet31.xml><?xml version="1.0" encoding="utf-8"?>
<worksheet xmlns="http://schemas.openxmlformats.org/spreadsheetml/2006/main">
  <sheetPr codeName="Sheet31">
    <tabColor theme="8" tint="0.5999938962981048"/>
    <outlinePr summaryBelow="1" summaryRight="1"/>
    <pageSetUpPr/>
  </sheetPr>
  <dimension ref="A1:H27"/>
  <sheetViews>
    <sheetView showGridLines="0" workbookViewId="0">
      <selection activeCell="D16" sqref="D16"/>
    </sheetView>
  </sheetViews>
  <sheetFormatPr baseColWidth="8" defaultRowHeight="14.4"/>
  <cols>
    <col width="14.21875" customWidth="1" style="1262" min="1" max="1"/>
    <col width="8" customWidth="1" style="1262" min="2" max="2"/>
    <col width="18.5546875" customWidth="1" style="1262" min="3" max="3"/>
    <col width="30.44140625" customWidth="1" style="1262" min="4" max="4"/>
    <col width="16" customWidth="1" style="1262" min="5" max="5"/>
    <col width="29.5546875" customWidth="1" style="1262" min="6" max="6"/>
    <col width="27.77734375" customWidth="1" style="1262" min="7" max="7"/>
    <col width="60.109375" customWidth="1" style="1262" min="8" max="8"/>
    <col width="13" customWidth="1" style="1262" min="9" max="10"/>
    <col width="12" customWidth="1" style="1262" min="11" max="11"/>
    <col width="22" customWidth="1" style="1262" min="12" max="12"/>
    <col width="12" customWidth="1" style="1262" min="13" max="13"/>
    <col width="100" customWidth="1" style="1262" min="14" max="14"/>
    <col width="8.88671875" customWidth="1" style="1262" min="15" max="16384"/>
  </cols>
  <sheetData>
    <row r="1" ht="21" customHeight="1">
      <c r="A1" s="1334" t="inlineStr">
        <is>
          <t>26  Sources</t>
        </is>
      </c>
    </row>
    <row r="2">
      <c r="A2" s="1136" t="inlineStr">
        <is>
          <t>Industry Financial Model  |  Indian Steel Industry  |  Horizon FY2027E-FY2033E  |  Base year FY2026A  |  Built 03-Aug-2026</t>
        </is>
      </c>
    </row>
    <row r="3">
      <c r="A3" s="1167" t="n"/>
    </row>
    <row r="4">
      <c r="A4" s="1145" t="inlineStr">
        <is>
          <t>OBJECTIVE</t>
        </is>
      </c>
    </row>
    <row r="5">
      <c r="A5" s="1134" t="inlineStr">
        <is>
          <t>Sources used for the forward-looking assumptions in this model. FY2026 actuals are sourced in Master Industry Database.xlsx, whose Sources sheet carries 47 entries and is not duplicated here.</t>
        </is>
      </c>
    </row>
    <row r="6">
      <c r="A6" s="1145" t="inlineStr">
        <is>
          <t>METHODOLOGY</t>
        </is>
      </c>
    </row>
    <row r="7">
      <c r="A7" s="1134" t="inlineStr">
        <is>
          <t>Level 1 primary issuer and government, Level 2 official statistical and multilateral agencies, Level 3 rating agencies and sell-side. Secondary sources never override primary data.</t>
        </is>
      </c>
    </row>
    <row r="8">
      <c r="A8" s="1145" t="inlineStr">
        <is>
          <t>UNITS</t>
        </is>
      </c>
    </row>
    <row r="9">
      <c r="A9" s="1134" t="inlineStr">
        <is>
          <t>Not applicable.</t>
        </is>
      </c>
    </row>
    <row r="10">
      <c r="A10" s="1145" t="inlineStr">
        <is>
          <t>DEPENDENCIES</t>
        </is>
      </c>
    </row>
    <row r="11">
      <c r="A11" s="1134" t="inlineStr">
        <is>
          <t>Referenced by 02 Model Assumptions.</t>
        </is>
      </c>
    </row>
    <row r="12">
      <c r="A12" s="1167" t="n"/>
    </row>
    <row r="13">
      <c r="A13" s="20" t="inlineStr">
        <is>
          <t>Ref</t>
        </is>
      </c>
      <c r="B13" s="21" t="inlineStr">
        <is>
          <t>Level</t>
        </is>
      </c>
      <c r="C13" s="34" t="inlineStr">
        <is>
          <t>Publisher</t>
        </is>
      </c>
      <c r="D13" s="34" t="inlineStr">
        <is>
          <t>Publication</t>
        </is>
      </c>
      <c r="E13" s="21" t="inlineStr">
        <is>
          <t>Date</t>
        </is>
      </c>
      <c r="F13" s="34" t="inlineStr">
        <is>
          <t>Used for</t>
        </is>
      </c>
      <c r="G13" s="34" t="inlineStr">
        <is>
          <t>Verification</t>
        </is>
      </c>
      <c r="H13" s="35" t="inlineStr">
        <is>
          <t>Notes</t>
        </is>
      </c>
    </row>
    <row r="14" ht="24" customHeight="1">
      <c r="A14" s="171" t="inlineStr">
        <is>
          <t>RBI-Jun26</t>
        </is>
      </c>
      <c r="B14" s="126" t="n">
        <v>2</v>
      </c>
      <c r="C14" s="36" t="inlineStr">
        <is>
          <t>Reserve Bank of India</t>
        </is>
      </c>
      <c r="D14" s="1306" t="inlineStr">
        <is>
          <t>Monetary Policy Committee statement</t>
        </is>
      </c>
      <c r="E14" s="23" t="inlineStr">
        <is>
          <t>05-Jun-2026</t>
        </is>
      </c>
      <c r="F14" s="1306" t="inlineStr">
        <is>
          <t>Drivers D01 real GDP growth and D04 CPI inflation; assumption register R01</t>
        </is>
      </c>
      <c r="G14" s="1306" t="inlineStr">
        <is>
          <t>Verified via multiple contemporaneous reports of the MPC statement</t>
        </is>
      </c>
      <c r="H14" s="40" t="inlineStr">
        <is>
          <t>FY2027 real GDP projection cut to 6.6% from 6.9%; repo held at 5.25%; FY2027 CPI projection raised 50bps to 5.1%. FY2026 growth estimated 7.6%; Q4FY2026 actual 7.7%.</t>
        </is>
      </c>
    </row>
    <row r="15" ht="24" customHeight="1">
      <c r="A15" s="171" t="inlineStr">
        <is>
          <t>worldsteel-SRO</t>
        </is>
      </c>
      <c r="B15" s="126" t="n">
        <v>2</v>
      </c>
      <c r="C15" s="36" t="inlineStr">
        <is>
          <t>World Steel Association</t>
        </is>
      </c>
      <c r="D15" s="1306" t="inlineStr">
        <is>
          <t>Short Range Outlook, April 2026</t>
        </is>
      </c>
      <c r="E15" s="23" t="inlineStr">
        <is>
          <t>Apr-2026</t>
        </is>
      </c>
      <c r="F15" s="1306" t="inlineStr">
        <is>
          <t>Corroborates driver D02 steel demand elasticity</t>
        </is>
      </c>
      <c r="G15" s="1306" t="inlineStr">
        <is>
          <t>Verified - also reproduced in Ministry of Steel monthly overviews</t>
        </is>
      </c>
      <c r="H15" s="40" t="inlineStr">
        <is>
          <t>Global demand +0.3% in CY2026 to 1,724 Mt and +2.2% in CY2027 to 1,762 Mt. India +7.4% and +9.2%, the fastest major market. China -1.5% then flat.</t>
        </is>
      </c>
    </row>
    <row r="16" ht="24" customHeight="1">
      <c r="A16" s="171" t="inlineStr">
        <is>
          <t>GSEC-31Jul26</t>
        </is>
      </c>
      <c r="B16" s="126" t="n">
        <v>3</v>
      </c>
      <c r="C16" s="36" t="inlineStr">
        <is>
          <t>investing.com / NSE</t>
        </is>
      </c>
      <c r="D16" s="1306" t="inlineStr">
        <is>
          <t>India 10-year benchmark government bond yield</t>
        </is>
      </c>
      <c r="E16" s="23" t="inlineStr">
        <is>
          <t>31-Jul-2026</t>
        </is>
      </c>
      <c r="F16" s="1306" t="inlineStr">
        <is>
          <t>Risk-free rate in the WACC build-up; assumption register R08</t>
        </is>
      </c>
      <c r="G16" s="1306" t="inlineStr">
        <is>
          <t>Verified - 6.833%; Trading Economics expects 6.78% at quarter end</t>
        </is>
      </c>
      <c r="H16" s="40" t="inlineStr">
        <is>
          <t>Market data. A Bloomberg or Refinitiv print should be substituted for a live mandate.</t>
        </is>
      </c>
    </row>
    <row r="17" ht="36" customHeight="1">
      <c r="A17" s="171" t="inlineStr">
        <is>
          <t>CRISIL-RateView</t>
        </is>
      </c>
      <c r="B17" s="126" t="n">
        <v>3</v>
      </c>
      <c r="C17" s="36" t="inlineStr">
        <is>
          <t>CRISIL Intelligence</t>
        </is>
      </c>
      <c r="D17" s="1306" t="inlineStr">
        <is>
          <t>RateView, July 2026</t>
        </is>
      </c>
      <c r="E17" s="23" t="inlineStr">
        <is>
          <t>Jul-2026</t>
        </is>
      </c>
      <c r="F17" s="1306" t="inlineStr">
        <is>
          <t>Pre-tax cost of debt in the WACC build-up</t>
        </is>
      </c>
      <c r="G17" s="1306" t="inlineStr">
        <is>
          <t>Verified - 10-year corporate bond yield 7.36% actual, 7.44-7.54% projected</t>
        </is>
      </c>
      <c r="H17" s="40" t="inlineStr">
        <is>
          <t>Consistent with the ICRA and India Ratings AA domestic ratings the database records for JSW Steel.</t>
        </is>
      </c>
    </row>
    <row r="18" ht="36" customHeight="1">
      <c r="A18" s="171" t="inlineStr">
        <is>
          <t>IDBI-22Jun26</t>
        </is>
      </c>
      <c r="B18" s="126" t="n">
        <v>3</v>
      </c>
      <c r="C18" s="36" t="inlineStr">
        <is>
          <t>IDBI Capital Markets &amp; Securities</t>
        </is>
      </c>
      <c r="D18" s="1306" t="inlineStr">
        <is>
          <t>Commodity Price Update, week ended 22-Jun-2026</t>
        </is>
      </c>
      <c r="E18" s="23" t="inlineStr">
        <is>
          <t>22-Jun-2026</t>
        </is>
      </c>
      <c r="F18" s="1306" t="inlineStr">
        <is>
          <t>Driver D03 USD/INR; input cost cross-checks</t>
        </is>
      </c>
      <c r="G18" s="1306" t="inlineStr">
        <is>
          <t>Verified - full document retrieved and parsed</t>
        </is>
      </c>
      <c r="H18" s="40" t="inlineStr">
        <is>
          <t>USD/INR 94 with a 52-week range of 85 to 98. Also billet ex-Raipur Rs 38,850/t, HR strip Patra Rs 44,500/t, nickel US$17,395/t, ferro chrome Rs 1,23,200/t, graphite electrode UHP US$4,189/t, Brent US$79/bbl - the input-cost deck behind D12.</t>
        </is>
      </c>
    </row>
    <row r="19" ht="36" customHeight="1">
      <c r="A19" s="171" t="inlineStr">
        <is>
          <t>MasterDB</t>
        </is>
      </c>
      <c r="B19" s="126" t="n">
        <v>1</v>
      </c>
      <c r="C19" s="36" t="inlineStr">
        <is>
          <t>This research team</t>
        </is>
      </c>
      <c r="D19" s="1306" t="inlineStr">
        <is>
          <t>Master Industry Database.xlsx</t>
        </is>
      </c>
      <c r="E19" s="23" t="inlineStr">
        <is>
          <t>03-Aug-2026</t>
        </is>
      </c>
      <c r="F19" s="1306" t="inlineStr">
        <is>
          <t>Every FY2026 actual and every derived calibration anchor</t>
        </is>
      </c>
      <c r="G19" s="1306" t="inlineStr">
        <is>
          <t>Values extracted programmatically from the database file at build time</t>
        </is>
      </c>
      <c r="H19" s="40" t="inlineStr">
        <is>
          <t>47 underlying sources with full citations on that workbook's Sources sheet, and 16 documented conflicts on its Conflicts Log. This model does not restate or contradict any of it.</t>
        </is>
      </c>
    </row>
    <row r="20" ht="48" customHeight="1">
      <c r="A20" s="171" t="inlineStr">
        <is>
          <t>Derived-DB</t>
        </is>
      </c>
      <c r="B20" s="126" t="n">
        <v>1</v>
      </c>
      <c r="C20" s="36" t="inlineStr">
        <is>
          <t>This research team</t>
        </is>
      </c>
      <c r="D20" s="1306" t="inlineStr">
        <is>
          <t>Derivations from Master Industry Database</t>
        </is>
      </c>
      <c r="E20" s="23" t="inlineStr">
        <is>
          <t>03-Aug-2026</t>
        </is>
      </c>
      <c r="F20" s="1306" t="inlineStr">
        <is>
          <t>Drivers D02, D05, D06, D07, D08, D09, D16, D22, D24, D26 and anchors A08 to A13</t>
        </is>
      </c>
      <c r="G20" s="1306" t="inlineStr">
        <is>
          <t>Each derivation is stated in full on the relevant row</t>
        </is>
      </c>
      <c r="H20" s="40" t="inlineStr">
        <is>
          <t>The material derivations are: blended realisation of Rs 59,974/t from four majors; weighted EBITDA of Rs 10,733/t; implied cash cost of Rs 49,241/t; FY2026 average USD/INR of 88.4 from Tata Steel's dual-currency disclosure; D&amp;A at 5.28% of revenue; demand elasticity of 1.10x from the FY2015-FY2026 outturn.</t>
        </is>
      </c>
    </row>
    <row r="21" ht="36" customHeight="1">
      <c r="A21" s="171" t="inlineStr">
        <is>
          <t>Indicative</t>
        </is>
      </c>
      <c r="B21" s="126" t="n">
        <v>3</v>
      </c>
      <c r="C21" s="36" t="inlineStr">
        <is>
          <t>Modeller judgement</t>
        </is>
      </c>
      <c r="D21" s="1306" t="inlineStr">
        <is>
          <t>Structural parameters not sourced from any document</t>
        </is>
      </c>
      <c r="E21" s="23" t="inlineStr">
        <is>
          <t>n/a</t>
        </is>
      </c>
      <c r="F21" s="1306" t="inlineStr">
        <is>
          <t>Drivers D13, D14, D17, D23, D25 and the ESG inputs on sheet 20</t>
        </is>
      </c>
      <c r="G21" s="1306" t="inlineStr">
        <is>
          <t>NOT VERIFIED - explicitly flagged Low confidence throughout</t>
        </is>
      </c>
      <c r="H21" s="40" t="inlineStr">
        <is>
          <t>Held constant across scenarios wherever unsourced, so that an unsourced parameter is never flexed to manufacture a scenario. Each is quantified on 22 Sensitivity section E.</t>
        </is>
      </c>
    </row>
    <row r="22" ht="36" customHeight="1">
      <c r="A22" s="172" t="inlineStr">
        <is>
          <t>Not sourced</t>
        </is>
      </c>
      <c r="B22" s="173" t="n">
        <v>3</v>
      </c>
      <c r="C22" s="44" t="inlineStr">
        <is>
          <t>None</t>
        </is>
      </c>
      <c r="D22" s="46" t="inlineStr">
        <is>
          <t>Inputs left as user inputs rather than assumed</t>
        </is>
      </c>
      <c r="E22" s="22" t="inlineStr">
        <is>
          <t>n/a</t>
        </is>
      </c>
      <c r="F22" s="46" t="inlineStr">
        <is>
          <t>Driver D18 working capital days, D19 exit multiple, share prices on 23, equity risk premium and beta on 02 Section D</t>
        </is>
      </c>
      <c r="G22" s="46" t="inlineStr">
        <is>
          <t>NOT SOURCED - shaded in the workbook and excluded from headline conclusions</t>
        </is>
      </c>
      <c r="H22" s="47" t="inlineStr">
        <is>
          <t>These are the four gaps that must be closed before transaction use. None has been filled with a fabricated value.</t>
        </is>
      </c>
    </row>
    <row r="25">
      <c r="A25" s="1166" t="inlineStr">
        <is>
          <t>MODEL CHANGE LOG</t>
        </is>
      </c>
    </row>
    <row r="26">
      <c r="A26" s="78" t="inlineStr">
        <is>
          <t>Version</t>
        </is>
      </c>
      <c r="B26" s="78" t="inlineStr">
        <is>
          <t>Date</t>
        </is>
      </c>
      <c r="C26" s="1305" t="inlineStr">
        <is>
          <t>Change</t>
        </is>
      </c>
      <c r="D26" s="1745" t="n"/>
      <c r="E26" s="1805" t="n"/>
      <c r="F26" s="78" t="inlineStr">
        <is>
          <t>Author</t>
        </is>
      </c>
    </row>
    <row r="27" ht="37.8" customHeight="1">
      <c r="A27" s="126" t="inlineStr">
        <is>
          <t>1.0</t>
        </is>
      </c>
      <c r="B27" s="126" t="inlineStr">
        <is>
          <t>03-Aug-2026</t>
        </is>
      </c>
      <c r="C27" s="1306" t="inlineStr">
        <is>
          <t>Initial build. Horizon FY2027E-FY2033E selected on the weighted analysis on 0H. Four scenarios calibrated to observed margin envelopes. Lagged price-utilisation feedback introduced so that capacity transmits to earnings.</t>
        </is>
      </c>
      <c r="D27" s="1745" t="n"/>
      <c r="E27" s="1805" t="n"/>
      <c r="F27" s="1306" t="inlineStr">
        <is>
          <t>Head of Metals &amp; Mining Research</t>
        </is>
      </c>
    </row>
  </sheetData>
  <mergeCells count="8">
    <mergeCell ref="A25:C25"/>
    <mergeCell ref="C27:E27"/>
    <mergeCell ref="A5:H5"/>
    <mergeCell ref="A2:E2"/>
    <mergeCell ref="A7:H7"/>
    <mergeCell ref="C26:E26"/>
    <mergeCell ref="A11:H11"/>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 S U S</dc:creator>
  <dcterms:created xsi:type="dcterms:W3CDTF">2015-06-05T18:17:20Z</dcterms:created>
  <dcterms:modified xsi:type="dcterms:W3CDTF">2026-08-20T06:47:10Z</dcterms:modified>
  <cp:lastModifiedBy>OM PRAKASH PANDA</cp:lastModifiedBy>
</cp:coreProperties>
</file>