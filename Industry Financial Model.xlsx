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Model" sheetId="2" state="visible" r:id="rId2"/>
    <sheet name="Scenario Comparison" sheetId="3" state="visible" r:id="rId3"/>
    <sheet name="Sensitivity" sheetId="4" state="visible" r:id="rId4"/>
    <sheet name="Comparable Valuation" sheetId="5" state="visible" r:id="rId5"/>
    <sheet name="Assumption Register" sheetId="6" state="visible" r:id="rId6"/>
    <sheet name="Forecast Horizon" sheetId="7" state="visible" r:id="rId7"/>
    <sheet name="Sources" sheetId="8" state="visible" r:id="rId8"/>
  </sheets>
  <definedNames/>
  <calcPr calcId="124519" fullCalcOnLoad="1"/>
</workbook>
</file>

<file path=xl/styles.xml><?xml version="1.0" encoding="utf-8"?>
<styleSheet xmlns="http://schemas.openxmlformats.org/spreadsheetml/2006/main">
  <numFmts count="6">
    <numFmt numFmtId="164" formatCode="#,##0;(#,##0)"/>
    <numFmt numFmtId="165" formatCode="0.0%;(0.0%)"/>
    <numFmt numFmtId="166" formatCode="#,##0.00&quot;x&quot;"/>
    <numFmt numFmtId="167" formatCode="#,##0.00;(#,##0.00)"/>
    <numFmt numFmtId="168" formatCode="#,##0.0;(#,##0.0)"/>
    <numFmt numFmtId="169" formatCode="#,##0.000;(#,##0.000)"/>
  </numFmts>
  <fonts count="16">
    <font>
      <name val="Calibri"/>
      <family val="2"/>
      <color theme="1"/>
      <sz val="11"/>
      <scheme val="minor"/>
    </font>
    <font>
      <name val="Calibri"/>
      <b val="1"/>
      <color rgb="001F3864"/>
      <sz val="14"/>
    </font>
    <font>
      <name val="Calibri"/>
      <b val="1"/>
      <color rgb="00595959"/>
      <sz val="9"/>
    </font>
    <font>
      <name val="Calibri"/>
      <color rgb="00595959"/>
      <sz val="9"/>
    </font>
    <font>
      <name val="Calibri"/>
      <b val="1"/>
      <color rgb="001F3864"/>
      <sz val="10"/>
    </font>
    <font>
      <name val="Calibri"/>
      <b val="1"/>
      <color rgb="001F3864"/>
      <sz val="9"/>
    </font>
    <font>
      <name val="Calibri"/>
      <b val="1"/>
      <color rgb="001F3864"/>
      <sz val="11"/>
    </font>
    <font>
      <name val="Calibri"/>
      <b val="1"/>
      <color rgb="00000000"/>
      <sz val="10"/>
    </font>
    <font>
      <name val="Calibri"/>
      <b val="1"/>
      <color rgb="001F3864"/>
      <sz val="12"/>
    </font>
    <font>
      <name val="Calibri"/>
      <i val="1"/>
      <color rgb="00595959"/>
      <sz val="9"/>
    </font>
    <font>
      <name val="Calibri"/>
      <b val="1"/>
      <color rgb="00FFFFFF"/>
      <sz val="10"/>
    </font>
    <font>
      <name val="Calibri"/>
      <color rgb="00000000"/>
      <sz val="9"/>
    </font>
    <font>
      <name val="Calibri"/>
      <color rgb="00000000"/>
      <sz val="10"/>
    </font>
    <font>
      <name val="Calibri"/>
      <color rgb="00595959"/>
      <sz val="8"/>
    </font>
    <font>
      <name val="Calibri"/>
      <b val="1"/>
      <color rgb="00000000"/>
      <sz val="9"/>
    </font>
    <font>
      <name val="Calibri"/>
      <sz val="9"/>
    </font>
  </fonts>
  <fills count="4">
    <fill>
      <patternFill/>
    </fill>
    <fill>
      <patternFill patternType="gray125"/>
    </fill>
    <fill>
      <patternFill patternType="solid">
        <fgColor rgb="00D9E1F2"/>
      </patternFill>
    </fill>
    <fill>
      <patternFill patternType="solid">
        <fgColor rgb="001F3864"/>
      </patternFill>
    </fill>
  </fills>
  <borders count="3">
    <border>
      <left/>
      <right/>
      <top/>
      <bottom/>
      <diagonal/>
    </border>
    <border>
      <bottom style="thin">
        <color rgb="00BFBFBF"/>
      </bottom>
    </border>
    <border>
      <bottom style="thin">
        <color rgb="001F3864"/>
      </bottom>
    </border>
  </borders>
  <cellStyleXfs count="1">
    <xf numFmtId="0" fontId="0" fillId="0" borderId="0"/>
  </cellStyleXfs>
  <cellXfs count="56">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0" borderId="0"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center" vertical="top" wrapText="1"/>
    </xf>
    <xf numFmtId="0" fontId="6" fillId="0" borderId="0" applyAlignment="1" pivotButton="0" quotePrefix="0" xfId="0">
      <alignment horizontal="left" vertical="top"/>
    </xf>
    <xf numFmtId="0" fontId="7" fillId="0" borderId="0" applyAlignment="1" pivotButton="0" quotePrefix="0" xfId="0">
      <alignment horizontal="left" vertical="top"/>
    </xf>
    <xf numFmtId="164" fontId="8" fillId="2" borderId="1" applyAlignment="1" pivotButton="0" quotePrefix="0" xfId="0">
      <alignment horizontal="center" vertical="top" wrapText="1"/>
    </xf>
    <xf numFmtId="0" fontId="9" fillId="0" borderId="0" applyAlignment="1" pivotButton="0" quotePrefix="0" xfId="0">
      <alignment horizontal="left" vertical="top" wrapText="1"/>
    </xf>
    <xf numFmtId="0" fontId="6" fillId="0" borderId="0" applyAlignment="1" pivotButton="0" quotePrefix="0" xfId="0">
      <alignment horizontal="center" vertical="top" wrapText="1"/>
    </xf>
    <xf numFmtId="0" fontId="10" fillId="3" borderId="2" applyAlignment="1" pivotButton="0" quotePrefix="0" xfId="0">
      <alignment horizontal="left" vertical="bottom" wrapText="1"/>
    </xf>
    <xf numFmtId="0" fontId="10" fillId="3" borderId="2" applyAlignment="1" pivotButton="0" quotePrefix="0" xfId="0">
      <alignment horizontal="center" vertical="bottom" wrapText="1"/>
    </xf>
    <xf numFmtId="0" fontId="3" fillId="0" borderId="0" applyAlignment="1" pivotButton="0" quotePrefix="0" xfId="0">
      <alignment horizontal="center" vertical="top" wrapText="1"/>
    </xf>
    <xf numFmtId="0" fontId="7" fillId="0" borderId="0" applyAlignment="1" pivotButton="0" quotePrefix="0" xfId="0">
      <alignment horizontal="left" vertical="top" wrapText="1"/>
    </xf>
    <xf numFmtId="0" fontId="11" fillId="0" borderId="0" applyAlignment="1" pivotButton="0" quotePrefix="0" xfId="0">
      <alignment horizontal="left" vertical="top"/>
    </xf>
    <xf numFmtId="0" fontId="3" fillId="0" borderId="0" applyAlignment="1" pivotButton="0" quotePrefix="0" xfId="0">
      <alignment horizontal="left" vertical="top"/>
    </xf>
    <xf numFmtId="165" fontId="12" fillId="0" borderId="0" applyAlignment="1" pivotButton="0" quotePrefix="0" xfId="0">
      <alignment horizontal="right" vertical="top"/>
    </xf>
    <xf numFmtId="0" fontId="12" fillId="0" borderId="0" applyAlignment="1" pivotButton="0" quotePrefix="0" xfId="0">
      <alignment horizontal="left" vertical="top" wrapText="1"/>
    </xf>
    <xf numFmtId="166" fontId="12" fillId="0" borderId="0" applyAlignment="1" pivotButton="0" quotePrefix="0" xfId="0">
      <alignment horizontal="right" vertical="top"/>
    </xf>
    <xf numFmtId="167" fontId="12" fillId="0" borderId="0" applyAlignment="1" pivotButton="0" quotePrefix="0" xfId="0">
      <alignment horizontal="right" vertical="top"/>
    </xf>
    <xf numFmtId="164" fontId="12" fillId="0" borderId="0" applyAlignment="1" pivotButton="0" quotePrefix="0" xfId="0">
      <alignment horizontal="right" vertical="top"/>
    </xf>
    <xf numFmtId="0" fontId="13" fillId="0" borderId="0" applyAlignment="1" pivotButton="0" quotePrefix="0" xfId="0">
      <alignment horizontal="center" vertical="top" wrapText="1"/>
    </xf>
    <xf numFmtId="0" fontId="12" fillId="0" borderId="0" applyAlignment="1" pivotButton="0" quotePrefix="0" xfId="0">
      <alignment horizontal="center" vertical="top" wrapText="1"/>
    </xf>
    <xf numFmtId="0" fontId="7" fillId="0" borderId="0" applyAlignment="1" pivotButton="0" quotePrefix="0" xfId="0">
      <alignment horizontal="center" vertical="top" wrapText="1"/>
    </xf>
    <xf numFmtId="0" fontId="4" fillId="0" borderId="0" applyAlignment="1" pivotButton="0" quotePrefix="0" xfId="0">
      <alignment horizontal="left" vertical="top" wrapText="1"/>
    </xf>
    <xf numFmtId="167" fontId="4" fillId="0" borderId="0" applyAlignment="1" pivotButton="0" quotePrefix="0" xfId="0">
      <alignment horizontal="right" vertical="top"/>
    </xf>
    <xf numFmtId="168" fontId="12" fillId="0" borderId="0" applyAlignment="1" pivotButton="0" quotePrefix="0" xfId="0">
      <alignment horizontal="right" vertical="top"/>
    </xf>
    <xf numFmtId="169" fontId="12" fillId="0" borderId="0" applyAlignment="1" pivotButton="0" quotePrefix="0" xfId="0">
      <alignment horizontal="right" vertical="top"/>
    </xf>
    <xf numFmtId="165" fontId="4" fillId="0" borderId="0" applyAlignment="1" pivotButton="0" quotePrefix="0" xfId="0">
      <alignment horizontal="right" vertical="top"/>
    </xf>
    <xf numFmtId="164" fontId="4" fillId="0" borderId="0" applyAlignment="1" pivotButton="0" quotePrefix="0" xfId="0">
      <alignment horizontal="right" vertical="top"/>
    </xf>
    <xf numFmtId="169" fontId="4" fillId="0" borderId="0" applyAlignment="1" pivotButton="0" quotePrefix="0" xfId="0">
      <alignment horizontal="right" vertical="top"/>
    </xf>
    <xf numFmtId="166" fontId="4" fillId="0" borderId="0" applyAlignment="1" pivotButton="0" quotePrefix="0" xfId="0">
      <alignment horizontal="right" vertical="top"/>
    </xf>
    <xf numFmtId="49" fontId="4" fillId="0" borderId="0" applyAlignment="1" pivotButton="0" quotePrefix="0" xfId="0">
      <alignment horizontal="right" vertical="top"/>
    </xf>
    <xf numFmtId="0" fontId="3" fillId="3" borderId="2" applyAlignment="1" pivotButton="0" quotePrefix="0" xfId="0">
      <alignment horizontal="left" vertical="top" wrapText="1"/>
    </xf>
    <xf numFmtId="0" fontId="12" fillId="2" borderId="0" applyAlignment="1" pivotButton="0" quotePrefix="0" xfId="0">
      <alignment horizontal="left" vertical="top" wrapText="1"/>
    </xf>
    <xf numFmtId="0" fontId="3" fillId="2" borderId="0" applyAlignment="1" pivotButton="0" quotePrefix="0" xfId="0">
      <alignment horizontal="left" vertical="top"/>
    </xf>
    <xf numFmtId="167" fontId="12" fillId="2" borderId="0" applyAlignment="1" pivotButton="0" quotePrefix="0" xfId="0">
      <alignment horizontal="right" vertical="top"/>
    </xf>
    <xf numFmtId="164" fontId="12" fillId="2" borderId="0" applyAlignment="1" pivotButton="0" quotePrefix="0" xfId="0">
      <alignment horizontal="right" vertical="top"/>
    </xf>
    <xf numFmtId="164" fontId="6" fillId="0" borderId="0" applyAlignment="1" pivotButton="0" quotePrefix="0" xfId="0">
      <alignment horizontal="right" vertical="top"/>
    </xf>
    <xf numFmtId="165" fontId="7" fillId="0" borderId="0" applyAlignment="1" pivotButton="0" quotePrefix="0" xfId="0">
      <alignment horizontal="right" vertical="top"/>
    </xf>
    <xf numFmtId="0" fontId="12" fillId="0" borderId="0" applyAlignment="1" pivotButton="0" quotePrefix="0" xfId="0">
      <alignment horizontal="left" vertical="top"/>
    </xf>
    <xf numFmtId="165" fontId="12" fillId="2" borderId="0" applyAlignment="1" pivotButton="0" quotePrefix="0" xfId="0">
      <alignment horizontal="right" vertical="top"/>
    </xf>
    <xf numFmtId="169" fontId="12" fillId="2" borderId="0" applyAlignment="1" pivotButton="0" quotePrefix="0" xfId="0">
      <alignment horizontal="right" vertical="top"/>
    </xf>
    <xf numFmtId="168" fontId="12" fillId="2" borderId="0" applyAlignment="1" pivotButton="0" quotePrefix="0" xfId="0">
      <alignment horizontal="right" vertical="top"/>
    </xf>
    <xf numFmtId="0" fontId="14" fillId="2" borderId="0" applyAlignment="1" pivotButton="0" quotePrefix="0" xfId="0">
      <alignment horizontal="center" vertical="top" wrapText="1"/>
    </xf>
    <xf numFmtId="164" fontId="14" fillId="2" borderId="0" applyAlignment="1" pivotButton="0" quotePrefix="0" xfId="0">
      <alignment horizontal="center" vertical="top" wrapText="1"/>
    </xf>
    <xf numFmtId="164" fontId="14" fillId="2" borderId="0" applyAlignment="1" pivotButton="0" quotePrefix="0" xfId="0">
      <alignment horizontal="right" vertical="top"/>
    </xf>
    <xf numFmtId="0" fontId="5" fillId="0" borderId="0" applyAlignment="1" pivotButton="0" quotePrefix="0" xfId="0">
      <alignment horizontal="left" vertical="top"/>
    </xf>
    <xf numFmtId="165" fontId="14" fillId="2" borderId="0" applyAlignment="1" pivotButton="0" quotePrefix="0" xfId="0">
      <alignment horizontal="right" vertical="top"/>
    </xf>
    <xf numFmtId="0" fontId="11" fillId="0" borderId="0" applyAlignment="1" pivotButton="0" quotePrefix="0" xfId="0">
      <alignment horizontal="center" vertical="top" wrapText="1"/>
    </xf>
    <xf numFmtId="167" fontId="12" fillId="2" borderId="1" applyAlignment="1" pivotButton="0" quotePrefix="0" xfId="0">
      <alignment horizontal="right" vertical="top"/>
    </xf>
    <xf numFmtId="0" fontId="15" fillId="0" borderId="0" applyAlignment="1" pivotButton="0" quotePrefix="0" xfId="0">
      <alignment horizontal="left" vertical="top" wrapText="1"/>
    </xf>
    <xf numFmtId="164" fontId="12" fillId="0" borderId="0" applyAlignment="1" pivotButton="0" quotePrefix="0" xfId="0">
      <alignment horizontal="center" vertical="top" wrapText="1"/>
    </xf>
    <xf numFmtId="167" fontId="6" fillId="0" borderId="0" applyAlignment="1" pivotButton="0" quotePrefix="0" xfId="0">
      <alignment horizontal="center" vertical="top" wrapText="1"/>
    </xf>
    <xf numFmtId="0" fontId="8"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B2:B33"/>
  <sheetViews>
    <sheetView showGridLines="0" tabSelected="1" workbookViewId="0">
      <selection activeCell="A1" sqref="A1"/>
    </sheetView>
  </sheetViews>
  <sheetFormatPr baseColWidth="8" defaultRowHeight="15"/>
  <cols>
    <col width="3" customWidth="1" min="1" max="1"/>
    <col width="124" customWidth="1" min="2" max="2"/>
  </cols>
  <sheetData>
    <row r="2" ht="19" customHeight="1">
      <c r="B2" s="1" t="inlineStr">
        <is>
          <t>READ ME FIRST</t>
        </is>
      </c>
    </row>
    <row r="3">
      <c r="B3" s="2" t="inlineStr">
        <is>
          <t>Industry Financial Model - Indian Steel Industry  |  Horizon FY2027E-FY2033E  |  Built 03-Aug-2026</t>
        </is>
      </c>
    </row>
    <row r="4">
      <c r="B4" s="3" t="inlineStr"/>
    </row>
    <row r="5">
      <c r="B5" s="4" t="inlineStr">
        <is>
          <t>THIS FILE IS BUILT TO BE COPY-PASTED</t>
        </is>
      </c>
    </row>
    <row r="6" ht="52" customHeight="1">
      <c r="B6" s="3" t="inlineStr">
        <is>
          <t>Every formula references ONLY cells on its own sheet. There are no cross-sheet links, no defined names, no Excel Tables and no external workbook references. You can copy any sheet into your own workbook and it will keep working. PASTE INTO A BLANK SHEET STARTING AT CELL A1 - that guarantees identical behaviour, because a few formulas use absolute references to the scenario cell.</t>
        </is>
      </c>
    </row>
    <row r="8">
      <c r="B8" s="4" t="inlineStr">
        <is>
          <t>WHAT CHANGED FROM THE PREVIOUS VERSION, AND WHY</t>
        </is>
      </c>
    </row>
    <row r="9" ht="78" customHeight="1">
      <c r="B9" s="3" t="inlineStr">
        <is>
          <t>The previous file was genuinely broken and I apologise for it. Two defects: (1) eight Excel Tables had a blank header cell, which Excel treats as invalid content and repairs on open; (2) 199 cells were plain text instead of formulas, because a helper that built driver links omitted the leading '=' - so large parts of the model never calculated. Separately, the whole design was wrong for your workflow: it relied on cross-sheet formulas and named ranges, neither of which survives a copy-paste into another workbook. This rebuild removes all three problems. The calculation chain is now on ONE sheet, which is the only way a pasted sheet can keep working.</t>
        </is>
      </c>
    </row>
    <row r="11">
      <c r="B11" s="4" t="inlineStr">
        <is>
          <t>HOW TO USE IT</t>
        </is>
      </c>
    </row>
    <row r="12" ht="39" customHeight="1">
      <c r="B12" s="3" t="inlineStr">
        <is>
          <t>Go to the 'Model' sheet. In section S0 at the top, set the scenario cell to 1, 2, 3 or 4 (1 = Base, 2 = Bull, 3 = Bear, 4 = Stress). Everything on the sheet recomputes. That is the only cell you need to change. An integer is used rather than a text label so that no text lookup can fail after pasting.</t>
        </is>
      </c>
    </row>
    <row r="14">
      <c r="B14" s="4" t="inlineStr">
        <is>
          <t>WHERE THE 26 REQUIRED WORKSHEET TOPICS LIVE</t>
        </is>
      </c>
    </row>
    <row r="15" ht="91" customHeight="1">
      <c r="B15" s="3" t="inlineStr">
        <is>
          <t>All 26 analytical blocks are present as labelled sections on the Model sheet, in column A: S0 Control | S1 Driver matrix (assumptions, all scenarios) | S2 Active drivers | S3 Capacity expansion tracker | S4 Macroeconomic | S5 Steel demand | S6 Capacity forecast | S7 Steel supply | S8 Capacity utilisation | S9 Steel price | S10 Raw material | S11 Cost curve | S12 Revenue, EBITDA and margin | S13 Working capital and cash flow | S14 Capital allocation | S15 Industry cycle and trade | S16 ESG | S17 Company build | S18 Industry DCF | S19 Audit checks. Scenario manager, sensitivity, comparable valuation, the assumption register, horizon analysis and sources are separate sheets because each is self-contained and does not need live links into the chain.</t>
        </is>
      </c>
    </row>
    <row r="17">
      <c r="B17" s="4" t="inlineStr">
        <is>
          <t>THE ONE DESIGN DECISION THAT MATTERS MOST</t>
        </is>
      </c>
    </row>
    <row r="18" ht="78" customHeight="1">
      <c r="B18" s="3" t="inlineStr">
        <is>
          <t>A LAGGED price-utilisation feedback (driver D23). Effective realisation = driver realisation x (1 + elasticity x (PRIOR-year utilisation less normal utilisation)). Because it is lagged there is no circular reference, but it means capacity, delivery rates and secondary-sector additions genuinely transmit into price and therefore EBITDA. I verified this mattered: before adding it, the capacity drivers showed literally ZERO EBITDA sensitivity - capacity was decorative. It also produces the economically correct and counter-intuitive result that FASTER capacity delivery is EBITDA-NEGATIVE, because it depresses utilisation and therefore price.</t>
        </is>
      </c>
    </row>
    <row r="20">
      <c r="B20" s="4" t="inlineStr">
        <is>
          <t>INDEPENDENT VALIDATION</t>
        </is>
      </c>
    </row>
    <row r="21" ht="39" customHeight="1">
      <c r="B21" s="3" t="inlineStr">
        <is>
          <t>Built bottom-up from a dated 20-project tracker plus a secondary-sector residual, the model produces India crude steel capacity of 302.0 Mtpa in FY2031 against the National Steel Policy 2017 target of 300 Mtpa - within 0.7%. It was not calibrated to that target, so this is a genuine external check on the capacity block.</t>
        </is>
      </c>
    </row>
    <row r="23">
      <c r="B23" s="4" t="inlineStr">
        <is>
          <t>SCENARIOS ARE CALIBRATED TO OBSERVED HISTORY, NOT INVENTED</t>
        </is>
      </c>
    </row>
    <row r="24" ht="65" customHeight="1">
      <c r="B24" s="3" t="inlineStr">
        <is>
          <t>Bull peaks at a 26.0% industry EBITDA margin in FY2030, matching the FY2022 cycle peak (Tata 26%, JSW 27%, Jindal Steel 30%). Stress troughs at -9.2% in FY2028, marginally worse than the worst single observation in the database (SAIL FY2016, -7%). Note that Stress carries HIGHER nominal rupee realisation than Bear despite worse demand, because a rupee collapse to 113/US$ lifts the rupee landed cost of imports by roughly 28%. Modelling stress as simply 'price down, cost up' would be incoherent - the FY2022 evidence is that a coking coal spike to US$354/t coincided with RECORD margins.</t>
        </is>
      </c>
    </row>
    <row r="26">
      <c r="B26" s="4" t="inlineStr">
        <is>
          <t>WHAT YOU MUST FIX BEFORE TRANSACTION USE</t>
        </is>
      </c>
    </row>
    <row r="27" ht="91" customHeight="1">
      <c r="B27" s="3" t="inlineStr">
        <is>
          <t>Four inputs are unsourced and flagged Low confidence: the price-utilisation elasticity (D23, the most important), the raw-material share of cash cost (D13), net working capital days (D18), and the equity risk premium and beta inside WACC. Two are left as user inputs rather than guessed: share prices on the Comps sheet, and a licensed coking coal series to replace the four annotated chart points the database could evidence. NONE of these has been fabricated. Unsourced parameters are held CONSTANT across scenarios, because flexing an unsourced input to manufacture a scenario would be dishonest. The Sensitivity sheet quantifies exactly how much of the answer rests on each: the operating forecast is robust to them, the cash flow and valuation output is not.</t>
        </is>
      </c>
    </row>
    <row r="29">
      <c r="B29" s="4" t="inlineStr">
        <is>
          <t>KNOWN LIMITATIONS</t>
        </is>
      </c>
    </row>
    <row r="30" ht="91" customHeight="1">
      <c r="B30" s="3" t="inlineStr">
        <is>
          <t>1. No endogenous supply response - the model does not idle capacity when margins turn negative, which in reality would arrest a decline, so read Stress as a LOWER BOUND on margin. 2. The price feedback uses prior-year utilisation, which slightly dampens the cycle. 3. Coking coal has no fiscal-year average (database Conflict C01). 4. Working capital is not balance-sheet-derived. 5. No cost curves below the four majors; the secondary sector, about half of India's output, has no cost representation. 6. Share prices not sourced, so no trading multiple is asserted. 7. Invested capital is a replacement-cost proxy, so ROIC is indicative. 8. India-only scope - Tata Steel's Netherlands going-concern uncertainty is outside this model.</t>
        </is>
      </c>
    </row>
    <row r="32">
      <c r="B32" s="4" t="inlineStr">
        <is>
          <t>SOURCE OF FY2026 ACTUALS</t>
        </is>
      </c>
    </row>
    <row r="33" ht="52" customHeight="1">
      <c r="B33" s="3" t="inlineStr">
        <is>
          <t>Master Industry Database.xlsx, whose Sources sheet carries 47 cited sources and whose Conflicts Log carries 16 documented conflicts. This model does not restate or contradict any of it; the four principal reconciliation points - crude steel production, capacity, consumption and finished production - were verified programmatically against the database file at build time.</t>
        </is>
      </c>
    </row>
  </sheetData>
  <printOptions horizontalCentered="1"/>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O372"/>
  <sheetViews>
    <sheetView showGridLines="0" workbookViewId="0">
      <pane xSplit="3" ySplit="10" topLeftCell="D11" activePane="bottomRight" state="frozen"/>
      <selection pane="topRight"/>
      <selection pane="bottomLeft"/>
      <selection pane="bottomRight" activeCell="A1" sqref="A1"/>
    </sheetView>
  </sheetViews>
  <sheetFormatPr baseColWidth="8" defaultRowHeight="15"/>
  <cols>
    <col width="8" customWidth="1" min="1" max="1"/>
    <col width="54" customWidth="1" min="2" max="2"/>
    <col width="1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1" customWidth="1" min="12" max="12"/>
    <col width="24" customWidth="1" min="13" max="13"/>
    <col width="11" customWidth="1" min="14" max="14"/>
    <col width="105" customWidth="1" min="15" max="15"/>
  </cols>
  <sheetData>
    <row r="1" ht="19" customHeight="1">
      <c r="B1" s="1" t="inlineStr">
        <is>
          <t>INDUSTRY FINANCIAL MODEL - INDIAN STEEL INDUSTRY</t>
        </is>
      </c>
    </row>
    <row r="2">
      <c r="B2" s="2" t="inlineStr">
        <is>
          <t>Single-sheet analytical engine. Horizon FY2027E-FY2033E. Base year FY2026A. Built 03-Aug-2026.</t>
        </is>
      </c>
    </row>
    <row r="3">
      <c r="B3" s="3" t="inlineStr"/>
    </row>
    <row r="4">
      <c r="B4" s="3" t="inlineStr">
        <is>
          <t>COPY-PASTE SAFE: every formula on this sheet references only cells on THIS sheet. There are no links to other sheets, no defined names and no Excel Tables. Paste into a blank sheet starting at cell A1 and it will work unchanged.</t>
        </is>
      </c>
    </row>
    <row r="5">
      <c r="B5" s="3" t="inlineStr">
        <is>
          <t>Consumes Master Industry Database.xlsx (FY2026 actuals). Change ONE cell - the scenario number below - and the whole sheet recomputes.</t>
        </is>
      </c>
    </row>
    <row r="6">
      <c r="B6" s="3" t="inlineStr"/>
    </row>
    <row r="7">
      <c r="A7" s="5" t="inlineStr">
        <is>
          <t>S0</t>
        </is>
      </c>
      <c r="B7" s="6" t="inlineStr">
        <is>
          <t>CONTROL</t>
        </is>
      </c>
    </row>
    <row r="8">
      <c r="B8" s="7" t="inlineStr">
        <is>
          <t>SCENARIO (enter 1, 2, 3 or 4)</t>
        </is>
      </c>
      <c r="D8" s="8" t="n">
        <v>1</v>
      </c>
      <c r="O8" s="9" t="inlineStr">
        <is>
          <t>1 = Base, 2 = Bull, 3 = Bear, 4 = Stress. An INTEGER is used rather than a text label so that no text lookup can fail when this sheet is pasted elsewhere.</t>
        </is>
      </c>
    </row>
    <row r="9">
      <c r="B9" s="7" t="inlineStr">
        <is>
          <t>Active scenario</t>
        </is>
      </c>
      <c r="D9" s="10">
        <f>CHOOSE($D$8,"Base Case","Bull Case","Bear Case","Stress Case")</f>
        <v/>
      </c>
    </row>
    <row r="11">
      <c r="A11" s="5" t="inlineStr">
        <is>
          <t>S1</t>
        </is>
      </c>
      <c r="B11" s="6" t="inlineStr">
        <is>
          <t>DRIVER MATRIX - all four scenarios (input; read by S2 only)</t>
        </is>
      </c>
    </row>
    <row r="12" ht="30" customHeight="1">
      <c r="A12" s="11" t="inlineStr">
        <is>
          <t>ID</t>
        </is>
      </c>
      <c r="B12" s="11" t="inlineStr">
        <is>
          <t>Driver</t>
        </is>
      </c>
      <c r="C12" s="11" t="inlineStr">
        <is>
          <t>Scenario</t>
        </is>
      </c>
      <c r="D12" s="11" t="inlineStr">
        <is>
          <t>Unit</t>
        </is>
      </c>
      <c r="E12" s="12" t="inlineStr">
        <is>
          <t>FY2027E</t>
        </is>
      </c>
      <c r="F12" s="12" t="inlineStr">
        <is>
          <t>FY2028E</t>
        </is>
      </c>
      <c r="G12" s="12" t="inlineStr">
        <is>
          <t>FY2029E</t>
        </is>
      </c>
      <c r="H12" s="12" t="inlineStr">
        <is>
          <t>FY2030E</t>
        </is>
      </c>
      <c r="I12" s="12" t="inlineStr">
        <is>
          <t>FY2031E</t>
        </is>
      </c>
      <c r="J12" s="12" t="inlineStr">
        <is>
          <t>FY2032E</t>
        </is>
      </c>
      <c r="K12" s="12" t="inlineStr">
        <is>
          <t>FY2033E</t>
        </is>
      </c>
      <c r="L12" s="12" t="inlineStr"/>
      <c r="M12" s="11" t="inlineStr">
        <is>
          <t>Source</t>
        </is>
      </c>
      <c r="N12" s="12" t="inlineStr">
        <is>
          <t>Conf.</t>
        </is>
      </c>
      <c r="O12" s="11" t="inlineStr">
        <is>
          <t>Evidence and reasoning</t>
        </is>
      </c>
    </row>
    <row r="13">
      <c r="A13" s="13" t="inlineStr">
        <is>
          <t>D01</t>
        </is>
      </c>
      <c r="B13" s="14" t="inlineStr">
        <is>
          <t>India real GDP growth</t>
        </is>
      </c>
      <c r="C13" s="15" t="inlineStr">
        <is>
          <t>Base Case</t>
        </is>
      </c>
      <c r="D13" s="16" t="inlineStr">
        <is>
          <t>%</t>
        </is>
      </c>
      <c r="E13" s="17" t="n">
        <v>0.066</v>
      </c>
      <c r="F13" s="17" t="n">
        <v>0.068</v>
      </c>
      <c r="G13" s="17" t="n">
        <v>0.068</v>
      </c>
      <c r="H13" s="17" t="n">
        <v>0.067</v>
      </c>
      <c r="I13" s="17" t="n">
        <v>0.067</v>
      </c>
      <c r="J13" s="17" t="n">
        <v>0.065</v>
      </c>
      <c r="K13" s="17" t="n">
        <v>0.065</v>
      </c>
      <c r="M13" s="3" t="inlineStr">
        <is>
          <t>RBI-Jun26</t>
        </is>
      </c>
      <c r="N13" s="13" t="inlineStr">
        <is>
          <t>High</t>
        </is>
      </c>
      <c r="O13" s="3" t="inlineStr">
        <is>
          <t>RBI Monetary Policy Committee, 05-Jun-2026, projects FY2027 real GDP growth at 6.6%, revised down from 6.9% in Apr-2026 on West Asia conflict, energy prices and monsoon risk; FY2026 estimated at 7.6%; Q4FY2026 actual 7.7%. Base case adopts the RBI FY2027 figure unchanged, then converges to a 6.5% steady state. Bull adds ~80bps on the RBI's own stated sensitivity that growth 'could top 7% if oil prices fall further'. Stress applies a 220bps FY2027 shock, comparable in magnitude to a global recession year.</t>
        </is>
      </c>
    </row>
    <row r="14">
      <c r="A14" s="13" t="inlineStr"/>
      <c r="B14" s="18" t="inlineStr"/>
      <c r="C14" s="15" t="inlineStr">
        <is>
          <t>Bull Case</t>
        </is>
      </c>
      <c r="D14" s="16" t="inlineStr"/>
      <c r="E14" s="17" t="n">
        <v>0.074</v>
      </c>
      <c r="F14" s="17" t="n">
        <v>0.076</v>
      </c>
      <c r="G14" s="17" t="n">
        <v>0.075</v>
      </c>
      <c r="H14" s="17" t="n">
        <v>0.074</v>
      </c>
      <c r="I14" s="17" t="n">
        <v>0.073</v>
      </c>
      <c r="J14" s="17" t="n">
        <v>0.07199999999999999</v>
      </c>
      <c r="K14" s="17" t="n">
        <v>0.07000000000000001</v>
      </c>
    </row>
    <row r="15">
      <c r="A15" s="13" t="inlineStr"/>
      <c r="B15" s="18" t="inlineStr"/>
      <c r="C15" s="15" t="inlineStr">
        <is>
          <t>Bear Case</t>
        </is>
      </c>
      <c r="D15" s="16" t="inlineStr"/>
      <c r="E15" s="17" t="n">
        <v>0.056</v>
      </c>
      <c r="F15" s="17" t="n">
        <v>0.058</v>
      </c>
      <c r="G15" s="17" t="n">
        <v>0.06</v>
      </c>
      <c r="H15" s="17" t="n">
        <v>0.061</v>
      </c>
      <c r="I15" s="17" t="n">
        <v>0.062</v>
      </c>
      <c r="J15" s="17" t="n">
        <v>0.062</v>
      </c>
      <c r="K15" s="17" t="n">
        <v>0.062</v>
      </c>
    </row>
    <row r="16">
      <c r="A16" s="13" t="inlineStr"/>
      <c r="B16" s="18" t="inlineStr"/>
      <c r="C16" s="15" t="inlineStr">
        <is>
          <t>Stress Case</t>
        </is>
      </c>
      <c r="D16" s="16" t="inlineStr"/>
      <c r="E16" s="17" t="n">
        <v>0.044</v>
      </c>
      <c r="F16" s="17" t="n">
        <v>0.048</v>
      </c>
      <c r="G16" s="17" t="n">
        <v>0.055</v>
      </c>
      <c r="H16" s="17" t="n">
        <v>0.058</v>
      </c>
      <c r="I16" s="17" t="n">
        <v>0.06</v>
      </c>
      <c r="J16" s="17" t="n">
        <v>0.06</v>
      </c>
      <c r="K16" s="17" t="n">
        <v>0.06</v>
      </c>
    </row>
    <row r="17">
      <c r="A17" s="13" t="inlineStr">
        <is>
          <t>D02</t>
        </is>
      </c>
      <c r="B17" s="14" t="inlineStr">
        <is>
          <t>Steel demand elasticity to real GDP</t>
        </is>
      </c>
      <c r="C17" s="15" t="inlineStr">
        <is>
          <t>Base Case</t>
        </is>
      </c>
      <c r="D17" s="16" t="inlineStr">
        <is>
          <t>x</t>
        </is>
      </c>
      <c r="E17" s="19" t="n">
        <v>1.15</v>
      </c>
      <c r="F17" s="19" t="n">
        <v>1.15</v>
      </c>
      <c r="G17" s="19" t="n">
        <v>1.12</v>
      </c>
      <c r="H17" s="19" t="n">
        <v>1.1</v>
      </c>
      <c r="I17" s="19" t="n">
        <v>1.08</v>
      </c>
      <c r="J17" s="19" t="n">
        <v>1.06</v>
      </c>
      <c r="K17" s="19" t="n">
        <v>1.05</v>
      </c>
      <c r="M17" s="3" t="inlineStr">
        <is>
          <t>Derived-DB</t>
        </is>
      </c>
      <c r="N17" s="13" t="inlineStr">
        <is>
          <t>High</t>
        </is>
      </c>
      <c r="O17" s="3" t="inlineStr">
        <is>
          <t>Realised elasticity FY2015-FY2026 is 1.06x to 1.13x: apparent consumption compounded at 7.13% (76.99 Mt to 164.19 Mt over 11 years) against real GDP CAGR of roughly 6.3-6.7%, midpoint 1.10x. Near-term base is set slightly above at 1.15x because worldsteel's Apr-2026 Short Range Outlook forecasts Indian demand +7.4% in CY2026 and +9.2% in CY2027 against RBI GDP of 6.6%, implying 1.1x-1.4x. Elasticity tapers toward 1.05x by FY2033 on the standard maturing-intensity argument as per capita consumption rises from 115.7 kg. Stress assumes elasticity falls below 1.0x, as it did in FY2021 (-5.27% consumption on a positive-growth base effect).</t>
        </is>
      </c>
    </row>
    <row r="18">
      <c r="A18" s="13" t="inlineStr"/>
      <c r="B18" s="18" t="inlineStr"/>
      <c r="C18" s="15" t="inlineStr">
        <is>
          <t>Bull Case</t>
        </is>
      </c>
      <c r="D18" s="16" t="inlineStr"/>
      <c r="E18" s="19" t="n">
        <v>1.3</v>
      </c>
      <c r="F18" s="19" t="n">
        <v>1.28</v>
      </c>
      <c r="G18" s="19" t="n">
        <v>1.25</v>
      </c>
      <c r="H18" s="19" t="n">
        <v>1.22</v>
      </c>
      <c r="I18" s="19" t="n">
        <v>1.2</v>
      </c>
      <c r="J18" s="19" t="n">
        <v>1.18</v>
      </c>
      <c r="K18" s="19" t="n">
        <v>1.15</v>
      </c>
    </row>
    <row r="19">
      <c r="A19" s="13" t="inlineStr"/>
      <c r="B19" s="18" t="inlineStr"/>
      <c r="C19" s="15" t="inlineStr">
        <is>
          <t>Bear Case</t>
        </is>
      </c>
      <c r="D19" s="16" t="inlineStr"/>
      <c r="E19" s="19" t="n">
        <v>1</v>
      </c>
      <c r="F19" s="19" t="n">
        <v>1</v>
      </c>
      <c r="G19" s="19" t="n">
        <v>0.98</v>
      </c>
      <c r="H19" s="19" t="n">
        <v>0.97</v>
      </c>
      <c r="I19" s="19" t="n">
        <v>0.96</v>
      </c>
      <c r="J19" s="19" t="n">
        <v>0.95</v>
      </c>
      <c r="K19" s="19" t="n">
        <v>0.95</v>
      </c>
    </row>
    <row r="20">
      <c r="A20" s="13" t="inlineStr"/>
      <c r="B20" s="18" t="inlineStr"/>
      <c r="C20" s="15" t="inlineStr">
        <is>
          <t>Stress Case</t>
        </is>
      </c>
      <c r="D20" s="16" t="inlineStr"/>
      <c r="E20" s="19" t="n">
        <v>0.75</v>
      </c>
      <c r="F20" s="19" t="n">
        <v>0.85</v>
      </c>
      <c r="G20" s="19" t="n">
        <v>0.9</v>
      </c>
      <c r="H20" s="19" t="n">
        <v>0.92</v>
      </c>
      <c r="I20" s="19" t="n">
        <v>0.93</v>
      </c>
      <c r="J20" s="19" t="n">
        <v>0.9399999999999999</v>
      </c>
      <c r="K20" s="19" t="n">
        <v>0.95</v>
      </c>
    </row>
    <row r="21">
      <c r="A21" s="13" t="inlineStr">
        <is>
          <t>D03</t>
        </is>
      </c>
      <c r="B21" s="14" t="inlineStr">
        <is>
          <t>USD/INR average</t>
        </is>
      </c>
      <c r="C21" s="15" t="inlineStr">
        <is>
          <t>Base Case</t>
        </is>
      </c>
      <c r="D21" s="16" t="inlineStr">
        <is>
          <t>Rs/US$</t>
        </is>
      </c>
      <c r="E21" s="20" t="n">
        <v>94.5</v>
      </c>
      <c r="F21" s="20" t="n">
        <v>95.5</v>
      </c>
      <c r="G21" s="20" t="n">
        <v>96.5</v>
      </c>
      <c r="H21" s="20" t="n">
        <v>97.5</v>
      </c>
      <c r="I21" s="20" t="n">
        <v>98.5</v>
      </c>
      <c r="J21" s="20" t="n">
        <v>99.5</v>
      </c>
      <c r="K21" s="20" t="n">
        <v>100.5</v>
      </c>
      <c r="M21" s="3" t="inlineStr">
        <is>
          <t>IDBI-22Jun26</t>
        </is>
      </c>
      <c r="N21" s="13" t="inlineStr">
        <is>
          <t>High</t>
        </is>
      </c>
      <c r="O21" s="3" t="inlineStr">
        <is>
          <t>Spot USD/INR was 94 on 22-Jun-2026 with a 52-week range of 85 to 98 (IDBI Capital commodity tracker). Base assumes ~1.0% annual depreciation, consistent with the inflation differential implied by RBI's 5.1% FY2027 CPI projection against developed-market targets of ~2%. Stress takes INR beyond the 52-week low to 113, a ~20% depreciation from spot. MATERIAL BOTH WAYS: a weaker INR raises rupee raw-material cost (iron ore, coking coal and nickel are dollar-priced) but also raises the rupee landed cost of imports, supporting domestic realisations.</t>
        </is>
      </c>
    </row>
    <row r="22">
      <c r="A22" s="13" t="inlineStr"/>
      <c r="B22" s="18" t="inlineStr"/>
      <c r="C22" s="15" t="inlineStr">
        <is>
          <t>Bull Case</t>
        </is>
      </c>
      <c r="D22" s="16" t="inlineStr"/>
      <c r="E22" s="20" t="n">
        <v>93</v>
      </c>
      <c r="F22" s="20" t="n">
        <v>93.5</v>
      </c>
      <c r="G22" s="20" t="n">
        <v>94</v>
      </c>
      <c r="H22" s="20" t="n">
        <v>94.5</v>
      </c>
      <c r="I22" s="20" t="n">
        <v>95</v>
      </c>
      <c r="J22" s="20" t="n">
        <v>95.5</v>
      </c>
      <c r="K22" s="20" t="n">
        <v>96</v>
      </c>
    </row>
    <row r="23">
      <c r="A23" s="13" t="inlineStr"/>
      <c r="B23" s="18" t="inlineStr"/>
      <c r="C23" s="15" t="inlineStr">
        <is>
          <t>Bear Case</t>
        </is>
      </c>
      <c r="D23" s="16" t="inlineStr"/>
      <c r="E23" s="20" t="n">
        <v>96.5</v>
      </c>
      <c r="F23" s="20" t="n">
        <v>98.5</v>
      </c>
      <c r="G23" s="20" t="n">
        <v>100</v>
      </c>
      <c r="H23" s="20" t="n">
        <v>101.5</v>
      </c>
      <c r="I23" s="20" t="n">
        <v>103</v>
      </c>
      <c r="J23" s="20" t="n">
        <v>104.5</v>
      </c>
      <c r="K23" s="20" t="n">
        <v>106</v>
      </c>
    </row>
    <row r="24">
      <c r="A24" s="13" t="inlineStr"/>
      <c r="B24" s="18" t="inlineStr"/>
      <c r="C24" s="15" t="inlineStr">
        <is>
          <t>Stress Case</t>
        </is>
      </c>
      <c r="D24" s="16" t="inlineStr"/>
      <c r="E24" s="20" t="n">
        <v>101</v>
      </c>
      <c r="F24" s="20" t="n">
        <v>105</v>
      </c>
      <c r="G24" s="20" t="n">
        <v>107</v>
      </c>
      <c r="H24" s="20" t="n">
        <v>108.5</v>
      </c>
      <c r="I24" s="20" t="n">
        <v>110</v>
      </c>
      <c r="J24" s="20" t="n">
        <v>111.5</v>
      </c>
      <c r="K24" s="20" t="n">
        <v>113</v>
      </c>
    </row>
    <row r="25">
      <c r="A25" s="13" t="inlineStr">
        <is>
          <t>D04</t>
        </is>
      </c>
      <c r="B25" s="14" t="inlineStr">
        <is>
          <t>CPI inflation</t>
        </is>
      </c>
      <c r="C25" s="15" t="inlineStr">
        <is>
          <t>Base Case</t>
        </is>
      </c>
      <c r="D25" s="16" t="inlineStr">
        <is>
          <t>%</t>
        </is>
      </c>
      <c r="E25" s="17" t="n">
        <v>0.051</v>
      </c>
      <c r="F25" s="17" t="n">
        <v>0.046</v>
      </c>
      <c r="G25" s="17" t="n">
        <v>0.045</v>
      </c>
      <c r="H25" s="17" t="n">
        <v>0.045</v>
      </c>
      <c r="I25" s="17" t="n">
        <v>0.045</v>
      </c>
      <c r="J25" s="17" t="n">
        <v>0.045</v>
      </c>
      <c r="K25" s="17" t="n">
        <v>0.045</v>
      </c>
      <c r="M25" s="3" t="inlineStr">
        <is>
          <t>RBI-Jun26</t>
        </is>
      </c>
      <c r="N25" s="13" t="inlineStr">
        <is>
          <t>High</t>
        </is>
      </c>
      <c r="O25" s="3" t="inlineStr">
        <is>
          <t>RBI raised its FY2027 CPI projection by 50bps to 5.1% at the 05-Jun-2026 MPC, citing crude oil and supply disruption. Base converges to the 4.5% mid-point of the RBI's 4%+/-2% target band. Drives conversion cost inflation (D12) and the discount rate.</t>
        </is>
      </c>
    </row>
    <row r="26">
      <c r="A26" s="13" t="inlineStr"/>
      <c r="B26" s="18" t="inlineStr"/>
      <c r="C26" s="15" t="inlineStr">
        <is>
          <t>Bull Case</t>
        </is>
      </c>
      <c r="D26" s="16" t="inlineStr"/>
      <c r="E26" s="17" t="n">
        <v>0.045</v>
      </c>
      <c r="F26" s="17" t="n">
        <v>0.042</v>
      </c>
      <c r="G26" s="17" t="n">
        <v>0.042</v>
      </c>
      <c r="H26" s="17" t="n">
        <v>0.042</v>
      </c>
      <c r="I26" s="17" t="n">
        <v>0.042</v>
      </c>
      <c r="J26" s="17" t="n">
        <v>0.042</v>
      </c>
      <c r="K26" s="17" t="n">
        <v>0.042</v>
      </c>
    </row>
    <row r="27">
      <c r="A27" s="13" t="inlineStr"/>
      <c r="B27" s="18" t="inlineStr"/>
      <c r="C27" s="15" t="inlineStr">
        <is>
          <t>Bear Case</t>
        </is>
      </c>
      <c r="D27" s="16" t="inlineStr"/>
      <c r="E27" s="17" t="n">
        <v>0.057</v>
      </c>
      <c r="F27" s="17" t="n">
        <v>0.052</v>
      </c>
      <c r="G27" s="17" t="n">
        <v>0.05</v>
      </c>
      <c r="H27" s="17" t="n">
        <v>0.048</v>
      </c>
      <c r="I27" s="17" t="n">
        <v>0.048</v>
      </c>
      <c r="J27" s="17" t="n">
        <v>0.048</v>
      </c>
      <c r="K27" s="17" t="n">
        <v>0.048</v>
      </c>
    </row>
    <row r="28">
      <c r="A28" s="13" t="inlineStr"/>
      <c r="B28" s="18" t="inlineStr"/>
      <c r="C28" s="15" t="inlineStr">
        <is>
          <t>Stress Case</t>
        </is>
      </c>
      <c r="D28" s="16" t="inlineStr"/>
      <c r="E28" s="17" t="n">
        <v>0.068</v>
      </c>
      <c r="F28" s="17" t="n">
        <v>0.062</v>
      </c>
      <c r="G28" s="17" t="n">
        <v>0.055</v>
      </c>
      <c r="H28" s="17" t="n">
        <v>0.052</v>
      </c>
      <c r="I28" s="17" t="n">
        <v>0.05</v>
      </c>
      <c r="J28" s="17" t="n">
        <v>0.05</v>
      </c>
      <c r="K28" s="17" t="n">
        <v>0.05</v>
      </c>
    </row>
    <row r="29">
      <c r="A29" s="13" t="inlineStr">
        <is>
          <t>D05</t>
        </is>
      </c>
      <c r="B29" s="14" t="inlineStr">
        <is>
          <t>Announced pipeline delivery factor</t>
        </is>
      </c>
      <c r="C29" s="15" t="inlineStr">
        <is>
          <t>Base Case</t>
        </is>
      </c>
      <c r="D29" s="16" t="inlineStr">
        <is>
          <t>%</t>
        </is>
      </c>
      <c r="E29" s="17" t="n">
        <v>0.85</v>
      </c>
      <c r="F29" s="17" t="n">
        <v>0.85</v>
      </c>
      <c r="G29" s="17" t="n">
        <v>0.85</v>
      </c>
      <c r="H29" s="17" t="n">
        <v>0.85</v>
      </c>
      <c r="I29" s="17" t="n">
        <v>0.85</v>
      </c>
      <c r="J29" s="17" t="n">
        <v>0.85</v>
      </c>
      <c r="K29" s="17" t="n">
        <v>0.85</v>
      </c>
      <c r="M29" s="3" t="inlineStr">
        <is>
          <t>Derived-DB</t>
        </is>
      </c>
      <c r="N29" s="13" t="inlineStr">
        <is>
          <t>Medium</t>
        </is>
      </c>
      <c r="O29" s="3" t="inlineStr">
        <is>
          <t>Proportion of dated announced capacity additions assumed to commission on schedule. Calibrated against realised delivery: India added 20.82 Mtpa in FY2025 and 20.07 Mtpa in FY2026 (Master DB), against a National Steel Policy path to 300 Mtpa by FY2031 that requires roughly 16 Mtpa a year - i.e. recent delivery has RUN AHEAD of the required rate, which supports a base factor materially above 50%. 85% rather than 100% reflects the routine slippage evident in the tracker (JSW Vijayanagar BF-3 was still under testing at FY2026 year-end; AM/NS Hazira 9 to 15 Mtpa has been in progress for several years). Stress at 55% reflects a capital-constrained environment.</t>
        </is>
      </c>
    </row>
    <row r="30">
      <c r="A30" s="13" t="inlineStr"/>
      <c r="B30" s="18" t="inlineStr"/>
      <c r="C30" s="15" t="inlineStr">
        <is>
          <t>Bull Case</t>
        </is>
      </c>
      <c r="D30" s="16" t="inlineStr"/>
      <c r="E30" s="17" t="n">
        <v>0.95</v>
      </c>
      <c r="F30" s="17" t="n">
        <v>0.95</v>
      </c>
      <c r="G30" s="17" t="n">
        <v>0.95</v>
      </c>
      <c r="H30" s="17" t="n">
        <v>0.95</v>
      </c>
      <c r="I30" s="17" t="n">
        <v>0.95</v>
      </c>
      <c r="J30" s="17" t="n">
        <v>0.95</v>
      </c>
      <c r="K30" s="17" t="n">
        <v>0.95</v>
      </c>
    </row>
    <row r="31">
      <c r="A31" s="13" t="inlineStr"/>
      <c r="B31" s="18" t="inlineStr"/>
      <c r="C31" s="15" t="inlineStr">
        <is>
          <t>Bear Case</t>
        </is>
      </c>
      <c r="D31" s="16" t="inlineStr"/>
      <c r="E31" s="17" t="n">
        <v>0.7</v>
      </c>
      <c r="F31" s="17" t="n">
        <v>0.7</v>
      </c>
      <c r="G31" s="17" t="n">
        <v>0.7</v>
      </c>
      <c r="H31" s="17" t="n">
        <v>0.7</v>
      </c>
      <c r="I31" s="17" t="n">
        <v>0.7</v>
      </c>
      <c r="J31" s="17" t="n">
        <v>0.7</v>
      </c>
      <c r="K31" s="17" t="n">
        <v>0.7</v>
      </c>
    </row>
    <row r="32">
      <c r="A32" s="13" t="inlineStr"/>
      <c r="B32" s="18" t="inlineStr"/>
      <c r="C32" s="15" t="inlineStr">
        <is>
          <t>Stress Case</t>
        </is>
      </c>
      <c r="D32" s="16" t="inlineStr"/>
      <c r="E32" s="17" t="n">
        <v>0.55</v>
      </c>
      <c r="F32" s="17" t="n">
        <v>0.55</v>
      </c>
      <c r="G32" s="17" t="n">
        <v>0.55</v>
      </c>
      <c r="H32" s="17" t="n">
        <v>0.55</v>
      </c>
      <c r="I32" s="17" t="n">
        <v>0.55</v>
      </c>
      <c r="J32" s="17" t="n">
        <v>0.55</v>
      </c>
      <c r="K32" s="17" t="n">
        <v>0.55</v>
      </c>
    </row>
    <row r="33">
      <c r="A33" s="13" t="inlineStr">
        <is>
          <t>D06</t>
        </is>
      </c>
      <c r="B33" s="14" t="inlineStr">
        <is>
          <t>Crude-to-finished steel ratio</t>
        </is>
      </c>
      <c r="C33" s="15" t="inlineStr">
        <is>
          <t>Base Case</t>
        </is>
      </c>
      <c r="D33" s="16" t="inlineStr">
        <is>
          <t>x</t>
        </is>
      </c>
      <c r="E33" s="19" t="n">
        <v>1.0465</v>
      </c>
      <c r="F33" s="19" t="n">
        <v>1.0465</v>
      </c>
      <c r="G33" s="19" t="n">
        <v>1.0465</v>
      </c>
      <c r="H33" s="19" t="n">
        <v>1.0465</v>
      </c>
      <c r="I33" s="19" t="n">
        <v>1.0465</v>
      </c>
      <c r="J33" s="19" t="n">
        <v>1.0465</v>
      </c>
      <c r="K33" s="19" t="n">
        <v>1.0465</v>
      </c>
      <c r="M33" s="3" t="inlineStr">
        <is>
          <t>Derived-DB</t>
        </is>
      </c>
      <c r="N33" s="13" t="inlineStr">
        <is>
          <t>High</t>
        </is>
      </c>
      <c r="O33" s="3" t="inlineStr">
        <is>
          <t>FY2026 actual 168.42 / 160.94 = 1.0465 on the April-2026 JPC vintage used throughout the model (Master DB). Held flat in the base case: yield improvement is slow and offsetting mix effects are material. Bull assumes modest yield gains from continuous casting and newer assets; bear and stress assume yield deterioration from higher utilisation of older assets.</t>
        </is>
      </c>
    </row>
    <row r="34">
      <c r="A34" s="13" t="inlineStr"/>
      <c r="B34" s="18" t="inlineStr"/>
      <c r="C34" s="15" t="inlineStr">
        <is>
          <t>Bull Case</t>
        </is>
      </c>
      <c r="D34" s="16" t="inlineStr"/>
      <c r="E34" s="19" t="n">
        <v>1.043</v>
      </c>
      <c r="F34" s="19" t="n">
        <v>1.043</v>
      </c>
      <c r="G34" s="19" t="n">
        <v>1.043</v>
      </c>
      <c r="H34" s="19" t="n">
        <v>1.043</v>
      </c>
      <c r="I34" s="19" t="n">
        <v>1.043</v>
      </c>
      <c r="J34" s="19" t="n">
        <v>1.043</v>
      </c>
      <c r="K34" s="19" t="n">
        <v>1.043</v>
      </c>
    </row>
    <row r="35">
      <c r="A35" s="13" t="inlineStr"/>
      <c r="B35" s="18" t="inlineStr"/>
      <c r="C35" s="15" t="inlineStr">
        <is>
          <t>Bear Case</t>
        </is>
      </c>
      <c r="D35" s="16" t="inlineStr"/>
      <c r="E35" s="19" t="n">
        <v>1.05</v>
      </c>
      <c r="F35" s="19" t="n">
        <v>1.05</v>
      </c>
      <c r="G35" s="19" t="n">
        <v>1.05</v>
      </c>
      <c r="H35" s="19" t="n">
        <v>1.05</v>
      </c>
      <c r="I35" s="19" t="n">
        <v>1.05</v>
      </c>
      <c r="J35" s="19" t="n">
        <v>1.05</v>
      </c>
      <c r="K35" s="19" t="n">
        <v>1.05</v>
      </c>
    </row>
    <row r="36">
      <c r="A36" s="13" t="inlineStr"/>
      <c r="B36" s="18" t="inlineStr"/>
      <c r="C36" s="15" t="inlineStr">
        <is>
          <t>Stress Case</t>
        </is>
      </c>
      <c r="D36" s="16" t="inlineStr"/>
      <c r="E36" s="19" t="n">
        <v>1.053</v>
      </c>
      <c r="F36" s="19" t="n">
        <v>1.053</v>
      </c>
      <c r="G36" s="19" t="n">
        <v>1.053</v>
      </c>
      <c r="H36" s="19" t="n">
        <v>1.053</v>
      </c>
      <c r="I36" s="19" t="n">
        <v>1.053</v>
      </c>
      <c r="J36" s="19" t="n">
        <v>1.053</v>
      </c>
      <c r="K36" s="19" t="n">
        <v>1.053</v>
      </c>
    </row>
    <row r="37">
      <c r="A37" s="13" t="inlineStr">
        <is>
          <t>D07</t>
        </is>
      </c>
      <c r="B37" s="14" t="inlineStr">
        <is>
          <t>Net finished steel exports</t>
        </is>
      </c>
      <c r="C37" s="15" t="inlineStr">
        <is>
          <t>Base Case</t>
        </is>
      </c>
      <c r="D37" s="16" t="inlineStr">
        <is>
          <t>Mt</t>
        </is>
      </c>
      <c r="E37" s="20" t="n">
        <v>0.5</v>
      </c>
      <c r="F37" s="20" t="n">
        <v>1</v>
      </c>
      <c r="G37" s="20" t="n">
        <v>1.5</v>
      </c>
      <c r="H37" s="20" t="n">
        <v>2</v>
      </c>
      <c r="I37" s="20" t="n">
        <v>2.5</v>
      </c>
      <c r="J37" s="20" t="n">
        <v>3</v>
      </c>
      <c r="K37" s="20" t="n">
        <v>3.5</v>
      </c>
      <c r="M37" s="3" t="inlineStr">
        <is>
          <t>Derived-DB</t>
        </is>
      </c>
      <c r="N37" s="13" t="inlineStr">
        <is>
          <t>Medium</t>
        </is>
      </c>
      <c r="O37" s="3" t="inlineStr">
        <is>
          <t>FY2026 actual net exports +0.078 Mt, having swung 4.77 Mt from a 4.693 Mt net import position in FY2025 (Master DB). Base assumes India becomes a progressively larger net exporter as capacity growth outpaces demand growth. Bear case is HIGHER net exports, because weak domestic demand forces surplus tonnes offshore at lower realisations. Stress reverses the sign: a demand collapse in India combined with the safeguard duty lapsing in Apr-2028 makes India a net importer again, which is the historically observed FY2025 configuration.</t>
        </is>
      </c>
    </row>
    <row r="38">
      <c r="A38" s="13" t="inlineStr"/>
      <c r="B38" s="18" t="inlineStr"/>
      <c r="C38" s="15" t="inlineStr">
        <is>
          <t>Bull Case</t>
        </is>
      </c>
      <c r="D38" s="16" t="inlineStr"/>
      <c r="E38" s="20" t="n">
        <v>0</v>
      </c>
      <c r="F38" s="20" t="n">
        <v>0</v>
      </c>
      <c r="G38" s="20" t="n">
        <v>0.5</v>
      </c>
      <c r="H38" s="20" t="n">
        <v>0.5</v>
      </c>
      <c r="I38" s="20" t="n">
        <v>1</v>
      </c>
      <c r="J38" s="20" t="n">
        <v>1</v>
      </c>
      <c r="K38" s="20" t="n">
        <v>1.5</v>
      </c>
    </row>
    <row r="39">
      <c r="A39" s="13" t="inlineStr"/>
      <c r="B39" s="18" t="inlineStr"/>
      <c r="C39" s="15" t="inlineStr">
        <is>
          <t>Bear Case</t>
        </is>
      </c>
      <c r="D39" s="16" t="inlineStr"/>
      <c r="E39" s="20" t="n">
        <v>1.5</v>
      </c>
      <c r="F39" s="20" t="n">
        <v>2.5</v>
      </c>
      <c r="G39" s="20" t="n">
        <v>3.5</v>
      </c>
      <c r="H39" s="20" t="n">
        <v>4.5</v>
      </c>
      <c r="I39" s="20" t="n">
        <v>5.5</v>
      </c>
      <c r="J39" s="20" t="n">
        <v>6</v>
      </c>
      <c r="K39" s="20" t="n">
        <v>6.5</v>
      </c>
    </row>
    <row r="40">
      <c r="A40" s="13" t="inlineStr"/>
      <c r="B40" s="18" t="inlineStr"/>
      <c r="C40" s="15" t="inlineStr">
        <is>
          <t>Stress Case</t>
        </is>
      </c>
      <c r="D40" s="16" t="inlineStr"/>
      <c r="E40" s="20" t="n">
        <v>-1</v>
      </c>
      <c r="F40" s="20" t="n">
        <v>-2.5</v>
      </c>
      <c r="G40" s="20" t="n">
        <v>-3.5</v>
      </c>
      <c r="H40" s="20" t="n">
        <v>-4</v>
      </c>
      <c r="I40" s="20" t="n">
        <v>-4.5</v>
      </c>
      <c r="J40" s="20" t="n">
        <v>-5</v>
      </c>
      <c r="K40" s="20" t="n">
        <v>-5</v>
      </c>
    </row>
    <row r="41">
      <c r="A41" s="13" t="inlineStr">
        <is>
          <t>D08</t>
        </is>
      </c>
      <c r="B41" s="14" t="inlineStr">
        <is>
          <t>Variation in stock</t>
        </is>
      </c>
      <c r="C41" s="15" t="inlineStr">
        <is>
          <t>Base Case</t>
        </is>
      </c>
      <c r="D41" s="16" t="inlineStr">
        <is>
          <t>Mt</t>
        </is>
      </c>
      <c r="E41" s="20" t="n">
        <v>-1</v>
      </c>
      <c r="F41" s="20" t="n">
        <v>0</v>
      </c>
      <c r="G41" s="20" t="n">
        <v>0.5</v>
      </c>
      <c r="H41" s="20" t="n">
        <v>0.5</v>
      </c>
      <c r="I41" s="20" t="n">
        <v>0.5</v>
      </c>
      <c r="J41" s="20" t="n">
        <v>0.5</v>
      </c>
      <c r="K41" s="20" t="n">
        <v>0.5</v>
      </c>
      <c r="M41" s="3" t="inlineStr">
        <is>
          <t>Derived-DB</t>
        </is>
      </c>
      <c r="N41" s="13" t="inlineStr">
        <is>
          <t>Medium</t>
        </is>
      </c>
      <c r="O41" s="3" t="inlineStr">
        <is>
          <t>FY2026 actual -2.88 Mt, i.e. a destock of about 1.8% of consumption which flattered reported consumption growth (Master DB, supply balance line 6). Base normalises toward a small restock. Bear and stress assume inventory build, which is the classic signature of a demand disappointment and is a drag on apparent consumption.</t>
        </is>
      </c>
    </row>
    <row r="42">
      <c r="A42" s="13" t="inlineStr"/>
      <c r="B42" s="18" t="inlineStr"/>
      <c r="C42" s="15" t="inlineStr">
        <is>
          <t>Bull Case</t>
        </is>
      </c>
      <c r="D42" s="16" t="inlineStr"/>
      <c r="E42" s="20" t="n">
        <v>-1.5</v>
      </c>
      <c r="F42" s="20" t="n">
        <v>-0.5</v>
      </c>
      <c r="G42" s="20" t="n">
        <v>0</v>
      </c>
      <c r="H42" s="20" t="n">
        <v>0</v>
      </c>
      <c r="I42" s="20" t="n">
        <v>0.5</v>
      </c>
      <c r="J42" s="20" t="n">
        <v>0.5</v>
      </c>
      <c r="K42" s="20" t="n">
        <v>0.5</v>
      </c>
    </row>
    <row r="43">
      <c r="A43" s="13" t="inlineStr"/>
      <c r="B43" s="18" t="inlineStr"/>
      <c r="C43" s="15" t="inlineStr">
        <is>
          <t>Bear Case</t>
        </is>
      </c>
      <c r="D43" s="16" t="inlineStr"/>
      <c r="E43" s="20" t="n">
        <v>0.5</v>
      </c>
      <c r="F43" s="20" t="n">
        <v>1.5</v>
      </c>
      <c r="G43" s="20" t="n">
        <v>1.5</v>
      </c>
      <c r="H43" s="20" t="n">
        <v>1</v>
      </c>
      <c r="I43" s="20" t="n">
        <v>1</v>
      </c>
      <c r="J43" s="20" t="n">
        <v>1</v>
      </c>
      <c r="K43" s="20" t="n">
        <v>1</v>
      </c>
    </row>
    <row r="44">
      <c r="A44" s="13" t="inlineStr"/>
      <c r="B44" s="18" t="inlineStr"/>
      <c r="C44" s="15" t="inlineStr">
        <is>
          <t>Stress Case</t>
        </is>
      </c>
      <c r="D44" s="16" t="inlineStr"/>
      <c r="E44" s="20" t="n">
        <v>2</v>
      </c>
      <c r="F44" s="20" t="n">
        <v>3</v>
      </c>
      <c r="G44" s="20" t="n">
        <v>2.5</v>
      </c>
      <c r="H44" s="20" t="n">
        <v>2</v>
      </c>
      <c r="I44" s="20" t="n">
        <v>1.5</v>
      </c>
      <c r="J44" s="20" t="n">
        <v>1</v>
      </c>
      <c r="K44" s="20" t="n">
        <v>1</v>
      </c>
    </row>
    <row r="45">
      <c r="A45" s="13" t="inlineStr">
        <is>
          <t>D09</t>
        </is>
      </c>
      <c r="B45" s="14" t="inlineStr">
        <is>
          <t>Blended industry realisation</t>
        </is>
      </c>
      <c r="C45" s="15" t="inlineStr">
        <is>
          <t>Base Case</t>
        </is>
      </c>
      <c r="D45" s="16" t="inlineStr">
        <is>
          <t>Rs/t</t>
        </is>
      </c>
      <c r="E45" s="21" t="n">
        <v>61800</v>
      </c>
      <c r="F45" s="21" t="n">
        <v>61000</v>
      </c>
      <c r="G45" s="21" t="n">
        <v>60500</v>
      </c>
      <c r="H45" s="21" t="n">
        <v>62000</v>
      </c>
      <c r="I45" s="21" t="n">
        <v>64000</v>
      </c>
      <c r="J45" s="21" t="n">
        <v>66000</v>
      </c>
      <c r="K45" s="21" t="n">
        <v>68000</v>
      </c>
      <c r="M45" s="3" t="inlineStr">
        <is>
          <t>Derived-DB</t>
        </is>
      </c>
      <c r="N45" s="13" t="inlineStr">
        <is>
          <t>Medium</t>
        </is>
      </c>
      <c r="O45" s="3" t="inlineStr">
        <is>
          <t>FY2026A anchor of Rs 59,974/t is DERIVED from the Master Database as the volume-weighted revenue per tonne of Tata Steel India, JSW Steel India, SAIL and Jindal Steel - Rs 4,79,191 cr over 79.90 Mt, i.e. 49.4% of India's finished steel production. This is used in preference to a spot HRC quote because the database documents three irreconcilable Mar-2026 HRC assessments (Rs 55,900, Rs 57,700 and Rs 59,500/t - Conflict C07) and because a blended realisation is what actually drives revenue. Base path: FY2027 +3% carrying Q4FY2026 momentum (HRC rose ~14% QoQ to Rs 57,700/t by end-Mar-2026 on the safeguard duty); then a two-year decline as the safeguard duty tapers from 12% to 11.5% (from 21-Apr-2026) to 11% and expires 20-Apr-2028, coinciding with peak capacity commissioning; then recovery to a ~2.0% CAGR over the horizon, below expected inflation, reflecting structural oversupply. Bear and stress are calibrated to the observed 52-week HRC low of Rs 45,700/t (IDBI, Jun-2026) as a floor reference.</t>
        </is>
      </c>
    </row>
    <row r="46">
      <c r="A46" s="13" t="inlineStr"/>
      <c r="B46" s="18" t="inlineStr"/>
      <c r="C46" s="15" t="inlineStr">
        <is>
          <t>Bull Case</t>
        </is>
      </c>
      <c r="D46" s="16" t="inlineStr"/>
      <c r="E46" s="21" t="n">
        <v>62500</v>
      </c>
      <c r="F46" s="21" t="n">
        <v>63500</v>
      </c>
      <c r="G46" s="21" t="n">
        <v>64000</v>
      </c>
      <c r="H46" s="21" t="n">
        <v>65500</v>
      </c>
      <c r="I46" s="21" t="n">
        <v>66500</v>
      </c>
      <c r="J46" s="21" t="n">
        <v>67500</v>
      </c>
      <c r="K46" s="21" t="n">
        <v>68500</v>
      </c>
    </row>
    <row r="47">
      <c r="A47" s="13" t="inlineStr"/>
      <c r="B47" s="18" t="inlineStr"/>
      <c r="C47" s="15" t="inlineStr">
        <is>
          <t>Bear Case</t>
        </is>
      </c>
      <c r="D47" s="16" t="inlineStr"/>
      <c r="E47" s="21" t="n">
        <v>57500</v>
      </c>
      <c r="F47" s="21" t="n">
        <v>55000</v>
      </c>
      <c r="G47" s="21" t="n">
        <v>54000</v>
      </c>
      <c r="H47" s="21" t="n">
        <v>55000</v>
      </c>
      <c r="I47" s="21" t="n">
        <v>56500</v>
      </c>
      <c r="J47" s="21" t="n">
        <v>58000</v>
      </c>
      <c r="K47" s="21" t="n">
        <v>59500</v>
      </c>
    </row>
    <row r="48">
      <c r="A48" s="13" t="inlineStr"/>
      <c r="B48" s="18" t="inlineStr"/>
      <c r="C48" s="15" t="inlineStr">
        <is>
          <t>Stress Case</t>
        </is>
      </c>
      <c r="D48" s="16" t="inlineStr"/>
      <c r="E48" s="21" t="n">
        <v>59000</v>
      </c>
      <c r="F48" s="21" t="n">
        <v>58500</v>
      </c>
      <c r="G48" s="21" t="n">
        <v>60000</v>
      </c>
      <c r="H48" s="21" t="n">
        <v>62500</v>
      </c>
      <c r="I48" s="21" t="n">
        <v>65000</v>
      </c>
      <c r="J48" s="21" t="n">
        <v>67000</v>
      </c>
      <c r="K48" s="21" t="n">
        <v>69000</v>
      </c>
    </row>
    <row r="49">
      <c r="A49" s="13" t="inlineStr">
        <is>
          <t>D10</t>
        </is>
      </c>
      <c r="B49" s="14" t="inlineStr">
        <is>
          <t>Iron ore 62% Fe CFR China</t>
        </is>
      </c>
      <c r="C49" s="15" t="inlineStr">
        <is>
          <t>Base Case</t>
        </is>
      </c>
      <c r="D49" s="16" t="inlineStr">
        <is>
          <t>US$/dmt</t>
        </is>
      </c>
      <c r="E49" s="20" t="n">
        <v>102</v>
      </c>
      <c r="F49" s="20" t="n">
        <v>97</v>
      </c>
      <c r="G49" s="20" t="n">
        <v>93</v>
      </c>
      <c r="H49" s="20" t="n">
        <v>90</v>
      </c>
      <c r="I49" s="20" t="n">
        <v>90</v>
      </c>
      <c r="J49" s="20" t="n">
        <v>91</v>
      </c>
      <c r="K49" s="20" t="n">
        <v>93</v>
      </c>
      <c r="M49" s="3" t="inlineStr">
        <is>
          <t>S17</t>
        </is>
      </c>
      <c r="N49" s="13" t="inlineStr">
        <is>
          <t>High</t>
        </is>
      </c>
      <c r="O49" s="3" t="inlineStr">
        <is>
          <t>FY2026 average US$100.52/dmt, the third consecutive annual decline from US$155.52/dmt in FY2022 (World Bank Pink Sheet, Master DB). Q1FY2027 actual average US$105.17/dmt with Jun-2026 at US$100.8/dmt, so the FY2027 base of US$102 is anchored on realised data. Base assumes continued gradual decline on new global supply, then stabilisation around US$90/dmt. NOTE the sign convention: LOWER iron ore is BULLISH for Indian steel margins because most Indian producers are net purchasers of ore, so the bull scenario carries the LOW price path. Godawari Power and NMDC are the exceptions and are flagged separately.</t>
        </is>
      </c>
    </row>
    <row r="50">
      <c r="A50" s="13" t="inlineStr"/>
      <c r="B50" s="18" t="inlineStr"/>
      <c r="C50" s="15" t="inlineStr">
        <is>
          <t>Bull Case</t>
        </is>
      </c>
      <c r="D50" s="16" t="inlineStr"/>
      <c r="E50" s="20" t="n">
        <v>98</v>
      </c>
      <c r="F50" s="20" t="n">
        <v>92</v>
      </c>
      <c r="G50" s="20" t="n">
        <v>88</v>
      </c>
      <c r="H50" s="20" t="n">
        <v>85</v>
      </c>
      <c r="I50" s="20" t="n">
        <v>84</v>
      </c>
      <c r="J50" s="20" t="n">
        <v>84</v>
      </c>
      <c r="K50" s="20" t="n">
        <v>86</v>
      </c>
    </row>
    <row r="51">
      <c r="A51" s="13" t="inlineStr"/>
      <c r="B51" s="18" t="inlineStr"/>
      <c r="C51" s="15" t="inlineStr">
        <is>
          <t>Bear Case</t>
        </is>
      </c>
      <c r="D51" s="16" t="inlineStr"/>
      <c r="E51" s="20" t="n">
        <v>96</v>
      </c>
      <c r="F51" s="20" t="n">
        <v>90</v>
      </c>
      <c r="G51" s="20" t="n">
        <v>86</v>
      </c>
      <c r="H51" s="20" t="n">
        <v>83</v>
      </c>
      <c r="I51" s="20" t="n">
        <v>82</v>
      </c>
      <c r="J51" s="20" t="n">
        <v>82</v>
      </c>
      <c r="K51" s="20" t="n">
        <v>83</v>
      </c>
    </row>
    <row r="52">
      <c r="A52" s="13" t="inlineStr"/>
      <c r="B52" s="18" t="inlineStr"/>
      <c r="C52" s="15" t="inlineStr">
        <is>
          <t>Stress Case</t>
        </is>
      </c>
      <c r="D52" s="16" t="inlineStr"/>
      <c r="E52" s="20" t="n">
        <v>115</v>
      </c>
      <c r="F52" s="20" t="n">
        <v>112</v>
      </c>
      <c r="G52" s="20" t="n">
        <v>104</v>
      </c>
      <c r="H52" s="20" t="n">
        <v>98</v>
      </c>
      <c r="I52" s="20" t="n">
        <v>94</v>
      </c>
      <c r="J52" s="20" t="n">
        <v>92</v>
      </c>
      <c r="K52" s="20" t="n">
        <v>92</v>
      </c>
    </row>
    <row r="53">
      <c r="A53" s="13" t="inlineStr">
        <is>
          <t>D11</t>
        </is>
      </c>
      <c r="B53" s="14" t="inlineStr">
        <is>
          <t>Premium HCC coking coal FOB Australia</t>
        </is>
      </c>
      <c r="C53" s="15" t="inlineStr">
        <is>
          <t>Base Case</t>
        </is>
      </c>
      <c r="D53" s="16" t="inlineStr">
        <is>
          <t>US$/t</t>
        </is>
      </c>
      <c r="E53" s="20" t="n">
        <v>210</v>
      </c>
      <c r="F53" s="20" t="n">
        <v>200</v>
      </c>
      <c r="G53" s="20" t="n">
        <v>195</v>
      </c>
      <c r="H53" s="20" t="n">
        <v>190</v>
      </c>
      <c r="I53" s="20" t="n">
        <v>190</v>
      </c>
      <c r="J53" s="20" t="n">
        <v>195</v>
      </c>
      <c r="K53" s="20" t="n">
        <v>200</v>
      </c>
      <c r="M53" s="3" t="inlineStr">
        <is>
          <t>S01</t>
        </is>
      </c>
      <c r="N53" s="13" t="inlineStr">
        <is>
          <t>Medium</t>
        </is>
      </c>
      <c r="O53" s="3" t="inlineStr">
        <is>
          <t>IMPORTANT: the Master Database deliberately asserts NO fiscal-year average for coking coal because the two public series disagree by up to US$40/t (Conflict C01). The FY2026 reference used here is the Ministry of Steel's Mar-2026 assessment of ~US$225/t, explicitly labelled a spot reference and not a fiscal-year average. Base assumes easing from that level toward a US$190/t mid-cycle, still well above the ~US$175/t Mar-2025 trough. Stress reflects a repeat of the Oct-2023 spike to US$354/t at roughly 80% amplitude. THIS IS THE SINGLE LARGEST COST UNCERTAINTY IN THE MODEL and the driver most in need of a licensed price-reporting-agency series before transaction use.</t>
        </is>
      </c>
    </row>
    <row r="54">
      <c r="A54" s="13" t="inlineStr"/>
      <c r="B54" s="18" t="inlineStr"/>
      <c r="C54" s="15" t="inlineStr">
        <is>
          <t>Bull Case</t>
        </is>
      </c>
      <c r="D54" s="16" t="inlineStr"/>
      <c r="E54" s="20" t="n">
        <v>200</v>
      </c>
      <c r="F54" s="20" t="n">
        <v>188</v>
      </c>
      <c r="G54" s="20" t="n">
        <v>182</v>
      </c>
      <c r="H54" s="20" t="n">
        <v>178</v>
      </c>
      <c r="I54" s="20" t="n">
        <v>178</v>
      </c>
      <c r="J54" s="20" t="n">
        <v>180</v>
      </c>
      <c r="K54" s="20" t="n">
        <v>184</v>
      </c>
    </row>
    <row r="55">
      <c r="A55" s="13" t="inlineStr"/>
      <c r="B55" s="18" t="inlineStr"/>
      <c r="C55" s="15" t="inlineStr">
        <is>
          <t>Bear Case</t>
        </is>
      </c>
      <c r="D55" s="16" t="inlineStr"/>
      <c r="E55" s="20" t="n">
        <v>200</v>
      </c>
      <c r="F55" s="20" t="n">
        <v>185</v>
      </c>
      <c r="G55" s="20" t="n">
        <v>176</v>
      </c>
      <c r="H55" s="20" t="n">
        <v>170</v>
      </c>
      <c r="I55" s="20" t="n">
        <v>168</v>
      </c>
      <c r="J55" s="20" t="n">
        <v>168</v>
      </c>
      <c r="K55" s="20" t="n">
        <v>170</v>
      </c>
    </row>
    <row r="56">
      <c r="A56" s="13" t="inlineStr"/>
      <c r="B56" s="18" t="inlineStr"/>
      <c r="C56" s="15" t="inlineStr">
        <is>
          <t>Stress Case</t>
        </is>
      </c>
      <c r="D56" s="16" t="inlineStr"/>
      <c r="E56" s="20" t="n">
        <v>300</v>
      </c>
      <c r="F56" s="20" t="n">
        <v>285</v>
      </c>
      <c r="G56" s="20" t="n">
        <v>245</v>
      </c>
      <c r="H56" s="20" t="n">
        <v>220</v>
      </c>
      <c r="I56" s="20" t="n">
        <v>208</v>
      </c>
      <c r="J56" s="20" t="n">
        <v>202</v>
      </c>
      <c r="K56" s="20" t="n">
        <v>200</v>
      </c>
    </row>
    <row r="57">
      <c r="A57" s="13" t="inlineStr">
        <is>
          <t>D12</t>
        </is>
      </c>
      <c r="B57" s="14" t="inlineStr">
        <is>
          <t>Conversion cost inflation</t>
        </is>
      </c>
      <c r="C57" s="15" t="inlineStr">
        <is>
          <t>Base Case</t>
        </is>
      </c>
      <c r="D57" s="16" t="inlineStr">
        <is>
          <t>%</t>
        </is>
      </c>
      <c r="E57" s="17" t="n">
        <v>0.045</v>
      </c>
      <c r="F57" s="17" t="n">
        <v>0.042</v>
      </c>
      <c r="G57" s="17" t="n">
        <v>0.04</v>
      </c>
      <c r="H57" s="17" t="n">
        <v>0.04</v>
      </c>
      <c r="I57" s="17" t="n">
        <v>0.04</v>
      </c>
      <c r="J57" s="17" t="n">
        <v>0.04</v>
      </c>
      <c r="K57" s="17" t="n">
        <v>0.04</v>
      </c>
      <c r="M57" s="3" t="inlineStr">
        <is>
          <t>RBI-Jun26</t>
        </is>
      </c>
      <c r="N57" s="13" t="inlineStr">
        <is>
          <t>Medium</t>
        </is>
      </c>
      <c r="O57" s="3" t="inlineStr">
        <is>
          <t>Applies to the non-raw-material element of cash cost: labour, power, consumables, stores, repairs and logistics. Anchored slightly below RBI's 5.1% FY2027 CPI projection because steel conversion cost includes power and freight that track energy rather than headline CPI, and because the majors are delivering explicit cost programmes - Tata Steel recorded roughly Rs 10,868 cr of cost transformation benefit in FY2026 (Master DB), equal to about Rs 4,825 per tonne of India deliveries. Stress reflects the West Asia energy shock flagged by both Tata Steel and Jindal Stainless in their FY2026 filings.</t>
        </is>
      </c>
    </row>
    <row r="58">
      <c r="A58" s="13" t="inlineStr"/>
      <c r="B58" s="18" t="inlineStr"/>
      <c r="C58" s="15" t="inlineStr">
        <is>
          <t>Bull Case</t>
        </is>
      </c>
      <c r="D58" s="16" t="inlineStr"/>
      <c r="E58" s="17" t="n">
        <v>0.038</v>
      </c>
      <c r="F58" s="17" t="n">
        <v>0.035</v>
      </c>
      <c r="G58" s="17" t="n">
        <v>0.033</v>
      </c>
      <c r="H58" s="17" t="n">
        <v>0.032</v>
      </c>
      <c r="I58" s="17" t="n">
        <v>0.032</v>
      </c>
      <c r="J58" s="17" t="n">
        <v>0.032</v>
      </c>
      <c r="K58" s="17" t="n">
        <v>0.032</v>
      </c>
    </row>
    <row r="59">
      <c r="A59" s="13" t="inlineStr"/>
      <c r="B59" s="18" t="inlineStr"/>
      <c r="C59" s="15" t="inlineStr">
        <is>
          <t>Bear Case</t>
        </is>
      </c>
      <c r="D59" s="16" t="inlineStr"/>
      <c r="E59" s="17" t="n">
        <v>0.05</v>
      </c>
      <c r="F59" s="17" t="n">
        <v>0.046</v>
      </c>
      <c r="G59" s="17" t="n">
        <v>0.044</v>
      </c>
      <c r="H59" s="17" t="n">
        <v>0.042</v>
      </c>
      <c r="I59" s="17" t="n">
        <v>0.042</v>
      </c>
      <c r="J59" s="17" t="n">
        <v>0.042</v>
      </c>
      <c r="K59" s="17" t="n">
        <v>0.042</v>
      </c>
    </row>
    <row r="60">
      <c r="A60" s="13" t="inlineStr"/>
      <c r="B60" s="18" t="inlineStr"/>
      <c r="C60" s="15" t="inlineStr">
        <is>
          <t>Stress Case</t>
        </is>
      </c>
      <c r="D60" s="16" t="inlineStr"/>
      <c r="E60" s="17" t="n">
        <v>0.075</v>
      </c>
      <c r="F60" s="17" t="n">
        <v>0.068</v>
      </c>
      <c r="G60" s="17" t="n">
        <v>0.055</v>
      </c>
      <c r="H60" s="17" t="n">
        <v>0.048</v>
      </c>
      <c r="I60" s="17" t="n">
        <v>0.044</v>
      </c>
      <c r="J60" s="17" t="n">
        <v>0.042</v>
      </c>
      <c r="K60" s="17" t="n">
        <v>0.042</v>
      </c>
    </row>
    <row r="61">
      <c r="A61" s="13" t="inlineStr">
        <is>
          <t>D13</t>
        </is>
      </c>
      <c r="B61" s="14" t="inlineStr">
        <is>
          <t>Raw material share of cash cost</t>
        </is>
      </c>
      <c r="C61" s="15" t="inlineStr">
        <is>
          <t>Base Case</t>
        </is>
      </c>
      <c r="D61" s="16" t="inlineStr">
        <is>
          <t>%</t>
        </is>
      </c>
      <c r="E61" s="17" t="n">
        <v>0.6</v>
      </c>
      <c r="F61" s="17" t="n">
        <v>0.6</v>
      </c>
      <c r="G61" s="17" t="n">
        <v>0.6</v>
      </c>
      <c r="H61" s="17" t="n">
        <v>0.6</v>
      </c>
      <c r="I61" s="17" t="n">
        <v>0.6</v>
      </c>
      <c r="J61" s="17" t="n">
        <v>0.6</v>
      </c>
      <c r="K61" s="17" t="n">
        <v>0.6</v>
      </c>
      <c r="M61" s="3" t="inlineStr">
        <is>
          <t>Indicative</t>
        </is>
      </c>
      <c r="N61" s="13" t="inlineStr">
        <is>
          <t>Low</t>
        </is>
      </c>
      <c r="O61" s="3" t="inlineStr">
        <is>
          <t>INDICATIVE STRUCTURAL ASSUMPTION - NOT SOURCED FROM A PRIMARY DOCUMENT. Splits the FY2026 implied cash cost of Rs 49,241/t between a raw-material component that indexes to the iron ore and coking coal basket and a conversion component that indexes to inflation. 60/40 is the conventional split for an Indian integrated BF-BOF producer. Held constant across scenarios precisely because it is unsourced - flexing an unsourced parameter across scenarios would manufacture false precision. Plausible range 55-65%; the sensitivity of EBITDA/t to this parameter is quantified on sheet 22. MUST be replaced with company-specific cost disclosure from annual report technical parameters before any transaction use.</t>
        </is>
      </c>
    </row>
    <row r="62">
      <c r="A62" s="13" t="inlineStr"/>
      <c r="B62" s="18" t="inlineStr"/>
      <c r="C62" s="15" t="inlineStr">
        <is>
          <t>Bull Case</t>
        </is>
      </c>
      <c r="D62" s="16" t="inlineStr"/>
      <c r="E62" s="17" t="n">
        <v>0.6</v>
      </c>
      <c r="F62" s="17" t="n">
        <v>0.6</v>
      </c>
      <c r="G62" s="17" t="n">
        <v>0.6</v>
      </c>
      <c r="H62" s="17" t="n">
        <v>0.6</v>
      </c>
      <c r="I62" s="17" t="n">
        <v>0.6</v>
      </c>
      <c r="J62" s="17" t="n">
        <v>0.6</v>
      </c>
      <c r="K62" s="17" t="n">
        <v>0.6</v>
      </c>
    </row>
    <row r="63">
      <c r="A63" s="13" t="inlineStr"/>
      <c r="B63" s="18" t="inlineStr"/>
      <c r="C63" s="15" t="inlineStr">
        <is>
          <t>Bear Case</t>
        </is>
      </c>
      <c r="D63" s="16" t="inlineStr"/>
      <c r="E63" s="17" t="n">
        <v>0.6</v>
      </c>
      <c r="F63" s="17" t="n">
        <v>0.6</v>
      </c>
      <c r="G63" s="17" t="n">
        <v>0.6</v>
      </c>
      <c r="H63" s="17" t="n">
        <v>0.6</v>
      </c>
      <c r="I63" s="17" t="n">
        <v>0.6</v>
      </c>
      <c r="J63" s="17" t="n">
        <v>0.6</v>
      </c>
      <c r="K63" s="17" t="n">
        <v>0.6</v>
      </c>
    </row>
    <row r="64">
      <c r="A64" s="13" t="inlineStr"/>
      <c r="B64" s="18" t="inlineStr"/>
      <c r="C64" s="15" t="inlineStr">
        <is>
          <t>Stress Case</t>
        </is>
      </c>
      <c r="D64" s="16" t="inlineStr"/>
      <c r="E64" s="17" t="n">
        <v>0.6</v>
      </c>
      <c r="F64" s="17" t="n">
        <v>0.6</v>
      </c>
      <c r="G64" s="17" t="n">
        <v>0.6</v>
      </c>
      <c r="H64" s="17" t="n">
        <v>0.6</v>
      </c>
      <c r="I64" s="17" t="n">
        <v>0.6</v>
      </c>
      <c r="J64" s="17" t="n">
        <v>0.6</v>
      </c>
      <c r="K64" s="17" t="n">
        <v>0.6</v>
      </c>
    </row>
    <row r="65">
      <c r="A65" s="13" t="inlineStr">
        <is>
          <t>D14</t>
        </is>
      </c>
      <c r="B65" s="14" t="inlineStr">
        <is>
          <t>Iron ore weight in the raw material basket</t>
        </is>
      </c>
      <c r="C65" s="15" t="inlineStr">
        <is>
          <t>Base Case</t>
        </is>
      </c>
      <c r="D65" s="16" t="inlineStr">
        <is>
          <t>%</t>
        </is>
      </c>
      <c r="E65" s="17" t="n">
        <v>0.45</v>
      </c>
      <c r="F65" s="17" t="n">
        <v>0.45</v>
      </c>
      <c r="G65" s="17" t="n">
        <v>0.45</v>
      </c>
      <c r="H65" s="17" t="n">
        <v>0.45</v>
      </c>
      <c r="I65" s="17" t="n">
        <v>0.45</v>
      </c>
      <c r="J65" s="17" t="n">
        <v>0.45</v>
      </c>
      <c r="K65" s="17" t="n">
        <v>0.45</v>
      </c>
      <c r="M65" s="3" t="inlineStr">
        <is>
          <t>Indicative</t>
        </is>
      </c>
      <c r="N65" s="13" t="inlineStr">
        <is>
          <t>Low</t>
        </is>
      </c>
      <c r="O65" s="3" t="inlineStr">
        <is>
          <t>INDICATIVE. Iron ore 45%, coking coal 45%, other ferrous and fluxes 10% by value in the BF-BOF raw material basket. Unsourced and therefore held constant across scenarios. Sensitivity quantified on sheet 22.</t>
        </is>
      </c>
    </row>
    <row r="66">
      <c r="A66" s="13" t="inlineStr"/>
      <c r="B66" s="18" t="inlineStr"/>
      <c r="C66" s="15" t="inlineStr">
        <is>
          <t>Bull Case</t>
        </is>
      </c>
      <c r="D66" s="16" t="inlineStr"/>
      <c r="E66" s="17" t="n">
        <v>0.45</v>
      </c>
      <c r="F66" s="17" t="n">
        <v>0.45</v>
      </c>
      <c r="G66" s="17" t="n">
        <v>0.45</v>
      </c>
      <c r="H66" s="17" t="n">
        <v>0.45</v>
      </c>
      <c r="I66" s="17" t="n">
        <v>0.45</v>
      </c>
      <c r="J66" s="17" t="n">
        <v>0.45</v>
      </c>
      <c r="K66" s="17" t="n">
        <v>0.45</v>
      </c>
    </row>
    <row r="67">
      <c r="A67" s="13" t="inlineStr"/>
      <c r="B67" s="18" t="inlineStr"/>
      <c r="C67" s="15" t="inlineStr">
        <is>
          <t>Bear Case</t>
        </is>
      </c>
      <c r="D67" s="16" t="inlineStr"/>
      <c r="E67" s="17" t="n">
        <v>0.45</v>
      </c>
      <c r="F67" s="17" t="n">
        <v>0.45</v>
      </c>
      <c r="G67" s="17" t="n">
        <v>0.45</v>
      </c>
      <c r="H67" s="17" t="n">
        <v>0.45</v>
      </c>
      <c r="I67" s="17" t="n">
        <v>0.45</v>
      </c>
      <c r="J67" s="17" t="n">
        <v>0.45</v>
      </c>
      <c r="K67" s="17" t="n">
        <v>0.45</v>
      </c>
    </row>
    <row r="68">
      <c r="A68" s="13" t="inlineStr"/>
      <c r="B68" s="18" t="inlineStr"/>
      <c r="C68" s="15" t="inlineStr">
        <is>
          <t>Stress Case</t>
        </is>
      </c>
      <c r="D68" s="16" t="inlineStr"/>
      <c r="E68" s="17" t="n">
        <v>0.45</v>
      </c>
      <c r="F68" s="17" t="n">
        <v>0.45</v>
      </c>
      <c r="G68" s="17" t="n">
        <v>0.45</v>
      </c>
      <c r="H68" s="17" t="n">
        <v>0.45</v>
      </c>
      <c r="I68" s="17" t="n">
        <v>0.45</v>
      </c>
      <c r="J68" s="17" t="n">
        <v>0.45</v>
      </c>
      <c r="K68" s="17" t="n">
        <v>0.45</v>
      </c>
    </row>
    <row r="69">
      <c r="A69" s="13" t="inlineStr">
        <is>
          <t>D15</t>
        </is>
      </c>
      <c r="B69" s="14" t="inlineStr">
        <is>
          <t>Effective tax rate</t>
        </is>
      </c>
      <c r="C69" s="15" t="inlineStr">
        <is>
          <t>Base Case</t>
        </is>
      </c>
      <c r="D69" s="16" t="inlineStr">
        <is>
          <t>%</t>
        </is>
      </c>
      <c r="E69" s="17" t="n">
        <v>0.2517</v>
      </c>
      <c r="F69" s="17" t="n">
        <v>0.2517</v>
      </c>
      <c r="G69" s="17" t="n">
        <v>0.2517</v>
      </c>
      <c r="H69" s="17" t="n">
        <v>0.2517</v>
      </c>
      <c r="I69" s="17" t="n">
        <v>0.2517</v>
      </c>
      <c r="J69" s="17" t="n">
        <v>0.2517</v>
      </c>
      <c r="K69" s="17" t="n">
        <v>0.2517</v>
      </c>
      <c r="M69" s="3" t="inlineStr">
        <is>
          <t>Statutory</t>
        </is>
      </c>
      <c r="N69" s="13" t="inlineStr">
        <is>
          <t>Medium</t>
        </is>
      </c>
      <c r="O69" s="3" t="inlineStr">
        <is>
          <t>Indian statutory corporate tax rate of 22% plus surcharge and cess equals 25.17% under section 115BAA, which the large Indian steel producers have elected. Held flat across scenarios: the tax rate is a policy parameter, not a cyclical variable. Actual effective rates differ because of MAT credits, accumulated losses and deferred tax - the Master Database flags Kirloskar Ferrous FY2026 net profit exceeding profit before tax on a tax write-back (Conflict C12). Company-specific effective rates must be substituted in single-name models.</t>
        </is>
      </c>
    </row>
    <row r="70">
      <c r="A70" s="13" t="inlineStr"/>
      <c r="B70" s="18" t="inlineStr"/>
      <c r="C70" s="15" t="inlineStr">
        <is>
          <t>Bull Case</t>
        </is>
      </c>
      <c r="D70" s="16" t="inlineStr"/>
      <c r="E70" s="17" t="n">
        <v>0.2517</v>
      </c>
      <c r="F70" s="17" t="n">
        <v>0.2517</v>
      </c>
      <c r="G70" s="17" t="n">
        <v>0.2517</v>
      </c>
      <c r="H70" s="17" t="n">
        <v>0.2517</v>
      </c>
      <c r="I70" s="17" t="n">
        <v>0.2517</v>
      </c>
      <c r="J70" s="17" t="n">
        <v>0.2517</v>
      </c>
      <c r="K70" s="17" t="n">
        <v>0.2517</v>
      </c>
    </row>
    <row r="71">
      <c r="A71" s="13" t="inlineStr"/>
      <c r="B71" s="18" t="inlineStr"/>
      <c r="C71" s="15" t="inlineStr">
        <is>
          <t>Bear Case</t>
        </is>
      </c>
      <c r="D71" s="16" t="inlineStr"/>
      <c r="E71" s="17" t="n">
        <v>0.2517</v>
      </c>
      <c r="F71" s="17" t="n">
        <v>0.2517</v>
      </c>
      <c r="G71" s="17" t="n">
        <v>0.2517</v>
      </c>
      <c r="H71" s="17" t="n">
        <v>0.2517</v>
      </c>
      <c r="I71" s="17" t="n">
        <v>0.2517</v>
      </c>
      <c r="J71" s="17" t="n">
        <v>0.2517</v>
      </c>
      <c r="K71" s="17" t="n">
        <v>0.2517</v>
      </c>
    </row>
    <row r="72">
      <c r="A72" s="13" t="inlineStr"/>
      <c r="B72" s="18" t="inlineStr"/>
      <c r="C72" s="15" t="inlineStr">
        <is>
          <t>Stress Case</t>
        </is>
      </c>
      <c r="D72" s="16" t="inlineStr"/>
      <c r="E72" s="17" t="n">
        <v>0.2517</v>
      </c>
      <c r="F72" s="17" t="n">
        <v>0.2517</v>
      </c>
      <c r="G72" s="17" t="n">
        <v>0.2517</v>
      </c>
      <c r="H72" s="17" t="n">
        <v>0.2517</v>
      </c>
      <c r="I72" s="17" t="n">
        <v>0.2517</v>
      </c>
      <c r="J72" s="17" t="n">
        <v>0.2517</v>
      </c>
      <c r="K72" s="17" t="n">
        <v>0.2517</v>
      </c>
    </row>
    <row r="73">
      <c r="A73" s="13" t="inlineStr">
        <is>
          <t>D16</t>
        </is>
      </c>
      <c r="B73" s="14" t="inlineStr">
        <is>
          <t>Capex intensity</t>
        </is>
      </c>
      <c r="C73" s="15" t="inlineStr">
        <is>
          <t>Base Case</t>
        </is>
      </c>
      <c r="D73" s="16" t="inlineStr">
        <is>
          <t>Rs/t of capacity added</t>
        </is>
      </c>
      <c r="E73" s="21" t="n">
        <v>55000</v>
      </c>
      <c r="F73" s="21" t="n">
        <v>55000</v>
      </c>
      <c r="G73" s="21" t="n">
        <v>55000</v>
      </c>
      <c r="H73" s="21" t="n">
        <v>55000</v>
      </c>
      <c r="I73" s="21" t="n">
        <v>55000</v>
      </c>
      <c r="J73" s="21" t="n">
        <v>55000</v>
      </c>
      <c r="K73" s="21" t="n">
        <v>55000</v>
      </c>
      <c r="M73" s="3" t="inlineStr">
        <is>
          <t>Derived-DB</t>
        </is>
      </c>
      <c r="N73" s="13" t="inlineStr">
        <is>
          <t>Medium</t>
        </is>
      </c>
      <c r="O73" s="3" t="inlineStr">
        <is>
          <t>Greenfield and large brownfield Indian crude steel capacity. Cross-checks from the Master Database: JSW Steel Board-approved 5 Mtpa brownfield expansion at JVML-Vijayanagar at Rs 26,000 cr equals Rs 52,000 per tonne; SAIL's stated roughly Rs 1 lakh crore for about 15 Mtpa of additions equals roughly Rs 67,000 per tonne; Tata Steel's 0.75 Mtpa Ludhiana scrap EAF at about Rs 3,200 cr equals Rs 42,700 per tonne, which is lower because an EAF has no ironmaking. Base of Rs 55,000/t sits between the JSW brownfield and SAIL blended figures. Also the primary input to the replacement-cost valuation on sheet 23.</t>
        </is>
      </c>
    </row>
    <row r="74">
      <c r="A74" s="13" t="inlineStr"/>
      <c r="B74" s="18" t="inlineStr"/>
      <c r="C74" s="15" t="inlineStr">
        <is>
          <t>Bull Case</t>
        </is>
      </c>
      <c r="D74" s="16" t="inlineStr"/>
      <c r="E74" s="21" t="n">
        <v>52000</v>
      </c>
      <c r="F74" s="21" t="n">
        <v>52000</v>
      </c>
      <c r="G74" s="21" t="n">
        <v>52000</v>
      </c>
      <c r="H74" s="21" t="n">
        <v>52000</v>
      </c>
      <c r="I74" s="21" t="n">
        <v>52000</v>
      </c>
      <c r="J74" s="21" t="n">
        <v>52000</v>
      </c>
      <c r="K74" s="21" t="n">
        <v>52000</v>
      </c>
    </row>
    <row r="75">
      <c r="A75" s="13" t="inlineStr"/>
      <c r="B75" s="18" t="inlineStr"/>
      <c r="C75" s="15" t="inlineStr">
        <is>
          <t>Bear Case</t>
        </is>
      </c>
      <c r="D75" s="16" t="inlineStr"/>
      <c r="E75" s="21" t="n">
        <v>60000</v>
      </c>
      <c r="F75" s="21" t="n">
        <v>60000</v>
      </c>
      <c r="G75" s="21" t="n">
        <v>60000</v>
      </c>
      <c r="H75" s="21" t="n">
        <v>60000</v>
      </c>
      <c r="I75" s="21" t="n">
        <v>60000</v>
      </c>
      <c r="J75" s="21" t="n">
        <v>60000</v>
      </c>
      <c r="K75" s="21" t="n">
        <v>60000</v>
      </c>
    </row>
    <row r="76">
      <c r="A76" s="13" t="inlineStr"/>
      <c r="B76" s="18" t="inlineStr"/>
      <c r="C76" s="15" t="inlineStr">
        <is>
          <t>Stress Case</t>
        </is>
      </c>
      <c r="D76" s="16" t="inlineStr"/>
      <c r="E76" s="21" t="n">
        <v>65000</v>
      </c>
      <c r="F76" s="21" t="n">
        <v>65000</v>
      </c>
      <c r="G76" s="21" t="n">
        <v>65000</v>
      </c>
      <c r="H76" s="21" t="n">
        <v>65000</v>
      </c>
      <c r="I76" s="21" t="n">
        <v>65000</v>
      </c>
      <c r="J76" s="21" t="n">
        <v>65000</v>
      </c>
      <c r="K76" s="21" t="n">
        <v>65000</v>
      </c>
    </row>
    <row r="77">
      <c r="A77" s="13" t="inlineStr">
        <is>
          <t>D17</t>
        </is>
      </c>
      <c r="B77" s="14" t="inlineStr">
        <is>
          <t>Maintenance capex</t>
        </is>
      </c>
      <c r="C77" s="15" t="inlineStr">
        <is>
          <t>Base Case</t>
        </is>
      </c>
      <c r="D77" s="16" t="inlineStr">
        <is>
          <t>% of revenue</t>
        </is>
      </c>
      <c r="E77" s="17" t="n">
        <v>0.03</v>
      </c>
      <c r="F77" s="17" t="n">
        <v>0.03</v>
      </c>
      <c r="G77" s="17" t="n">
        <v>0.03</v>
      </c>
      <c r="H77" s="17" t="n">
        <v>0.03</v>
      </c>
      <c r="I77" s="17" t="n">
        <v>0.03</v>
      </c>
      <c r="J77" s="17" t="n">
        <v>0.03</v>
      </c>
      <c r="K77" s="17" t="n">
        <v>0.03</v>
      </c>
      <c r="M77" s="3" t="inlineStr">
        <is>
          <t>Indicative</t>
        </is>
      </c>
      <c r="N77" s="13" t="inlineStr">
        <is>
          <t>Low</t>
        </is>
      </c>
      <c r="O77" s="3" t="inlineStr">
        <is>
          <t>INDICATIVE. Sustaining capex excluding growth. Cross-check: Tata Steel FY2026 total capex of Rs 14,026 cr on consolidated revenue of Rs 2,32,140 cr is 6.0%, but that figure includes substantial growth capex, so a 3.0% sustaining assumption is consistent with a roughly 50/50 growth-maintenance split. Not separately disclosed by any issuer in the database, hence Low confidence.</t>
        </is>
      </c>
    </row>
    <row r="78">
      <c r="A78" s="13" t="inlineStr"/>
      <c r="B78" s="18" t="inlineStr"/>
      <c r="C78" s="15" t="inlineStr">
        <is>
          <t>Bull Case</t>
        </is>
      </c>
      <c r="D78" s="16" t="inlineStr"/>
      <c r="E78" s="17" t="n">
        <v>0.028</v>
      </c>
      <c r="F78" s="17" t="n">
        <v>0.028</v>
      </c>
      <c r="G78" s="17" t="n">
        <v>0.028</v>
      </c>
      <c r="H78" s="17" t="n">
        <v>0.028</v>
      </c>
      <c r="I78" s="17" t="n">
        <v>0.028</v>
      </c>
      <c r="J78" s="17" t="n">
        <v>0.028</v>
      </c>
      <c r="K78" s="17" t="n">
        <v>0.028</v>
      </c>
    </row>
    <row r="79">
      <c r="A79" s="13" t="inlineStr"/>
      <c r="B79" s="18" t="inlineStr"/>
      <c r="C79" s="15" t="inlineStr">
        <is>
          <t>Bear Case</t>
        </is>
      </c>
      <c r="D79" s="16" t="inlineStr"/>
      <c r="E79" s="17" t="n">
        <v>0.033</v>
      </c>
      <c r="F79" s="17" t="n">
        <v>0.033</v>
      </c>
      <c r="G79" s="17" t="n">
        <v>0.033</v>
      </c>
      <c r="H79" s="17" t="n">
        <v>0.033</v>
      </c>
      <c r="I79" s="17" t="n">
        <v>0.033</v>
      </c>
      <c r="J79" s="17" t="n">
        <v>0.033</v>
      </c>
      <c r="K79" s="17" t="n">
        <v>0.033</v>
      </c>
    </row>
    <row r="80">
      <c r="A80" s="13" t="inlineStr"/>
      <c r="B80" s="18" t="inlineStr"/>
      <c r="C80" s="15" t="inlineStr">
        <is>
          <t>Stress Case</t>
        </is>
      </c>
      <c r="D80" s="16" t="inlineStr"/>
      <c r="E80" s="17" t="n">
        <v>0.035</v>
      </c>
      <c r="F80" s="17" t="n">
        <v>0.035</v>
      </c>
      <c r="G80" s="17" t="n">
        <v>0.035</v>
      </c>
      <c r="H80" s="17" t="n">
        <v>0.035</v>
      </c>
      <c r="I80" s="17" t="n">
        <v>0.035</v>
      </c>
      <c r="J80" s="17" t="n">
        <v>0.035</v>
      </c>
      <c r="K80" s="17" t="n">
        <v>0.035</v>
      </c>
    </row>
    <row r="81">
      <c r="A81" s="13" t="inlineStr">
        <is>
          <t>D18</t>
        </is>
      </c>
      <c r="B81" s="14" t="inlineStr">
        <is>
          <t>Net working capital</t>
        </is>
      </c>
      <c r="C81" s="15" t="inlineStr">
        <is>
          <t>Base Case</t>
        </is>
      </c>
      <c r="D81" s="16" t="inlineStr">
        <is>
          <t>days of revenue</t>
        </is>
      </c>
      <c r="E81" s="17" t="n">
        <v>45</v>
      </c>
      <c r="F81" s="17" t="n">
        <v>45</v>
      </c>
      <c r="G81" s="17" t="n">
        <v>45</v>
      </c>
      <c r="H81" s="17" t="n">
        <v>45</v>
      </c>
      <c r="I81" s="17" t="n">
        <v>45</v>
      </c>
      <c r="J81" s="17" t="n">
        <v>45</v>
      </c>
      <c r="K81" s="17" t="n">
        <v>45</v>
      </c>
      <c r="M81" s="3" t="inlineStr">
        <is>
          <t>Not sourced</t>
        </is>
      </c>
      <c r="N81" s="13" t="inlineStr">
        <is>
          <t>Low</t>
        </is>
      </c>
      <c r="O81" s="3" t="inlineStr">
        <is>
          <t>NOT SOURCED. The Master Database carries total assets and borrowings but not receivables, inventory or payables, so working capital days could not be derived from it. Directional evidence only: Tata Steel disclosed a working capital RELEASE of about Rs 6,470 cr in FY2026 (Master DB), consistent with tightening days on a Rs 2,32,140 cr revenue base of roughly 10 days. Base of 45 days is a sector convention for an integrated Indian steel producer and MUST be replaced with balance-sheet-derived days before transaction use. Stress reflects a working capital build in a downturn as inventory rises and receivables stretch, which is a first-order cash flow risk, not a second-order one.</t>
        </is>
      </c>
    </row>
    <row r="82">
      <c r="A82" s="13" t="inlineStr"/>
      <c r="B82" s="18" t="inlineStr"/>
      <c r="C82" s="15" t="inlineStr">
        <is>
          <t>Bull Case</t>
        </is>
      </c>
      <c r="D82" s="16" t="inlineStr"/>
      <c r="E82" s="17" t="n">
        <v>40</v>
      </c>
      <c r="F82" s="17" t="n">
        <v>40</v>
      </c>
      <c r="G82" s="17" t="n">
        <v>40</v>
      </c>
      <c r="H82" s="17" t="n">
        <v>40</v>
      </c>
      <c r="I82" s="17" t="n">
        <v>40</v>
      </c>
      <c r="J82" s="17" t="n">
        <v>40</v>
      </c>
      <c r="K82" s="17" t="n">
        <v>40</v>
      </c>
    </row>
    <row r="83">
      <c r="A83" s="13" t="inlineStr"/>
      <c r="B83" s="18" t="inlineStr"/>
      <c r="C83" s="15" t="inlineStr">
        <is>
          <t>Bear Case</t>
        </is>
      </c>
      <c r="D83" s="16" t="inlineStr"/>
      <c r="E83" s="17" t="n">
        <v>52</v>
      </c>
      <c r="F83" s="17" t="n">
        <v>52</v>
      </c>
      <c r="G83" s="17" t="n">
        <v>52</v>
      </c>
      <c r="H83" s="17" t="n">
        <v>52</v>
      </c>
      <c r="I83" s="17" t="n">
        <v>52</v>
      </c>
      <c r="J83" s="17" t="n">
        <v>52</v>
      </c>
      <c r="K83" s="17" t="n">
        <v>52</v>
      </c>
    </row>
    <row r="84">
      <c r="A84" s="13" t="inlineStr"/>
      <c r="B84" s="18" t="inlineStr"/>
      <c r="C84" s="15" t="inlineStr">
        <is>
          <t>Stress Case</t>
        </is>
      </c>
      <c r="D84" s="16" t="inlineStr"/>
      <c r="E84" s="17" t="n">
        <v>62</v>
      </c>
      <c r="F84" s="17" t="n">
        <v>62</v>
      </c>
      <c r="G84" s="17" t="n">
        <v>62</v>
      </c>
      <c r="H84" s="17" t="n">
        <v>62</v>
      </c>
      <c r="I84" s="17" t="n">
        <v>62</v>
      </c>
      <c r="J84" s="17" t="n">
        <v>62</v>
      </c>
      <c r="K84" s="17" t="n">
        <v>62</v>
      </c>
    </row>
    <row r="85">
      <c r="A85" s="13" t="inlineStr">
        <is>
          <t>D19</t>
        </is>
      </c>
      <c r="B85" s="14" t="inlineStr">
        <is>
          <t>Exit EV/EBITDA multiple</t>
        </is>
      </c>
      <c r="C85" s="15" t="inlineStr">
        <is>
          <t>Base Case</t>
        </is>
      </c>
      <c r="D85" s="16" t="inlineStr">
        <is>
          <t>x</t>
        </is>
      </c>
      <c r="E85" s="19" t="n">
        <v>6</v>
      </c>
      <c r="F85" s="19" t="n">
        <v>6</v>
      </c>
      <c r="G85" s="19" t="n">
        <v>6</v>
      </c>
      <c r="H85" s="19" t="n">
        <v>6</v>
      </c>
      <c r="I85" s="19" t="n">
        <v>6</v>
      </c>
      <c r="J85" s="19" t="n">
        <v>6</v>
      </c>
      <c r="K85" s="19" t="n">
        <v>6</v>
      </c>
      <c r="M85" s="3" t="inlineStr">
        <is>
          <t>Not sourced</t>
        </is>
      </c>
      <c r="N85" s="13" t="inlineStr">
        <is>
          <t>Low</t>
        </is>
      </c>
      <c r="O85" s="3" t="inlineStr">
        <is>
          <t>NOT SOURCED - market multiples were not obtained in this research cycle because share prices were not sourced. 6.0x is the conventional mid-cycle EV/EBITDA for Indian integrated steel and is provided as a starting point only. Sheet 23 computes live trading multiples the moment share prices are entered, and the exit multiple should then be re-based on that observed evidence. Flagged Low confidence and excluded from the headline conclusions.</t>
        </is>
      </c>
    </row>
    <row r="86">
      <c r="A86" s="13" t="inlineStr"/>
      <c r="B86" s="18" t="inlineStr"/>
      <c r="C86" s="15" t="inlineStr">
        <is>
          <t>Bull Case</t>
        </is>
      </c>
      <c r="D86" s="16" t="inlineStr"/>
      <c r="E86" s="19" t="n">
        <v>7</v>
      </c>
      <c r="F86" s="19" t="n">
        <v>7</v>
      </c>
      <c r="G86" s="19" t="n">
        <v>7</v>
      </c>
      <c r="H86" s="19" t="n">
        <v>7</v>
      </c>
      <c r="I86" s="19" t="n">
        <v>7</v>
      </c>
      <c r="J86" s="19" t="n">
        <v>7</v>
      </c>
      <c r="K86" s="19" t="n">
        <v>7</v>
      </c>
    </row>
    <row r="87">
      <c r="A87" s="13" t="inlineStr"/>
      <c r="B87" s="18" t="inlineStr"/>
      <c r="C87" s="15" t="inlineStr">
        <is>
          <t>Bear Case</t>
        </is>
      </c>
      <c r="D87" s="16" t="inlineStr"/>
      <c r="E87" s="19" t="n">
        <v>5</v>
      </c>
      <c r="F87" s="19" t="n">
        <v>5</v>
      </c>
      <c r="G87" s="19" t="n">
        <v>5</v>
      </c>
      <c r="H87" s="19" t="n">
        <v>5</v>
      </c>
      <c r="I87" s="19" t="n">
        <v>5</v>
      </c>
      <c r="J87" s="19" t="n">
        <v>5</v>
      </c>
      <c r="K87" s="19" t="n">
        <v>5</v>
      </c>
    </row>
    <row r="88">
      <c r="A88" s="13" t="inlineStr"/>
      <c r="B88" s="18" t="inlineStr"/>
      <c r="C88" s="15" t="inlineStr">
        <is>
          <t>Stress Case</t>
        </is>
      </c>
      <c r="D88" s="16" t="inlineStr"/>
      <c r="E88" s="19" t="n">
        <v>4</v>
      </c>
      <c r="F88" s="19" t="n">
        <v>4</v>
      </c>
      <c r="G88" s="19" t="n">
        <v>4</v>
      </c>
      <c r="H88" s="19" t="n">
        <v>4</v>
      </c>
      <c r="I88" s="19" t="n">
        <v>4</v>
      </c>
      <c r="J88" s="19" t="n">
        <v>4</v>
      </c>
      <c r="K88" s="19" t="n">
        <v>4</v>
      </c>
    </row>
    <row r="89">
      <c r="A89" s="13" t="inlineStr">
        <is>
          <t>D20</t>
        </is>
      </c>
      <c r="B89" s="14" t="inlineStr">
        <is>
          <t>WACC (nominal, INR)</t>
        </is>
      </c>
      <c r="C89" s="15" t="inlineStr">
        <is>
          <t>Base Case</t>
        </is>
      </c>
      <c r="D89" s="16" t="inlineStr">
        <is>
          <t>%</t>
        </is>
      </c>
      <c r="E89" s="17" t="n">
        <v>0.12</v>
      </c>
      <c r="F89" s="17" t="n">
        <v>0.12</v>
      </c>
      <c r="G89" s="17" t="n">
        <v>0.12</v>
      </c>
      <c r="H89" s="17" t="n">
        <v>0.12</v>
      </c>
      <c r="I89" s="17" t="n">
        <v>0.12</v>
      </c>
      <c r="J89" s="17" t="n">
        <v>0.12</v>
      </c>
      <c r="K89" s="17" t="n">
        <v>0.12</v>
      </c>
      <c r="M89" s="3" t="inlineStr">
        <is>
          <t>Composite</t>
        </is>
      </c>
      <c r="N89" s="13" t="inlineStr">
        <is>
          <t>Medium</t>
        </is>
      </c>
      <c r="O89" s="3" t="inlineStr">
        <is>
          <t>Built from observable Indian market data where available. Risk-free rate 6.83% - the 10-year G-sec yield on 31-Jul-2026, with Trading Economics expecting 6.78% at quarter end. Pre-tax cost of debt 7.44% - the lower bound of CRISIL RateView's Jul-2026 projected 10-year corporate bond yield range of 7.44-7.54%, consistent with the AA domestic ratings the Master Database records for JSW Steel. Post-tax cost of debt therefore 5.57% at the 25.17% tax rate. Equity risk premium of 6.5% and an equity beta of 1.2 are NOT SOURCED and are the weakest links in this build; at a 30% debt weight these give a cost of equity of about 14.6% and a WACC of about 12.0%. The full build-up is shown and is fully editable on sheet 02, and WACC is a sensitivity axis on sheet 22.</t>
        </is>
      </c>
    </row>
    <row r="90">
      <c r="A90" s="13" t="inlineStr"/>
      <c r="B90" s="18" t="inlineStr"/>
      <c r="C90" s="15" t="inlineStr">
        <is>
          <t>Bull Case</t>
        </is>
      </c>
      <c r="D90" s="16" t="inlineStr"/>
      <c r="E90" s="17" t="n">
        <v>0.112</v>
      </c>
      <c r="F90" s="17" t="n">
        <v>0.112</v>
      </c>
      <c r="G90" s="17" t="n">
        <v>0.112</v>
      </c>
      <c r="H90" s="17" t="n">
        <v>0.112</v>
      </c>
      <c r="I90" s="17" t="n">
        <v>0.112</v>
      </c>
      <c r="J90" s="17" t="n">
        <v>0.112</v>
      </c>
      <c r="K90" s="17" t="n">
        <v>0.112</v>
      </c>
    </row>
    <row r="91">
      <c r="A91" s="13" t="inlineStr"/>
      <c r="B91" s="18" t="inlineStr"/>
      <c r="C91" s="15" t="inlineStr">
        <is>
          <t>Bear Case</t>
        </is>
      </c>
      <c r="D91" s="16" t="inlineStr"/>
      <c r="E91" s="17" t="n">
        <v>0.128</v>
      </c>
      <c r="F91" s="17" t="n">
        <v>0.128</v>
      </c>
      <c r="G91" s="17" t="n">
        <v>0.128</v>
      </c>
      <c r="H91" s="17" t="n">
        <v>0.128</v>
      </c>
      <c r="I91" s="17" t="n">
        <v>0.128</v>
      </c>
      <c r="J91" s="17" t="n">
        <v>0.128</v>
      </c>
      <c r="K91" s="17" t="n">
        <v>0.128</v>
      </c>
    </row>
    <row r="92">
      <c r="A92" s="13" t="inlineStr"/>
      <c r="B92" s="18" t="inlineStr"/>
      <c r="C92" s="15" t="inlineStr">
        <is>
          <t>Stress Case</t>
        </is>
      </c>
      <c r="D92" s="16" t="inlineStr"/>
      <c r="E92" s="17" t="n">
        <v>0.14</v>
      </c>
      <c r="F92" s="17" t="n">
        <v>0.14</v>
      </c>
      <c r="G92" s="17" t="n">
        <v>0.14</v>
      </c>
      <c r="H92" s="17" t="n">
        <v>0.14</v>
      </c>
      <c r="I92" s="17" t="n">
        <v>0.14</v>
      </c>
      <c r="J92" s="17" t="n">
        <v>0.14</v>
      </c>
      <c r="K92" s="17" t="n">
        <v>0.14</v>
      </c>
    </row>
    <row r="93">
      <c r="A93" s="13" t="inlineStr">
        <is>
          <t>D21</t>
        </is>
      </c>
      <c r="B93" s="14" t="inlineStr">
        <is>
          <t>Finished steel imports</t>
        </is>
      </c>
      <c r="C93" s="15" t="inlineStr">
        <is>
          <t>Base Case</t>
        </is>
      </c>
      <c r="D93" s="16" t="inlineStr">
        <is>
          <t>Mt</t>
        </is>
      </c>
      <c r="E93" s="20" t="n">
        <v>6.8</v>
      </c>
      <c r="F93" s="20" t="n">
        <v>7</v>
      </c>
      <c r="G93" s="20" t="n">
        <v>7.2</v>
      </c>
      <c r="H93" s="20" t="n">
        <v>7.5</v>
      </c>
      <c r="I93" s="20" t="n">
        <v>7.8</v>
      </c>
      <c r="J93" s="20" t="n">
        <v>8.1</v>
      </c>
      <c r="K93" s="20" t="n">
        <v>8.4</v>
      </c>
      <c r="M93" s="3" t="inlineStr">
        <is>
          <t>Derived-DB</t>
        </is>
      </c>
      <c r="N93" s="13" t="inlineStr">
        <is>
          <t>Medium</t>
        </is>
      </c>
      <c r="O93" s="3" t="inlineStr">
        <is>
          <t>FY2026 actual 6.524 Mt, down 31.7% from 9.551 Mt in FY2025 as the safeguard duty bit (Master DB). Base assumes imports grow slowly with the market as the duty tapers to 11.5% then 11% and expires 20-Apr-2028, but stay well below the FY2025 peak because domestic capacity has expanded. Note the counter-intuitive scenario signs: the BULL case carries HIGHER imports because strong domestic demand pulls material in, while the BEAR case carries LOWER imports because weak demand and a wide domestic discount to import parity make imports uncompetitive. Stress assumes a return above the FY2025 peak on duty expiry plus Chinese surplus redirection. Exports are derived as imports plus net exports (D07), so the two trade drivers are internally consistent by construction.</t>
        </is>
      </c>
    </row>
    <row r="94">
      <c r="A94" s="13" t="inlineStr"/>
      <c r="B94" s="18" t="inlineStr"/>
      <c r="C94" s="15" t="inlineStr">
        <is>
          <t>Bull Case</t>
        </is>
      </c>
      <c r="D94" s="16" t="inlineStr"/>
      <c r="E94" s="20" t="n">
        <v>7.5</v>
      </c>
      <c r="F94" s="20" t="n">
        <v>8</v>
      </c>
      <c r="G94" s="20" t="n">
        <v>8.5</v>
      </c>
      <c r="H94" s="20" t="n">
        <v>9</v>
      </c>
      <c r="I94" s="20" t="n">
        <v>9.5</v>
      </c>
      <c r="J94" s="20" t="n">
        <v>10</v>
      </c>
      <c r="K94" s="20" t="n">
        <v>10.5</v>
      </c>
    </row>
    <row r="95">
      <c r="A95" s="13" t="inlineStr"/>
      <c r="B95" s="18" t="inlineStr"/>
      <c r="C95" s="15" t="inlineStr">
        <is>
          <t>Bear Case</t>
        </is>
      </c>
      <c r="D95" s="16" t="inlineStr"/>
      <c r="E95" s="20" t="n">
        <v>6</v>
      </c>
      <c r="F95" s="20" t="n">
        <v>5.5</v>
      </c>
      <c r="G95" s="20" t="n">
        <v>5.2</v>
      </c>
      <c r="H95" s="20" t="n">
        <v>5</v>
      </c>
      <c r="I95" s="20" t="n">
        <v>5</v>
      </c>
      <c r="J95" s="20" t="n">
        <v>5.1</v>
      </c>
      <c r="K95" s="20" t="n">
        <v>5.2</v>
      </c>
    </row>
    <row r="96">
      <c r="A96" s="13" t="inlineStr"/>
      <c r="B96" s="18" t="inlineStr"/>
      <c r="C96" s="15" t="inlineStr">
        <is>
          <t>Stress Case</t>
        </is>
      </c>
      <c r="D96" s="16" t="inlineStr"/>
      <c r="E96" s="20" t="n">
        <v>8.5</v>
      </c>
      <c r="F96" s="20" t="n">
        <v>10</v>
      </c>
      <c r="G96" s="20" t="n">
        <v>11</v>
      </c>
      <c r="H96" s="20" t="n">
        <v>11.5</v>
      </c>
      <c r="I96" s="20" t="n">
        <v>12</v>
      </c>
      <c r="J96" s="20" t="n">
        <v>12</v>
      </c>
      <c r="K96" s="20" t="n">
        <v>12</v>
      </c>
    </row>
    <row r="97">
      <c r="A97" s="13" t="inlineStr">
        <is>
          <t>D22</t>
        </is>
      </c>
      <c r="B97" s="14" t="inlineStr">
        <is>
          <t>Secondary and unattributed capacity additions</t>
        </is>
      </c>
      <c r="C97" s="15" t="inlineStr">
        <is>
          <t>Base Case</t>
        </is>
      </c>
      <c r="D97" s="16" t="inlineStr">
        <is>
          <t>Mtpa p.a.</t>
        </is>
      </c>
      <c r="E97" s="20" t="n">
        <v>11</v>
      </c>
      <c r="F97" s="20" t="n">
        <v>11</v>
      </c>
      <c r="G97" s="20" t="n">
        <v>11</v>
      </c>
      <c r="H97" s="20" t="n">
        <v>10.5</v>
      </c>
      <c r="I97" s="20" t="n">
        <v>10.5</v>
      </c>
      <c r="J97" s="20" t="n">
        <v>10</v>
      </c>
      <c r="K97" s="20" t="n">
        <v>10</v>
      </c>
      <c r="M97" s="3" t="inlineStr">
        <is>
          <t>Derived-DB</t>
        </is>
      </c>
      <c r="N97" s="13" t="inlineStr">
        <is>
          <t>Medium</t>
        </is>
      </c>
      <c r="O97" s="3" t="inlineStr">
        <is>
          <t>ESSENTIAL RECONCILIATION ITEM. The dated project tracker on sheet 07 captures only large, individually announced projects and averages 7.7 Mtpa a year over FY2027-FY2033. India actually added 20.82 Mtpa in FY2025 and 20.07 Mtpa in FY2026 (Master DB), so roughly 12.7 Mtpa a year has historically come from the secondary sector and from projects too small to be individually announced. The Master Database evidences this directly: production by 'other producers' rose from 66.61 Mt in FY2025 to 73.02 Mt in FY2026 and compounded at 10.7% over FY2022-FY2026, faster than the integrated majors' 8.1%. Base assumes 11.0 Mtpa a year tapering to 10.0, slightly below the historical rate. VALIDATION: this build produces India crude steel capacity of about 302 Mtpa by FY2031 against the National Steel Policy 2017 target of 300 Mtpa - the model reproduces the policy target from bottom-up components without being calibrated to it, which is a meaningful independent check on the capacity block. Omitting this driver would understate FY2031 capacity by about 54 Mtpa, or 18%.</t>
        </is>
      </c>
    </row>
    <row r="98">
      <c r="A98" s="13" t="inlineStr"/>
      <c r="B98" s="18" t="inlineStr"/>
      <c r="C98" s="15" t="inlineStr">
        <is>
          <t>Bull Case</t>
        </is>
      </c>
      <c r="D98" s="16" t="inlineStr"/>
      <c r="E98" s="20" t="n">
        <v>13</v>
      </c>
      <c r="F98" s="20" t="n">
        <v>13</v>
      </c>
      <c r="G98" s="20" t="n">
        <v>12.5</v>
      </c>
      <c r="H98" s="20" t="n">
        <v>12.5</v>
      </c>
      <c r="I98" s="20" t="n">
        <v>12</v>
      </c>
      <c r="J98" s="20" t="n">
        <v>12</v>
      </c>
      <c r="K98" s="20" t="n">
        <v>11.5</v>
      </c>
    </row>
    <row r="99">
      <c r="A99" s="13" t="inlineStr"/>
      <c r="B99" s="18" t="inlineStr"/>
      <c r="C99" s="15" t="inlineStr">
        <is>
          <t>Bear Case</t>
        </is>
      </c>
      <c r="D99" s="16" t="inlineStr"/>
      <c r="E99" s="20" t="n">
        <v>8</v>
      </c>
      <c r="F99" s="20" t="n">
        <v>8</v>
      </c>
      <c r="G99" s="20" t="n">
        <v>7.5</v>
      </c>
      <c r="H99" s="20" t="n">
        <v>7</v>
      </c>
      <c r="I99" s="20" t="n">
        <v>7</v>
      </c>
      <c r="J99" s="20" t="n">
        <v>6.5</v>
      </c>
      <c r="K99" s="20" t="n">
        <v>6.5</v>
      </c>
    </row>
    <row r="100">
      <c r="A100" s="13" t="inlineStr"/>
      <c r="B100" s="18" t="inlineStr"/>
      <c r="C100" s="15" t="inlineStr">
        <is>
          <t>Stress Case</t>
        </is>
      </c>
      <c r="D100" s="16" t="inlineStr"/>
      <c r="E100" s="20" t="n">
        <v>5</v>
      </c>
      <c r="F100" s="20" t="n">
        <v>4</v>
      </c>
      <c r="G100" s="20" t="n">
        <v>4</v>
      </c>
      <c r="H100" s="20" t="n">
        <v>3.5</v>
      </c>
      <c r="I100" s="20" t="n">
        <v>3.5</v>
      </c>
      <c r="J100" s="20" t="n">
        <v>3</v>
      </c>
      <c r="K100" s="20" t="n">
        <v>3</v>
      </c>
    </row>
    <row r="101">
      <c r="A101" s="13" t="inlineStr">
        <is>
          <t>D23</t>
        </is>
      </c>
      <c r="B101" s="14" t="inlineStr">
        <is>
          <t>Price sensitivity to capacity utilisation (lagged)</t>
        </is>
      </c>
      <c r="C101" s="15" t="inlineStr">
        <is>
          <t>Base Case</t>
        </is>
      </c>
      <c r="D101" s="16" t="inlineStr">
        <is>
          <t>x</t>
        </is>
      </c>
      <c r="E101" s="19" t="n">
        <v>0.4</v>
      </c>
      <c r="F101" s="19" t="n">
        <v>0.4</v>
      </c>
      <c r="G101" s="19" t="n">
        <v>0.4</v>
      </c>
      <c r="H101" s="19" t="n">
        <v>0.4</v>
      </c>
      <c r="I101" s="19" t="n">
        <v>0.4</v>
      </c>
      <c r="J101" s="19" t="n">
        <v>0.4</v>
      </c>
      <c r="K101" s="19" t="n">
        <v>0.4</v>
      </c>
      <c r="M101" s="3" t="inlineStr">
        <is>
          <t>Indicative</t>
        </is>
      </c>
      <c r="N101" s="13" t="inlineStr">
        <is>
          <t>Low</t>
        </is>
      </c>
      <c r="O101" s="3" t="inlineStr">
        <is>
          <t>THE FEEDBACK LOOP THAT MAKES THIS AN INTEGRATED MODEL RATHER THAN A SET OF PARALLEL FORECASTS. Realisation is adjusted by this elasticity multiplied by the gap between the PRIOR year's capacity utilisation and normal utilisation (D24): effective realisation = driver realisation x (1 + D23 x (utilisation[t-1] - D24)). The one-year LAG is deliberate and essential - it makes capacity, delivery rates and secondary additions genuinely affect price and therefore EBITDA, while avoiding a circular reference in Excel. Without it, capacity is decorative: the pipeline delivery factor and secondary additions would show literally zero EBITDA sensitivity, which would be a visible hole in the model. Sign: MORE capacity lowers utilisation, which lowers price, which lowers EBITDA - so faster capacity delivery is EBITDA-NEGATIVE, which is the economically correct result and the opposite of the naive intuition. Value of 0.40x is INDICATIVE and unsourced; it is held constant across scenarios for that reason and is a sensitivity axis on sheet 22. Directional support from the database: utilisation fell from 80.4% in FY2024 to 76.0% in FY2025 and domestic HRC weakened materially over that period, requiring a safeguard duty to arrest the decline.</t>
        </is>
      </c>
    </row>
    <row r="102">
      <c r="A102" s="13" t="inlineStr"/>
      <c r="B102" s="18" t="inlineStr"/>
      <c r="C102" s="15" t="inlineStr">
        <is>
          <t>Bull Case</t>
        </is>
      </c>
      <c r="D102" s="16" t="inlineStr"/>
      <c r="E102" s="19" t="n">
        <v>0.4</v>
      </c>
      <c r="F102" s="19" t="n">
        <v>0.4</v>
      </c>
      <c r="G102" s="19" t="n">
        <v>0.4</v>
      </c>
      <c r="H102" s="19" t="n">
        <v>0.4</v>
      </c>
      <c r="I102" s="19" t="n">
        <v>0.4</v>
      </c>
      <c r="J102" s="19" t="n">
        <v>0.4</v>
      </c>
      <c r="K102" s="19" t="n">
        <v>0.4</v>
      </c>
    </row>
    <row r="103">
      <c r="A103" s="13" t="inlineStr"/>
      <c r="B103" s="18" t="inlineStr"/>
      <c r="C103" s="15" t="inlineStr">
        <is>
          <t>Bear Case</t>
        </is>
      </c>
      <c r="D103" s="16" t="inlineStr"/>
      <c r="E103" s="19" t="n">
        <v>0.4</v>
      </c>
      <c r="F103" s="19" t="n">
        <v>0.4</v>
      </c>
      <c r="G103" s="19" t="n">
        <v>0.4</v>
      </c>
      <c r="H103" s="19" t="n">
        <v>0.4</v>
      </c>
      <c r="I103" s="19" t="n">
        <v>0.4</v>
      </c>
      <c r="J103" s="19" t="n">
        <v>0.4</v>
      </c>
      <c r="K103" s="19" t="n">
        <v>0.4</v>
      </c>
    </row>
    <row r="104">
      <c r="A104" s="13" t="inlineStr"/>
      <c r="B104" s="18" t="inlineStr"/>
      <c r="C104" s="15" t="inlineStr">
        <is>
          <t>Stress Case</t>
        </is>
      </c>
      <c r="D104" s="16" t="inlineStr"/>
      <c r="E104" s="19" t="n">
        <v>0.4</v>
      </c>
      <c r="F104" s="19" t="n">
        <v>0.4</v>
      </c>
      <c r="G104" s="19" t="n">
        <v>0.4</v>
      </c>
      <c r="H104" s="19" t="n">
        <v>0.4</v>
      </c>
      <c r="I104" s="19" t="n">
        <v>0.4</v>
      </c>
      <c r="J104" s="19" t="n">
        <v>0.4</v>
      </c>
      <c r="K104" s="19" t="n">
        <v>0.4</v>
      </c>
    </row>
    <row r="105">
      <c r="A105" s="13" t="inlineStr">
        <is>
          <t>D24</t>
        </is>
      </c>
      <c r="B105" s="14" t="inlineStr">
        <is>
          <t>Normal capacity utilisation</t>
        </is>
      </c>
      <c r="C105" s="15" t="inlineStr">
        <is>
          <t>Base Case</t>
        </is>
      </c>
      <c r="D105" s="16" t="inlineStr">
        <is>
          <t>%</t>
        </is>
      </c>
      <c r="E105" s="17" t="n">
        <v>0.8</v>
      </c>
      <c r="F105" s="17" t="n">
        <v>0.8</v>
      </c>
      <c r="G105" s="17" t="n">
        <v>0.8</v>
      </c>
      <c r="H105" s="17" t="n">
        <v>0.8</v>
      </c>
      <c r="I105" s="17" t="n">
        <v>0.8</v>
      </c>
      <c r="J105" s="17" t="n">
        <v>0.8</v>
      </c>
      <c r="K105" s="17" t="n">
        <v>0.8</v>
      </c>
      <c r="M105" s="3" t="inlineStr">
        <is>
          <t>Derived-DB</t>
        </is>
      </c>
      <c r="N105" s="13" t="inlineStr">
        <is>
          <t>Medium</t>
        </is>
      </c>
      <c r="O105" s="3" t="inlineStr">
        <is>
          <t>The utilisation level at which realisation equals the unadjusted driver value, i.e. the neutral point of the feedback in D23. Anchored on actual Indian utilisation from the Master Database: 80.4% in FY2024, 76.0% in FY2025 and 76.4% in FY2026. FY2024's 80.4% is the recent high and is adopted as 'normal'. Held constant across scenarios because it is a structural property of the industry, not a cyclical variable.</t>
        </is>
      </c>
    </row>
    <row r="106">
      <c r="A106" s="13" t="inlineStr"/>
      <c r="B106" s="18" t="inlineStr"/>
      <c r="C106" s="15" t="inlineStr">
        <is>
          <t>Bull Case</t>
        </is>
      </c>
      <c r="D106" s="16" t="inlineStr"/>
      <c r="E106" s="17" t="n">
        <v>0.8</v>
      </c>
      <c r="F106" s="17" t="n">
        <v>0.8</v>
      </c>
      <c r="G106" s="17" t="n">
        <v>0.8</v>
      </c>
      <c r="H106" s="17" t="n">
        <v>0.8</v>
      </c>
      <c r="I106" s="17" t="n">
        <v>0.8</v>
      </c>
      <c r="J106" s="17" t="n">
        <v>0.8</v>
      </c>
      <c r="K106" s="17" t="n">
        <v>0.8</v>
      </c>
    </row>
    <row r="107">
      <c r="A107" s="13" t="inlineStr"/>
      <c r="B107" s="18" t="inlineStr"/>
      <c r="C107" s="15" t="inlineStr">
        <is>
          <t>Bear Case</t>
        </is>
      </c>
      <c r="D107" s="16" t="inlineStr"/>
      <c r="E107" s="17" t="n">
        <v>0.8</v>
      </c>
      <c r="F107" s="17" t="n">
        <v>0.8</v>
      </c>
      <c r="G107" s="17" t="n">
        <v>0.8</v>
      </c>
      <c r="H107" s="17" t="n">
        <v>0.8</v>
      </c>
      <c r="I107" s="17" t="n">
        <v>0.8</v>
      </c>
      <c r="J107" s="17" t="n">
        <v>0.8</v>
      </c>
      <c r="K107" s="17" t="n">
        <v>0.8</v>
      </c>
    </row>
    <row r="108">
      <c r="A108" s="13" t="inlineStr"/>
      <c r="B108" s="18" t="inlineStr"/>
      <c r="C108" s="15" t="inlineStr">
        <is>
          <t>Stress Case</t>
        </is>
      </c>
      <c r="D108" s="16" t="inlineStr"/>
      <c r="E108" s="17" t="n">
        <v>0.8</v>
      </c>
      <c r="F108" s="17" t="n">
        <v>0.8</v>
      </c>
      <c r="G108" s="17" t="n">
        <v>0.8</v>
      </c>
      <c r="H108" s="17" t="n">
        <v>0.8</v>
      </c>
      <c r="I108" s="17" t="n">
        <v>0.8</v>
      </c>
      <c r="J108" s="17" t="n">
        <v>0.8</v>
      </c>
      <c r="K108" s="17" t="n">
        <v>0.8</v>
      </c>
    </row>
    <row r="109">
      <c r="A109" s="13" t="inlineStr">
        <is>
          <t>D25</t>
        </is>
      </c>
      <c r="B109" s="14" t="inlineStr">
        <is>
          <t>Maximum practical capacity utilisation</t>
        </is>
      </c>
      <c r="C109" s="15" t="inlineStr">
        <is>
          <t>Base Case</t>
        </is>
      </c>
      <c r="D109" s="16" t="inlineStr">
        <is>
          <t>%</t>
        </is>
      </c>
      <c r="E109" s="17" t="n">
        <v>0.92</v>
      </c>
      <c r="F109" s="17" t="n">
        <v>0.92</v>
      </c>
      <c r="G109" s="17" t="n">
        <v>0.92</v>
      </c>
      <c r="H109" s="17" t="n">
        <v>0.92</v>
      </c>
      <c r="I109" s="17" t="n">
        <v>0.92</v>
      </c>
      <c r="J109" s="17" t="n">
        <v>0.92</v>
      </c>
      <c r="K109" s="17" t="n">
        <v>0.92</v>
      </c>
      <c r="M109" s="3" t="inlineStr">
        <is>
          <t>Indicative</t>
        </is>
      </c>
      <c r="N109" s="13" t="inlineStr">
        <is>
          <t>Low</t>
        </is>
      </c>
      <c r="O109" s="3" t="inlineStr">
        <is>
          <t>Caps crude steel production at capacity multiplied by this factor. Where demand-derived production would exceed the cap, the shortfall is met by additional imports rather than by impossible domestic output, which keeps the trade block internally consistent. INDICATIVE: 92% allows for planned maintenance, relining and the fact that a national aggregate can never run at nameplate. Evidence that individual assets can exceed nameplate: the Master Database records SAIL's Rourkela at 103.8% and Durgapur at 101.6% average utilisation over FY2021-FY2025, but SAIL's Alloy Steels Plant averaged only 39.8%, so the national aggregate is well below the best asset. In the base case the cap does not bind (peak utilisation 84.0% in FY2033), which is itself an important finding: India is not capacity-constrained on this demand path.</t>
        </is>
      </c>
    </row>
    <row r="110">
      <c r="A110" s="13" t="inlineStr"/>
      <c r="B110" s="18" t="inlineStr"/>
      <c r="C110" s="15" t="inlineStr">
        <is>
          <t>Bull Case</t>
        </is>
      </c>
      <c r="D110" s="16" t="inlineStr"/>
      <c r="E110" s="17" t="n">
        <v>0.93</v>
      </c>
      <c r="F110" s="17" t="n">
        <v>0.93</v>
      </c>
      <c r="G110" s="17" t="n">
        <v>0.93</v>
      </c>
      <c r="H110" s="17" t="n">
        <v>0.93</v>
      </c>
      <c r="I110" s="17" t="n">
        <v>0.93</v>
      </c>
      <c r="J110" s="17" t="n">
        <v>0.93</v>
      </c>
      <c r="K110" s="17" t="n">
        <v>0.93</v>
      </c>
    </row>
    <row r="111">
      <c r="A111" s="13" t="inlineStr"/>
      <c r="B111" s="18" t="inlineStr"/>
      <c r="C111" s="15" t="inlineStr">
        <is>
          <t>Bear Case</t>
        </is>
      </c>
      <c r="D111" s="16" t="inlineStr"/>
      <c r="E111" s="17" t="n">
        <v>0.92</v>
      </c>
      <c r="F111" s="17" t="n">
        <v>0.92</v>
      </c>
      <c r="G111" s="17" t="n">
        <v>0.92</v>
      </c>
      <c r="H111" s="17" t="n">
        <v>0.92</v>
      </c>
      <c r="I111" s="17" t="n">
        <v>0.92</v>
      </c>
      <c r="J111" s="17" t="n">
        <v>0.92</v>
      </c>
      <c r="K111" s="17" t="n">
        <v>0.92</v>
      </c>
    </row>
    <row r="112">
      <c r="A112" s="13" t="inlineStr"/>
      <c r="B112" s="18" t="inlineStr"/>
      <c r="C112" s="15" t="inlineStr">
        <is>
          <t>Stress Case</t>
        </is>
      </c>
      <c r="D112" s="16" t="inlineStr"/>
      <c r="E112" s="17" t="n">
        <v>0.92</v>
      </c>
      <c r="F112" s="17" t="n">
        <v>0.92</v>
      </c>
      <c r="G112" s="17" t="n">
        <v>0.92</v>
      </c>
      <c r="H112" s="17" t="n">
        <v>0.92</v>
      </c>
      <c r="I112" s="17" t="n">
        <v>0.92</v>
      </c>
      <c r="J112" s="17" t="n">
        <v>0.92</v>
      </c>
      <c r="K112" s="17" t="n">
        <v>0.92</v>
      </c>
    </row>
    <row r="113">
      <c r="A113" s="13" t="inlineStr">
        <is>
          <t>D26</t>
        </is>
      </c>
      <c r="B113" s="14" t="inlineStr">
        <is>
          <t>Depreciation and amortisation</t>
        </is>
      </c>
      <c r="C113" s="15" t="inlineStr">
        <is>
          <t>Base Case</t>
        </is>
      </c>
      <c r="D113" s="16" t="inlineStr">
        <is>
          <t>% of revenue</t>
        </is>
      </c>
      <c r="E113" s="17" t="n">
        <v>0.053</v>
      </c>
      <c r="F113" s="17" t="n">
        <v>0.053</v>
      </c>
      <c r="G113" s="17" t="n">
        <v>0.053</v>
      </c>
      <c r="H113" s="17" t="n">
        <v>0.053</v>
      </c>
      <c r="I113" s="17" t="n">
        <v>0.053</v>
      </c>
      <c r="J113" s="17" t="n">
        <v>0.053</v>
      </c>
      <c r="K113" s="17" t="n">
        <v>0.053</v>
      </c>
      <c r="M113" s="3" t="inlineStr">
        <is>
          <t>Derived-DB</t>
        </is>
      </c>
      <c r="N113" s="13" t="inlineStr">
        <is>
          <t>High</t>
        </is>
      </c>
      <c r="O113" s="3" t="inlineStr">
        <is>
          <t>DERIVED FROM THE MASTER DATABASE: FY2026 consolidated depreciation and amortisation for the four majors totals Rs 30,715 cr on Rs 5,81,646 cr of revenue, i.e. 5.28%. The ratio is remarkably tight across companies - Tata Steel 5.15%, JSW Steel 5.18%, SAIL 5.40%, Jindal Steel 5.96% - which gives high confidence that 5.3% is representative rather than an artefact. Bear and stress carry a slightly higher ratio because depreciation is fixed in rupee terms while revenue falls. Used only to compute taxable EBIT; it does not affect EBITDA.</t>
        </is>
      </c>
    </row>
    <row r="114">
      <c r="A114" s="13" t="inlineStr"/>
      <c r="B114" s="18" t="inlineStr"/>
      <c r="C114" s="15" t="inlineStr">
        <is>
          <t>Bull Case</t>
        </is>
      </c>
      <c r="D114" s="16" t="inlineStr"/>
      <c r="E114" s="17" t="n">
        <v>0.053</v>
      </c>
      <c r="F114" s="17" t="n">
        <v>0.053</v>
      </c>
      <c r="G114" s="17" t="n">
        <v>0.053</v>
      </c>
      <c r="H114" s="17" t="n">
        <v>0.053</v>
      </c>
      <c r="I114" s="17" t="n">
        <v>0.053</v>
      </c>
      <c r="J114" s="17" t="n">
        <v>0.053</v>
      </c>
      <c r="K114" s="17" t="n">
        <v>0.053</v>
      </c>
    </row>
    <row r="115">
      <c r="A115" s="13" t="inlineStr"/>
      <c r="B115" s="18" t="inlineStr"/>
      <c r="C115" s="15" t="inlineStr">
        <is>
          <t>Bear Case</t>
        </is>
      </c>
      <c r="D115" s="16" t="inlineStr"/>
      <c r="E115" s="17" t="n">
        <v>0.055</v>
      </c>
      <c r="F115" s="17" t="n">
        <v>0.055</v>
      </c>
      <c r="G115" s="17" t="n">
        <v>0.055</v>
      </c>
      <c r="H115" s="17" t="n">
        <v>0.055</v>
      </c>
      <c r="I115" s="17" t="n">
        <v>0.055</v>
      </c>
      <c r="J115" s="17" t="n">
        <v>0.055</v>
      </c>
      <c r="K115" s="17" t="n">
        <v>0.055</v>
      </c>
    </row>
    <row r="116">
      <c r="A116" s="13" t="inlineStr"/>
      <c r="B116" s="18" t="inlineStr"/>
      <c r="C116" s="15" t="inlineStr">
        <is>
          <t>Stress Case</t>
        </is>
      </c>
      <c r="D116" s="16" t="inlineStr"/>
      <c r="E116" s="17" t="n">
        <v>0.057</v>
      </c>
      <c r="F116" s="17" t="n">
        <v>0.057</v>
      </c>
      <c r="G116" s="17" t="n">
        <v>0.057</v>
      </c>
      <c r="H116" s="17" t="n">
        <v>0.057</v>
      </c>
      <c r="I116" s="17" t="n">
        <v>0.057</v>
      </c>
      <c r="J116" s="17" t="n">
        <v>0.057</v>
      </c>
      <c r="K116" s="17" t="n">
        <v>0.057</v>
      </c>
    </row>
    <row r="118">
      <c r="A118" s="5" t="inlineStr">
        <is>
          <t>S2</t>
        </is>
      </c>
      <c r="B118" s="6" t="inlineStr">
        <is>
          <t>ACTIVE DRIVERS - resolved from S1 by the scenario number in S0</t>
        </is>
      </c>
    </row>
    <row r="119" ht="30" customHeight="1">
      <c r="A119" s="12" t="inlineStr"/>
      <c r="B119" s="11" t="inlineStr">
        <is>
          <t>Driver (active)</t>
        </is>
      </c>
      <c r="C119" s="11" t="inlineStr">
        <is>
          <t>Unit</t>
        </is>
      </c>
      <c r="D119" s="12" t="inlineStr">
        <is>
          <t>FY2026A</t>
        </is>
      </c>
      <c r="E119" s="12" t="inlineStr">
        <is>
          <t>FY2027E</t>
        </is>
      </c>
      <c r="F119" s="12" t="inlineStr">
        <is>
          <t>FY2028E</t>
        </is>
      </c>
      <c r="G119" s="12" t="inlineStr">
        <is>
          <t>FY2029E</t>
        </is>
      </c>
      <c r="H119" s="12" t="inlineStr">
        <is>
          <t>FY2030E</t>
        </is>
      </c>
      <c r="I119" s="12" t="inlineStr">
        <is>
          <t>FY2031E</t>
        </is>
      </c>
      <c r="J119" s="12" t="inlineStr">
        <is>
          <t>FY2032E</t>
        </is>
      </c>
      <c r="K119" s="12" t="inlineStr">
        <is>
          <t>FY2033E</t>
        </is>
      </c>
      <c r="L119" s="12" t="inlineStr">
        <is>
          <t>CAGR</t>
        </is>
      </c>
      <c r="M119" s="11" t="inlineStr">
        <is>
          <t>Source</t>
        </is>
      </c>
      <c r="N119" s="12" t="inlineStr">
        <is>
          <t>Conf.</t>
        </is>
      </c>
      <c r="O119" s="11" t="inlineStr">
        <is>
          <t>Notes</t>
        </is>
      </c>
    </row>
    <row r="120">
      <c r="A120" s="22" t="inlineStr">
        <is>
          <t>D01</t>
        </is>
      </c>
      <c r="B120" s="18" t="inlineStr">
        <is>
          <t>India real GDP growth</t>
        </is>
      </c>
      <c r="C120" s="16" t="inlineStr">
        <is>
          <t>%</t>
        </is>
      </c>
      <c r="E120" s="17">
        <f>INDEX(E13:E16,$D$8)</f>
        <v/>
      </c>
      <c r="F120" s="17">
        <f>INDEX(F13:F16,$D$8)</f>
        <v/>
      </c>
      <c r="G120" s="17">
        <f>INDEX(G13:G16,$D$8)</f>
        <v/>
      </c>
      <c r="H120" s="17">
        <f>INDEX(H13:H16,$D$8)</f>
        <v/>
      </c>
      <c r="I120" s="17">
        <f>INDEX(I13:I16,$D$8)</f>
        <v/>
      </c>
      <c r="J120" s="17">
        <f>INDEX(J13:J16,$D$8)</f>
        <v/>
      </c>
      <c r="K120" s="17">
        <f>INDEX(K13:K16,$D$8)</f>
        <v/>
      </c>
      <c r="M120" s="3" t="inlineStr">
        <is>
          <t>RBI-Jun26</t>
        </is>
      </c>
      <c r="N120" s="13" t="inlineStr">
        <is>
          <t>High</t>
        </is>
      </c>
      <c r="O120" s="3" t="inlineStr">
        <is>
          <t>INDEX across S1 rows 13-16. Intra-sheet only.</t>
        </is>
      </c>
    </row>
    <row r="121">
      <c r="A121" s="22" t="inlineStr">
        <is>
          <t>D02</t>
        </is>
      </c>
      <c r="B121" s="18" t="inlineStr">
        <is>
          <t>Steel demand elasticity to real GDP</t>
        </is>
      </c>
      <c r="C121" s="16" t="inlineStr">
        <is>
          <t>x</t>
        </is>
      </c>
      <c r="E121" s="19">
        <f>INDEX(E17:E20,$D$8)</f>
        <v/>
      </c>
      <c r="F121" s="19">
        <f>INDEX(F17:F20,$D$8)</f>
        <v/>
      </c>
      <c r="G121" s="19">
        <f>INDEX(G17:G20,$D$8)</f>
        <v/>
      </c>
      <c r="H121" s="19">
        <f>INDEX(H17:H20,$D$8)</f>
        <v/>
      </c>
      <c r="I121" s="19">
        <f>INDEX(I17:I20,$D$8)</f>
        <v/>
      </c>
      <c r="J121" s="19">
        <f>INDEX(J17:J20,$D$8)</f>
        <v/>
      </c>
      <c r="K121" s="19">
        <f>INDEX(K17:K20,$D$8)</f>
        <v/>
      </c>
      <c r="M121" s="3" t="inlineStr">
        <is>
          <t>Derived-DB</t>
        </is>
      </c>
      <c r="N121" s="13" t="inlineStr">
        <is>
          <t>High</t>
        </is>
      </c>
      <c r="O121" s="3" t="inlineStr">
        <is>
          <t>INDEX across S1 rows 17-20. Intra-sheet only.</t>
        </is>
      </c>
    </row>
    <row r="122">
      <c r="A122" s="22" t="inlineStr">
        <is>
          <t>D03</t>
        </is>
      </c>
      <c r="B122" s="18" t="inlineStr">
        <is>
          <t>USD/INR average</t>
        </is>
      </c>
      <c r="C122" s="16" t="inlineStr">
        <is>
          <t>Rs/US$</t>
        </is>
      </c>
      <c r="E122" s="20">
        <f>INDEX(E21:E24,$D$8)</f>
        <v/>
      </c>
      <c r="F122" s="20">
        <f>INDEX(F21:F24,$D$8)</f>
        <v/>
      </c>
      <c r="G122" s="20">
        <f>INDEX(G21:G24,$D$8)</f>
        <v/>
      </c>
      <c r="H122" s="20">
        <f>INDEX(H21:H24,$D$8)</f>
        <v/>
      </c>
      <c r="I122" s="20">
        <f>INDEX(I21:I24,$D$8)</f>
        <v/>
      </c>
      <c r="J122" s="20">
        <f>INDEX(J21:J24,$D$8)</f>
        <v/>
      </c>
      <c r="K122" s="20">
        <f>INDEX(K21:K24,$D$8)</f>
        <v/>
      </c>
      <c r="M122" s="3" t="inlineStr">
        <is>
          <t>IDBI-22Jun26</t>
        </is>
      </c>
      <c r="N122" s="13" t="inlineStr">
        <is>
          <t>High</t>
        </is>
      </c>
      <c r="O122" s="3" t="inlineStr">
        <is>
          <t>INDEX across S1 rows 21-24. Intra-sheet only.</t>
        </is>
      </c>
    </row>
    <row r="123">
      <c r="A123" s="22" t="inlineStr">
        <is>
          <t>D04</t>
        </is>
      </c>
      <c r="B123" s="18" t="inlineStr">
        <is>
          <t>CPI inflation</t>
        </is>
      </c>
      <c r="C123" s="16" t="inlineStr">
        <is>
          <t>%</t>
        </is>
      </c>
      <c r="E123" s="17">
        <f>INDEX(E25:E28,$D$8)</f>
        <v/>
      </c>
      <c r="F123" s="17">
        <f>INDEX(F25:F28,$D$8)</f>
        <v/>
      </c>
      <c r="G123" s="17">
        <f>INDEX(G25:G28,$D$8)</f>
        <v/>
      </c>
      <c r="H123" s="17">
        <f>INDEX(H25:H28,$D$8)</f>
        <v/>
      </c>
      <c r="I123" s="17">
        <f>INDEX(I25:I28,$D$8)</f>
        <v/>
      </c>
      <c r="J123" s="17">
        <f>INDEX(J25:J28,$D$8)</f>
        <v/>
      </c>
      <c r="K123" s="17">
        <f>INDEX(K25:K28,$D$8)</f>
        <v/>
      </c>
      <c r="M123" s="3" t="inlineStr">
        <is>
          <t>RBI-Jun26</t>
        </is>
      </c>
      <c r="N123" s="13" t="inlineStr">
        <is>
          <t>High</t>
        </is>
      </c>
      <c r="O123" s="3" t="inlineStr">
        <is>
          <t>INDEX across S1 rows 25-28. Intra-sheet only.</t>
        </is>
      </c>
    </row>
    <row r="124">
      <c r="A124" s="22" t="inlineStr">
        <is>
          <t>D05</t>
        </is>
      </c>
      <c r="B124" s="18" t="inlineStr">
        <is>
          <t>Announced pipeline delivery factor</t>
        </is>
      </c>
      <c r="C124" s="16" t="inlineStr">
        <is>
          <t>%</t>
        </is>
      </c>
      <c r="E124" s="17">
        <f>INDEX(E29:E32,$D$8)</f>
        <v/>
      </c>
      <c r="F124" s="17">
        <f>INDEX(F29:F32,$D$8)</f>
        <v/>
      </c>
      <c r="G124" s="17">
        <f>INDEX(G29:G32,$D$8)</f>
        <v/>
      </c>
      <c r="H124" s="17">
        <f>INDEX(H29:H32,$D$8)</f>
        <v/>
      </c>
      <c r="I124" s="17">
        <f>INDEX(I29:I32,$D$8)</f>
        <v/>
      </c>
      <c r="J124" s="17">
        <f>INDEX(J29:J32,$D$8)</f>
        <v/>
      </c>
      <c r="K124" s="17">
        <f>INDEX(K29:K32,$D$8)</f>
        <v/>
      </c>
      <c r="M124" s="3" t="inlineStr">
        <is>
          <t>Derived-DB</t>
        </is>
      </c>
      <c r="N124" s="13" t="inlineStr">
        <is>
          <t>Medium</t>
        </is>
      </c>
      <c r="O124" s="3" t="inlineStr">
        <is>
          <t>INDEX across S1 rows 29-32. Intra-sheet only.</t>
        </is>
      </c>
    </row>
    <row r="125">
      <c r="A125" s="22" t="inlineStr">
        <is>
          <t>D06</t>
        </is>
      </c>
      <c r="B125" s="18" t="inlineStr">
        <is>
          <t>Crude-to-finished steel ratio</t>
        </is>
      </c>
      <c r="C125" s="16" t="inlineStr">
        <is>
          <t>x</t>
        </is>
      </c>
      <c r="E125" s="19">
        <f>INDEX(E33:E36,$D$8)</f>
        <v/>
      </c>
      <c r="F125" s="19">
        <f>INDEX(F33:F36,$D$8)</f>
        <v/>
      </c>
      <c r="G125" s="19">
        <f>INDEX(G33:G36,$D$8)</f>
        <v/>
      </c>
      <c r="H125" s="19">
        <f>INDEX(H33:H36,$D$8)</f>
        <v/>
      </c>
      <c r="I125" s="19">
        <f>INDEX(I33:I36,$D$8)</f>
        <v/>
      </c>
      <c r="J125" s="19">
        <f>INDEX(J33:J36,$D$8)</f>
        <v/>
      </c>
      <c r="K125" s="19">
        <f>INDEX(K33:K36,$D$8)</f>
        <v/>
      </c>
      <c r="M125" s="3" t="inlineStr">
        <is>
          <t>Derived-DB</t>
        </is>
      </c>
      <c r="N125" s="13" t="inlineStr">
        <is>
          <t>High</t>
        </is>
      </c>
      <c r="O125" s="3" t="inlineStr">
        <is>
          <t>INDEX across S1 rows 33-36. Intra-sheet only.</t>
        </is>
      </c>
    </row>
    <row r="126">
      <c r="A126" s="22" t="inlineStr">
        <is>
          <t>D07</t>
        </is>
      </c>
      <c r="B126" s="18" t="inlineStr">
        <is>
          <t>Net finished steel exports</t>
        </is>
      </c>
      <c r="C126" s="16" t="inlineStr">
        <is>
          <t>Mt</t>
        </is>
      </c>
      <c r="E126" s="20">
        <f>INDEX(E37:E40,$D$8)</f>
        <v/>
      </c>
      <c r="F126" s="20">
        <f>INDEX(F37:F40,$D$8)</f>
        <v/>
      </c>
      <c r="G126" s="20">
        <f>INDEX(G37:G40,$D$8)</f>
        <v/>
      </c>
      <c r="H126" s="20">
        <f>INDEX(H37:H40,$D$8)</f>
        <v/>
      </c>
      <c r="I126" s="20">
        <f>INDEX(I37:I40,$D$8)</f>
        <v/>
      </c>
      <c r="J126" s="20">
        <f>INDEX(J37:J40,$D$8)</f>
        <v/>
      </c>
      <c r="K126" s="20">
        <f>INDEX(K37:K40,$D$8)</f>
        <v/>
      </c>
      <c r="M126" s="3" t="inlineStr">
        <is>
          <t>Derived-DB</t>
        </is>
      </c>
      <c r="N126" s="13" t="inlineStr">
        <is>
          <t>Medium</t>
        </is>
      </c>
      <c r="O126" s="3" t="inlineStr">
        <is>
          <t>INDEX across S1 rows 37-40. Intra-sheet only.</t>
        </is>
      </c>
    </row>
    <row r="127">
      <c r="A127" s="22" t="inlineStr">
        <is>
          <t>D08</t>
        </is>
      </c>
      <c r="B127" s="18" t="inlineStr">
        <is>
          <t>Variation in stock</t>
        </is>
      </c>
      <c r="C127" s="16" t="inlineStr">
        <is>
          <t>Mt</t>
        </is>
      </c>
      <c r="E127" s="20">
        <f>INDEX(E41:E44,$D$8)</f>
        <v/>
      </c>
      <c r="F127" s="20">
        <f>INDEX(F41:F44,$D$8)</f>
        <v/>
      </c>
      <c r="G127" s="20">
        <f>INDEX(G41:G44,$D$8)</f>
        <v/>
      </c>
      <c r="H127" s="20">
        <f>INDEX(H41:H44,$D$8)</f>
        <v/>
      </c>
      <c r="I127" s="20">
        <f>INDEX(I41:I44,$D$8)</f>
        <v/>
      </c>
      <c r="J127" s="20">
        <f>INDEX(J41:J44,$D$8)</f>
        <v/>
      </c>
      <c r="K127" s="20">
        <f>INDEX(K41:K44,$D$8)</f>
        <v/>
      </c>
      <c r="M127" s="3" t="inlineStr">
        <is>
          <t>Derived-DB</t>
        </is>
      </c>
      <c r="N127" s="13" t="inlineStr">
        <is>
          <t>Medium</t>
        </is>
      </c>
      <c r="O127" s="3" t="inlineStr">
        <is>
          <t>INDEX across S1 rows 41-44. Intra-sheet only.</t>
        </is>
      </c>
    </row>
    <row r="128">
      <c r="A128" s="22" t="inlineStr">
        <is>
          <t>D09</t>
        </is>
      </c>
      <c r="B128" s="18" t="inlineStr">
        <is>
          <t>Blended industry realisation</t>
        </is>
      </c>
      <c r="C128" s="16" t="inlineStr">
        <is>
          <t>Rs/t</t>
        </is>
      </c>
      <c r="E128" s="21">
        <f>INDEX(E45:E48,$D$8)</f>
        <v/>
      </c>
      <c r="F128" s="21">
        <f>INDEX(F45:F48,$D$8)</f>
        <v/>
      </c>
      <c r="G128" s="21">
        <f>INDEX(G45:G48,$D$8)</f>
        <v/>
      </c>
      <c r="H128" s="21">
        <f>INDEX(H45:H48,$D$8)</f>
        <v/>
      </c>
      <c r="I128" s="21">
        <f>INDEX(I45:I48,$D$8)</f>
        <v/>
      </c>
      <c r="J128" s="21">
        <f>INDEX(J45:J48,$D$8)</f>
        <v/>
      </c>
      <c r="K128" s="21">
        <f>INDEX(K45:K48,$D$8)</f>
        <v/>
      </c>
      <c r="M128" s="3" t="inlineStr">
        <is>
          <t>Derived-DB</t>
        </is>
      </c>
      <c r="N128" s="13" t="inlineStr">
        <is>
          <t>Medium</t>
        </is>
      </c>
      <c r="O128" s="3" t="inlineStr">
        <is>
          <t>INDEX across S1 rows 45-48. Intra-sheet only.</t>
        </is>
      </c>
    </row>
    <row r="129">
      <c r="A129" s="22" t="inlineStr">
        <is>
          <t>D10</t>
        </is>
      </c>
      <c r="B129" s="18" t="inlineStr">
        <is>
          <t>Iron ore 62% Fe CFR China</t>
        </is>
      </c>
      <c r="C129" s="16" t="inlineStr">
        <is>
          <t>US$/dmt</t>
        </is>
      </c>
      <c r="E129" s="20">
        <f>INDEX(E49:E52,$D$8)</f>
        <v/>
      </c>
      <c r="F129" s="20">
        <f>INDEX(F49:F52,$D$8)</f>
        <v/>
      </c>
      <c r="G129" s="20">
        <f>INDEX(G49:G52,$D$8)</f>
        <v/>
      </c>
      <c r="H129" s="20">
        <f>INDEX(H49:H52,$D$8)</f>
        <v/>
      </c>
      <c r="I129" s="20">
        <f>INDEX(I49:I52,$D$8)</f>
        <v/>
      </c>
      <c r="J129" s="20">
        <f>INDEX(J49:J52,$D$8)</f>
        <v/>
      </c>
      <c r="K129" s="20">
        <f>INDEX(K49:K52,$D$8)</f>
        <v/>
      </c>
      <c r="M129" s="3" t="inlineStr">
        <is>
          <t>S17</t>
        </is>
      </c>
      <c r="N129" s="13" t="inlineStr">
        <is>
          <t>High</t>
        </is>
      </c>
      <c r="O129" s="3" t="inlineStr">
        <is>
          <t>INDEX across S1 rows 49-52. Intra-sheet only.</t>
        </is>
      </c>
    </row>
    <row r="130">
      <c r="A130" s="22" t="inlineStr">
        <is>
          <t>D11</t>
        </is>
      </c>
      <c r="B130" s="18" t="inlineStr">
        <is>
          <t>Premium HCC coking coal FOB Australia</t>
        </is>
      </c>
      <c r="C130" s="16" t="inlineStr">
        <is>
          <t>US$/t</t>
        </is>
      </c>
      <c r="E130" s="20">
        <f>INDEX(E53:E56,$D$8)</f>
        <v/>
      </c>
      <c r="F130" s="20">
        <f>INDEX(F53:F56,$D$8)</f>
        <v/>
      </c>
      <c r="G130" s="20">
        <f>INDEX(G53:G56,$D$8)</f>
        <v/>
      </c>
      <c r="H130" s="20">
        <f>INDEX(H53:H56,$D$8)</f>
        <v/>
      </c>
      <c r="I130" s="20">
        <f>INDEX(I53:I56,$D$8)</f>
        <v/>
      </c>
      <c r="J130" s="20">
        <f>INDEX(J53:J56,$D$8)</f>
        <v/>
      </c>
      <c r="K130" s="20">
        <f>INDEX(K53:K56,$D$8)</f>
        <v/>
      </c>
      <c r="M130" s="3" t="inlineStr">
        <is>
          <t>S01</t>
        </is>
      </c>
      <c r="N130" s="13" t="inlineStr">
        <is>
          <t>Medium</t>
        </is>
      </c>
      <c r="O130" s="3" t="inlineStr">
        <is>
          <t>INDEX across S1 rows 53-56. Intra-sheet only.</t>
        </is>
      </c>
    </row>
    <row r="131">
      <c r="A131" s="22" t="inlineStr">
        <is>
          <t>D12</t>
        </is>
      </c>
      <c r="B131" s="18" t="inlineStr">
        <is>
          <t>Conversion cost inflation</t>
        </is>
      </c>
      <c r="C131" s="16" t="inlineStr">
        <is>
          <t>%</t>
        </is>
      </c>
      <c r="E131" s="17">
        <f>INDEX(E57:E60,$D$8)</f>
        <v/>
      </c>
      <c r="F131" s="17">
        <f>INDEX(F57:F60,$D$8)</f>
        <v/>
      </c>
      <c r="G131" s="17">
        <f>INDEX(G57:G60,$D$8)</f>
        <v/>
      </c>
      <c r="H131" s="17">
        <f>INDEX(H57:H60,$D$8)</f>
        <v/>
      </c>
      <c r="I131" s="17">
        <f>INDEX(I57:I60,$D$8)</f>
        <v/>
      </c>
      <c r="J131" s="17">
        <f>INDEX(J57:J60,$D$8)</f>
        <v/>
      </c>
      <c r="K131" s="17">
        <f>INDEX(K57:K60,$D$8)</f>
        <v/>
      </c>
      <c r="M131" s="3" t="inlineStr">
        <is>
          <t>RBI-Jun26</t>
        </is>
      </c>
      <c r="N131" s="13" t="inlineStr">
        <is>
          <t>Medium</t>
        </is>
      </c>
      <c r="O131" s="3" t="inlineStr">
        <is>
          <t>INDEX across S1 rows 57-60. Intra-sheet only.</t>
        </is>
      </c>
    </row>
    <row r="132">
      <c r="A132" s="22" t="inlineStr">
        <is>
          <t>D13</t>
        </is>
      </c>
      <c r="B132" s="18" t="inlineStr">
        <is>
          <t>Raw material share of cash cost</t>
        </is>
      </c>
      <c r="C132" s="16" t="inlineStr">
        <is>
          <t>%</t>
        </is>
      </c>
      <c r="E132" s="17">
        <f>INDEX(E61:E64,$D$8)</f>
        <v/>
      </c>
      <c r="F132" s="17">
        <f>INDEX(F61:F64,$D$8)</f>
        <v/>
      </c>
      <c r="G132" s="17">
        <f>INDEX(G61:G64,$D$8)</f>
        <v/>
      </c>
      <c r="H132" s="17">
        <f>INDEX(H61:H64,$D$8)</f>
        <v/>
      </c>
      <c r="I132" s="17">
        <f>INDEX(I61:I64,$D$8)</f>
        <v/>
      </c>
      <c r="J132" s="17">
        <f>INDEX(J61:J64,$D$8)</f>
        <v/>
      </c>
      <c r="K132" s="17">
        <f>INDEX(K61:K64,$D$8)</f>
        <v/>
      </c>
      <c r="M132" s="3" t="inlineStr">
        <is>
          <t>Indicative</t>
        </is>
      </c>
      <c r="N132" s="13" t="inlineStr">
        <is>
          <t>Low</t>
        </is>
      </c>
      <c r="O132" s="3" t="inlineStr">
        <is>
          <t>INDEX across S1 rows 61-64. Intra-sheet only.</t>
        </is>
      </c>
    </row>
    <row r="133">
      <c r="A133" s="22" t="inlineStr">
        <is>
          <t>D14</t>
        </is>
      </c>
      <c r="B133" s="18" t="inlineStr">
        <is>
          <t>Iron ore weight in the raw material basket</t>
        </is>
      </c>
      <c r="C133" s="16" t="inlineStr">
        <is>
          <t>%</t>
        </is>
      </c>
      <c r="E133" s="17">
        <f>INDEX(E65:E68,$D$8)</f>
        <v/>
      </c>
      <c r="F133" s="17">
        <f>INDEX(F65:F68,$D$8)</f>
        <v/>
      </c>
      <c r="G133" s="17">
        <f>INDEX(G65:G68,$D$8)</f>
        <v/>
      </c>
      <c r="H133" s="17">
        <f>INDEX(H65:H68,$D$8)</f>
        <v/>
      </c>
      <c r="I133" s="17">
        <f>INDEX(I65:I68,$D$8)</f>
        <v/>
      </c>
      <c r="J133" s="17">
        <f>INDEX(J65:J68,$D$8)</f>
        <v/>
      </c>
      <c r="K133" s="17">
        <f>INDEX(K65:K68,$D$8)</f>
        <v/>
      </c>
      <c r="M133" s="3" t="inlineStr">
        <is>
          <t>Indicative</t>
        </is>
      </c>
      <c r="N133" s="13" t="inlineStr">
        <is>
          <t>Low</t>
        </is>
      </c>
      <c r="O133" s="3" t="inlineStr">
        <is>
          <t>INDEX across S1 rows 65-68. Intra-sheet only.</t>
        </is>
      </c>
    </row>
    <row r="134">
      <c r="A134" s="22" t="inlineStr">
        <is>
          <t>D15</t>
        </is>
      </c>
      <c r="B134" s="18" t="inlineStr">
        <is>
          <t>Effective tax rate</t>
        </is>
      </c>
      <c r="C134" s="16" t="inlineStr">
        <is>
          <t>%</t>
        </is>
      </c>
      <c r="E134" s="17">
        <f>INDEX(E69:E72,$D$8)</f>
        <v/>
      </c>
      <c r="F134" s="17">
        <f>INDEX(F69:F72,$D$8)</f>
        <v/>
      </c>
      <c r="G134" s="17">
        <f>INDEX(G69:G72,$D$8)</f>
        <v/>
      </c>
      <c r="H134" s="17">
        <f>INDEX(H69:H72,$D$8)</f>
        <v/>
      </c>
      <c r="I134" s="17">
        <f>INDEX(I69:I72,$D$8)</f>
        <v/>
      </c>
      <c r="J134" s="17">
        <f>INDEX(J69:J72,$D$8)</f>
        <v/>
      </c>
      <c r="K134" s="17">
        <f>INDEX(K69:K72,$D$8)</f>
        <v/>
      </c>
      <c r="M134" s="3" t="inlineStr">
        <is>
          <t>Statutory</t>
        </is>
      </c>
      <c r="N134" s="13" t="inlineStr">
        <is>
          <t>Medium</t>
        </is>
      </c>
      <c r="O134" s="3" t="inlineStr">
        <is>
          <t>INDEX across S1 rows 69-72. Intra-sheet only.</t>
        </is>
      </c>
    </row>
    <row r="135">
      <c r="A135" s="22" t="inlineStr">
        <is>
          <t>D16</t>
        </is>
      </c>
      <c r="B135" s="18" t="inlineStr">
        <is>
          <t>Capex intensity</t>
        </is>
      </c>
      <c r="C135" s="16" t="inlineStr">
        <is>
          <t>Rs/t of capacity added</t>
        </is>
      </c>
      <c r="E135" s="21">
        <f>INDEX(E73:E76,$D$8)</f>
        <v/>
      </c>
      <c r="F135" s="21">
        <f>INDEX(F73:F76,$D$8)</f>
        <v/>
      </c>
      <c r="G135" s="21">
        <f>INDEX(G73:G76,$D$8)</f>
        <v/>
      </c>
      <c r="H135" s="21">
        <f>INDEX(H73:H76,$D$8)</f>
        <v/>
      </c>
      <c r="I135" s="21">
        <f>INDEX(I73:I76,$D$8)</f>
        <v/>
      </c>
      <c r="J135" s="21">
        <f>INDEX(J73:J76,$D$8)</f>
        <v/>
      </c>
      <c r="K135" s="21">
        <f>INDEX(K73:K76,$D$8)</f>
        <v/>
      </c>
      <c r="M135" s="3" t="inlineStr">
        <is>
          <t>Derived-DB</t>
        </is>
      </c>
      <c r="N135" s="13" t="inlineStr">
        <is>
          <t>Medium</t>
        </is>
      </c>
      <c r="O135" s="3" t="inlineStr">
        <is>
          <t>INDEX across S1 rows 73-76. Intra-sheet only.</t>
        </is>
      </c>
    </row>
    <row r="136">
      <c r="A136" s="22" t="inlineStr">
        <is>
          <t>D17</t>
        </is>
      </c>
      <c r="B136" s="18" t="inlineStr">
        <is>
          <t>Maintenance capex</t>
        </is>
      </c>
      <c r="C136" s="16" t="inlineStr">
        <is>
          <t>% of revenue</t>
        </is>
      </c>
      <c r="E136" s="17">
        <f>INDEX(E77:E80,$D$8)</f>
        <v/>
      </c>
      <c r="F136" s="17">
        <f>INDEX(F77:F80,$D$8)</f>
        <v/>
      </c>
      <c r="G136" s="17">
        <f>INDEX(G77:G80,$D$8)</f>
        <v/>
      </c>
      <c r="H136" s="17">
        <f>INDEX(H77:H80,$D$8)</f>
        <v/>
      </c>
      <c r="I136" s="17">
        <f>INDEX(I77:I80,$D$8)</f>
        <v/>
      </c>
      <c r="J136" s="17">
        <f>INDEX(J77:J80,$D$8)</f>
        <v/>
      </c>
      <c r="K136" s="17">
        <f>INDEX(K77:K80,$D$8)</f>
        <v/>
      </c>
      <c r="M136" s="3" t="inlineStr">
        <is>
          <t>Indicative</t>
        </is>
      </c>
      <c r="N136" s="13" t="inlineStr">
        <is>
          <t>Low</t>
        </is>
      </c>
      <c r="O136" s="3" t="inlineStr">
        <is>
          <t>INDEX across S1 rows 77-80. Intra-sheet only.</t>
        </is>
      </c>
    </row>
    <row r="137">
      <c r="A137" s="22" t="inlineStr">
        <is>
          <t>D18</t>
        </is>
      </c>
      <c r="B137" s="18" t="inlineStr">
        <is>
          <t>Net working capital</t>
        </is>
      </c>
      <c r="C137" s="16" t="inlineStr">
        <is>
          <t>days of revenue</t>
        </is>
      </c>
      <c r="E137" s="17">
        <f>INDEX(E81:E84,$D$8)</f>
        <v/>
      </c>
      <c r="F137" s="17">
        <f>INDEX(F81:F84,$D$8)</f>
        <v/>
      </c>
      <c r="G137" s="17">
        <f>INDEX(G81:G84,$D$8)</f>
        <v/>
      </c>
      <c r="H137" s="17">
        <f>INDEX(H81:H84,$D$8)</f>
        <v/>
      </c>
      <c r="I137" s="17">
        <f>INDEX(I81:I84,$D$8)</f>
        <v/>
      </c>
      <c r="J137" s="17">
        <f>INDEX(J81:J84,$D$8)</f>
        <v/>
      </c>
      <c r="K137" s="17">
        <f>INDEX(K81:K84,$D$8)</f>
        <v/>
      </c>
      <c r="M137" s="3" t="inlineStr">
        <is>
          <t>Not sourced</t>
        </is>
      </c>
      <c r="N137" s="13" t="inlineStr">
        <is>
          <t>Low</t>
        </is>
      </c>
      <c r="O137" s="3" t="inlineStr">
        <is>
          <t>INDEX across S1 rows 81-84. Intra-sheet only.</t>
        </is>
      </c>
    </row>
    <row r="138">
      <c r="A138" s="22" t="inlineStr">
        <is>
          <t>D19</t>
        </is>
      </c>
      <c r="B138" s="18" t="inlineStr">
        <is>
          <t>Exit EV/EBITDA multiple</t>
        </is>
      </c>
      <c r="C138" s="16" t="inlineStr">
        <is>
          <t>x</t>
        </is>
      </c>
      <c r="E138" s="19">
        <f>INDEX(E85:E88,$D$8)</f>
        <v/>
      </c>
      <c r="F138" s="19">
        <f>INDEX(F85:F88,$D$8)</f>
        <v/>
      </c>
      <c r="G138" s="19">
        <f>INDEX(G85:G88,$D$8)</f>
        <v/>
      </c>
      <c r="H138" s="19">
        <f>INDEX(H85:H88,$D$8)</f>
        <v/>
      </c>
      <c r="I138" s="19">
        <f>INDEX(I85:I88,$D$8)</f>
        <v/>
      </c>
      <c r="J138" s="19">
        <f>INDEX(J85:J88,$D$8)</f>
        <v/>
      </c>
      <c r="K138" s="19">
        <f>INDEX(K85:K88,$D$8)</f>
        <v/>
      </c>
      <c r="M138" s="3" t="inlineStr">
        <is>
          <t>Not sourced</t>
        </is>
      </c>
      <c r="N138" s="13" t="inlineStr">
        <is>
          <t>Low</t>
        </is>
      </c>
      <c r="O138" s="3" t="inlineStr">
        <is>
          <t>INDEX across S1 rows 85-88. Intra-sheet only.</t>
        </is>
      </c>
    </row>
    <row r="139">
      <c r="A139" s="22" t="inlineStr">
        <is>
          <t>D20</t>
        </is>
      </c>
      <c r="B139" s="18" t="inlineStr">
        <is>
          <t>WACC (nominal, INR)</t>
        </is>
      </c>
      <c r="C139" s="16" t="inlineStr">
        <is>
          <t>%</t>
        </is>
      </c>
      <c r="E139" s="17">
        <f>INDEX(E89:E92,$D$8)</f>
        <v/>
      </c>
      <c r="F139" s="17">
        <f>INDEX(F89:F92,$D$8)</f>
        <v/>
      </c>
      <c r="G139" s="17">
        <f>INDEX(G89:G92,$D$8)</f>
        <v/>
      </c>
      <c r="H139" s="17">
        <f>INDEX(H89:H92,$D$8)</f>
        <v/>
      </c>
      <c r="I139" s="17">
        <f>INDEX(I89:I92,$D$8)</f>
        <v/>
      </c>
      <c r="J139" s="17">
        <f>INDEX(J89:J92,$D$8)</f>
        <v/>
      </c>
      <c r="K139" s="17">
        <f>INDEX(K89:K92,$D$8)</f>
        <v/>
      </c>
      <c r="M139" s="3" t="inlineStr">
        <is>
          <t>Composite</t>
        </is>
      </c>
      <c r="N139" s="13" t="inlineStr">
        <is>
          <t>Medium</t>
        </is>
      </c>
      <c r="O139" s="3" t="inlineStr">
        <is>
          <t>INDEX across S1 rows 89-92. Intra-sheet only.</t>
        </is>
      </c>
    </row>
    <row r="140">
      <c r="A140" s="22" t="inlineStr">
        <is>
          <t>D21</t>
        </is>
      </c>
      <c r="B140" s="18" t="inlineStr">
        <is>
          <t>Finished steel imports</t>
        </is>
      </c>
      <c r="C140" s="16" t="inlineStr">
        <is>
          <t>Mt</t>
        </is>
      </c>
      <c r="E140" s="20">
        <f>INDEX(E93:E96,$D$8)</f>
        <v/>
      </c>
      <c r="F140" s="20">
        <f>INDEX(F93:F96,$D$8)</f>
        <v/>
      </c>
      <c r="G140" s="20">
        <f>INDEX(G93:G96,$D$8)</f>
        <v/>
      </c>
      <c r="H140" s="20">
        <f>INDEX(H93:H96,$D$8)</f>
        <v/>
      </c>
      <c r="I140" s="20">
        <f>INDEX(I93:I96,$D$8)</f>
        <v/>
      </c>
      <c r="J140" s="20">
        <f>INDEX(J93:J96,$D$8)</f>
        <v/>
      </c>
      <c r="K140" s="20">
        <f>INDEX(K93:K96,$D$8)</f>
        <v/>
      </c>
      <c r="M140" s="3" t="inlineStr">
        <is>
          <t>Derived-DB</t>
        </is>
      </c>
      <c r="N140" s="13" t="inlineStr">
        <is>
          <t>Medium</t>
        </is>
      </c>
      <c r="O140" s="3" t="inlineStr">
        <is>
          <t>INDEX across S1 rows 93-96. Intra-sheet only.</t>
        </is>
      </c>
    </row>
    <row r="141">
      <c r="A141" s="22" t="inlineStr">
        <is>
          <t>D22</t>
        </is>
      </c>
      <c r="B141" s="18" t="inlineStr">
        <is>
          <t>Secondary and unattributed capacity additions</t>
        </is>
      </c>
      <c r="C141" s="16" t="inlineStr">
        <is>
          <t>Mtpa p.a.</t>
        </is>
      </c>
      <c r="E141" s="20">
        <f>INDEX(E97:E100,$D$8)</f>
        <v/>
      </c>
      <c r="F141" s="20">
        <f>INDEX(F97:F100,$D$8)</f>
        <v/>
      </c>
      <c r="G141" s="20">
        <f>INDEX(G97:G100,$D$8)</f>
        <v/>
      </c>
      <c r="H141" s="20">
        <f>INDEX(H97:H100,$D$8)</f>
        <v/>
      </c>
      <c r="I141" s="20">
        <f>INDEX(I97:I100,$D$8)</f>
        <v/>
      </c>
      <c r="J141" s="20">
        <f>INDEX(J97:J100,$D$8)</f>
        <v/>
      </c>
      <c r="K141" s="20">
        <f>INDEX(K97:K100,$D$8)</f>
        <v/>
      </c>
      <c r="M141" s="3" t="inlineStr">
        <is>
          <t>Derived-DB</t>
        </is>
      </c>
      <c r="N141" s="13" t="inlineStr">
        <is>
          <t>Medium</t>
        </is>
      </c>
      <c r="O141" s="3" t="inlineStr">
        <is>
          <t>INDEX across S1 rows 97-100. Intra-sheet only.</t>
        </is>
      </c>
    </row>
    <row r="142">
      <c r="A142" s="22" t="inlineStr">
        <is>
          <t>D23</t>
        </is>
      </c>
      <c r="B142" s="18" t="inlineStr">
        <is>
          <t>Price sensitivity to capacity utilisation (lagged)</t>
        </is>
      </c>
      <c r="C142" s="16" t="inlineStr">
        <is>
          <t>x</t>
        </is>
      </c>
      <c r="E142" s="19">
        <f>INDEX(E101:E104,$D$8)</f>
        <v/>
      </c>
      <c r="F142" s="19">
        <f>INDEX(F101:F104,$D$8)</f>
        <v/>
      </c>
      <c r="G142" s="19">
        <f>INDEX(G101:G104,$D$8)</f>
        <v/>
      </c>
      <c r="H142" s="19">
        <f>INDEX(H101:H104,$D$8)</f>
        <v/>
      </c>
      <c r="I142" s="19">
        <f>INDEX(I101:I104,$D$8)</f>
        <v/>
      </c>
      <c r="J142" s="19">
        <f>INDEX(J101:J104,$D$8)</f>
        <v/>
      </c>
      <c r="K142" s="19">
        <f>INDEX(K101:K104,$D$8)</f>
        <v/>
      </c>
      <c r="M142" s="3" t="inlineStr">
        <is>
          <t>Indicative</t>
        </is>
      </c>
      <c r="N142" s="13" t="inlineStr">
        <is>
          <t>Low</t>
        </is>
      </c>
      <c r="O142" s="3" t="inlineStr">
        <is>
          <t>INDEX across S1 rows 101-104. Intra-sheet only.</t>
        </is>
      </c>
    </row>
    <row r="143">
      <c r="A143" s="22" t="inlineStr">
        <is>
          <t>D24</t>
        </is>
      </c>
      <c r="B143" s="18" t="inlineStr">
        <is>
          <t>Normal capacity utilisation</t>
        </is>
      </c>
      <c r="C143" s="16" t="inlineStr">
        <is>
          <t>%</t>
        </is>
      </c>
      <c r="E143" s="17">
        <f>INDEX(E105:E108,$D$8)</f>
        <v/>
      </c>
      <c r="F143" s="17">
        <f>INDEX(F105:F108,$D$8)</f>
        <v/>
      </c>
      <c r="G143" s="17">
        <f>INDEX(G105:G108,$D$8)</f>
        <v/>
      </c>
      <c r="H143" s="17">
        <f>INDEX(H105:H108,$D$8)</f>
        <v/>
      </c>
      <c r="I143" s="17">
        <f>INDEX(I105:I108,$D$8)</f>
        <v/>
      </c>
      <c r="J143" s="17">
        <f>INDEX(J105:J108,$D$8)</f>
        <v/>
      </c>
      <c r="K143" s="17">
        <f>INDEX(K105:K108,$D$8)</f>
        <v/>
      </c>
      <c r="M143" s="3" t="inlineStr">
        <is>
          <t>Derived-DB</t>
        </is>
      </c>
      <c r="N143" s="13" t="inlineStr">
        <is>
          <t>Medium</t>
        </is>
      </c>
      <c r="O143" s="3" t="inlineStr">
        <is>
          <t>INDEX across S1 rows 105-108. Intra-sheet only.</t>
        </is>
      </c>
    </row>
    <row r="144">
      <c r="A144" s="22" t="inlineStr">
        <is>
          <t>D25</t>
        </is>
      </c>
      <c r="B144" s="18" t="inlineStr">
        <is>
          <t>Maximum practical capacity utilisation</t>
        </is>
      </c>
      <c r="C144" s="16" t="inlineStr">
        <is>
          <t>%</t>
        </is>
      </c>
      <c r="E144" s="17">
        <f>INDEX(E109:E112,$D$8)</f>
        <v/>
      </c>
      <c r="F144" s="17">
        <f>INDEX(F109:F112,$D$8)</f>
        <v/>
      </c>
      <c r="G144" s="17">
        <f>INDEX(G109:G112,$D$8)</f>
        <v/>
      </c>
      <c r="H144" s="17">
        <f>INDEX(H109:H112,$D$8)</f>
        <v/>
      </c>
      <c r="I144" s="17">
        <f>INDEX(I109:I112,$D$8)</f>
        <v/>
      </c>
      <c r="J144" s="17">
        <f>INDEX(J109:J112,$D$8)</f>
        <v/>
      </c>
      <c r="K144" s="17">
        <f>INDEX(K109:K112,$D$8)</f>
        <v/>
      </c>
      <c r="M144" s="3" t="inlineStr">
        <is>
          <t>Indicative</t>
        </is>
      </c>
      <c r="N144" s="13" t="inlineStr">
        <is>
          <t>Low</t>
        </is>
      </c>
      <c r="O144" s="3" t="inlineStr">
        <is>
          <t>INDEX across S1 rows 109-112. Intra-sheet only.</t>
        </is>
      </c>
    </row>
    <row r="145">
      <c r="A145" s="22" t="inlineStr">
        <is>
          <t>D26</t>
        </is>
      </c>
      <c r="B145" s="18" t="inlineStr">
        <is>
          <t>Depreciation and amortisation</t>
        </is>
      </c>
      <c r="C145" s="16" t="inlineStr">
        <is>
          <t>% of revenue</t>
        </is>
      </c>
      <c r="E145" s="17">
        <f>INDEX(E113:E116,$D$8)</f>
        <v/>
      </c>
      <c r="F145" s="17">
        <f>INDEX(F113:F116,$D$8)</f>
        <v/>
      </c>
      <c r="G145" s="17">
        <f>INDEX(G113:G116,$D$8)</f>
        <v/>
      </c>
      <c r="H145" s="17">
        <f>INDEX(H113:H116,$D$8)</f>
        <v/>
      </c>
      <c r="I145" s="17">
        <f>INDEX(I113:I116,$D$8)</f>
        <v/>
      </c>
      <c r="J145" s="17">
        <f>INDEX(J113:J116,$D$8)</f>
        <v/>
      </c>
      <c r="K145" s="17">
        <f>INDEX(K113:K116,$D$8)</f>
        <v/>
      </c>
      <c r="M145" s="3" t="inlineStr">
        <is>
          <t>Derived-DB</t>
        </is>
      </c>
      <c r="N145" s="13" t="inlineStr">
        <is>
          <t>High</t>
        </is>
      </c>
      <c r="O145" s="3" t="inlineStr">
        <is>
          <t>INDEX across S1 rows 113-116. Intra-sheet only.</t>
        </is>
      </c>
    </row>
    <row r="147">
      <c r="A147" s="5" t="inlineStr">
        <is>
          <t>S3</t>
        </is>
      </c>
      <c r="B147" s="6" t="inlineStr">
        <is>
          <t>CAPACITY PIPELINE - dated projects, with a live SUMIFS summary</t>
        </is>
      </c>
    </row>
    <row r="148" ht="28" customHeight="1">
      <c r="B148" s="9" t="inlineStr">
        <is>
          <t>Only rows flagged 'Yes' count towards INDIA's national crude steel capacity. Excluded: already-commissioned projects (already in the FY2026 base), ACQUISITIONS (add to a company, not to the country), DOWNSTREAM lines (processing, not melt), OVERSEAS assets, and ramp-ups (utilisation, not capacity).</t>
        </is>
      </c>
    </row>
    <row r="149" ht="30" customHeight="1">
      <c r="A149" s="11" t="inlineStr">
        <is>
          <t>ID</t>
        </is>
      </c>
      <c r="B149" s="11" t="inlineStr">
        <is>
          <t>Company / project</t>
        </is>
      </c>
      <c r="C149" s="11" t="inlineStr">
        <is>
          <t>Commissioning FY</t>
        </is>
      </c>
      <c r="D149" s="12" t="inlineStr">
        <is>
          <t>Mtpa</t>
        </is>
      </c>
      <c r="E149" s="12" t="inlineStr">
        <is>
          <t>Include?</t>
        </is>
      </c>
      <c r="F149" s="11" t="inlineStr">
        <is>
          <t>Status</t>
        </is>
      </c>
      <c r="G149" s="11" t="inlineStr">
        <is>
          <t>Notes</t>
        </is>
      </c>
    </row>
    <row r="150">
      <c r="A150" s="13" t="inlineStr">
        <is>
          <t>P01</t>
        </is>
      </c>
      <c r="B150" s="18" t="inlineStr">
        <is>
          <t>Tata Steel - Ludhiana scrap-based EAF</t>
        </is>
      </c>
      <c r="C150" s="23" t="inlineStr">
        <is>
          <t>FY2026</t>
        </is>
      </c>
      <c r="D150" s="20" t="n">
        <v>0.75</v>
      </c>
      <c r="E150" s="24" t="inlineStr">
        <is>
          <t>No</t>
        </is>
      </c>
      <c r="F150" s="3" t="inlineStr">
        <is>
          <t>Commissioned Mar-2026</t>
        </is>
      </c>
      <c r="G150" s="3" t="inlineStr">
        <is>
          <t>Commissioned in Mar-2026 and therefore already inside the FY2026 capacity base of 220.4 Mtpa. Designed for under 0.3 tCO2e per tonne of crude steel, which makes it 5-star green steel under the Taxonomy notified 23-Dec-2024.</t>
        </is>
      </c>
    </row>
    <row r="151">
      <c r="A151" s="13" t="inlineStr">
        <is>
          <t>P02</t>
        </is>
      </c>
      <c r="B151" s="18" t="inlineStr">
        <is>
          <t>Tata Steel - NINL expansion</t>
        </is>
      </c>
      <c r="C151" s="23" t="inlineStr">
        <is>
          <t>FY2030</t>
        </is>
      </c>
      <c r="D151" s="20" t="n">
        <v>4.8</v>
      </c>
      <c r="E151" s="24" t="inlineStr">
        <is>
          <t>Yes</t>
        </is>
      </c>
      <c r="F151" s="3" t="inlineStr">
        <is>
          <t>Proposed</t>
        </is>
      </c>
      <c r="G151" s="3" t="inlineStr">
        <is>
          <t>Described as proposed in the FY2026 results release, so not yet Board-approved capex. Commissioning year is the modeller's estimate based on typical 4-year build.</t>
        </is>
      </c>
    </row>
    <row r="152">
      <c r="A152" s="13" t="inlineStr">
        <is>
          <t>P03</t>
        </is>
      </c>
      <c r="B152" s="18" t="inlineStr">
        <is>
          <t>Tata Steel - India roadmap to 40 Mtpa</t>
        </is>
      </c>
      <c r="C152" s="23" t="inlineStr">
        <is>
          <t>FY2033</t>
        </is>
      </c>
      <c r="D152" s="20" t="n">
        <v>5</v>
      </c>
      <c r="E152" s="24" t="inlineStr">
        <is>
          <t>Yes</t>
        </is>
      </c>
      <c r="F152" s="3" t="inlineStr">
        <is>
          <t>Announced - aspirational</t>
        </is>
      </c>
      <c r="G152" s="3" t="inlineStr">
        <is>
          <t>Tata Steel's Q1FY2027 presentation (31-Jul-2026) sets out an India roadmap to 40 Mtpa. The residual above identified projects is carried at low confidence and is materially reduced by the delivery factor D05.</t>
        </is>
      </c>
    </row>
    <row r="153">
      <c r="A153" s="13" t="inlineStr">
        <is>
          <t>P04</t>
        </is>
      </c>
      <c r="B153" s="18" t="inlineStr">
        <is>
          <t>JSW Steel - Vijayanagar BF-3 expansion 3.0 to 4.5 Mtpa</t>
        </is>
      </c>
      <c r="C153" s="23" t="inlineStr">
        <is>
          <t>FY2027</t>
        </is>
      </c>
      <c r="D153" s="20" t="n">
        <v>1.5</v>
      </c>
      <c r="E153" s="24" t="inlineStr">
        <is>
          <t>Yes</t>
        </is>
      </c>
      <c r="F153" s="3" t="inlineStr">
        <is>
          <t>Under testing and commissioning</t>
        </is>
      </c>
      <c r="G153" s="3" t="inlineStr">
        <is>
          <t>Was under testing at FY2026 year-end and excluded from the FY2026 utilisation calculation, so it is genuinely incremental to the base.</t>
        </is>
      </c>
    </row>
    <row r="154">
      <c r="A154" s="13" t="inlineStr">
        <is>
          <t>P05</t>
        </is>
      </c>
      <c r="B154" s="18" t="inlineStr">
        <is>
          <t>JSW Steel - JVML-Vijayanagar brownfield expansion</t>
        </is>
      </c>
      <c r="C154" s="23" t="inlineStr">
        <is>
          <t>FY2030</t>
        </is>
      </c>
      <c r="D154" s="20" t="n">
        <v>5</v>
      </c>
      <c r="E154" s="24" t="inlineStr">
        <is>
          <t>Yes</t>
        </is>
      </c>
      <c r="F154" s="3" t="inlineStr">
        <is>
          <t>Board approved</t>
        </is>
      </c>
      <c r="G154" s="3" t="inlineStr">
        <is>
          <t>Board approved. Rs 26,000 cr for 5 Mtpa gives Rs 52,000 per tonne, the cleanest brownfield capex-intensity datapoint available and the primary calibration for D16.</t>
        </is>
      </c>
    </row>
    <row r="155">
      <c r="A155" s="13" t="inlineStr">
        <is>
          <t>P06</t>
        </is>
      </c>
      <c r="B155" s="18" t="inlineStr">
        <is>
          <t>JSW Steel - BMM Ispat acquisition</t>
        </is>
      </c>
      <c r="C155" s="23" t="inlineStr">
        <is>
          <t>FY2027</t>
        </is>
      </c>
      <c r="D155" s="20" t="n">
        <v>0.9</v>
      </c>
      <c r="E155" s="24" t="inlineStr">
        <is>
          <t>No</t>
        </is>
      </c>
      <c r="F155" s="3" t="inlineStr">
        <is>
          <t>Board approved</t>
        </is>
      </c>
      <c r="G155" s="3" t="inlineStr">
        <is>
          <t>Acquisition of existing operating capacity, so it adds to JSW Steel's own capacity and volume but adds NOTHING to India's national capacity - those tonnes are already in the 220.4 Mtpa FY2026 base. Correctly excluded from the industry capacity build. This is a standard trap: summing company announcements without stripping out acquisitions double-counts national capacity. JSW's FY2027 guidance explicitly includes BMM Ispat production of 0.75 Mt and sales of 0.70 Mt, so it IS included in the company-level volume build on sheet 12.</t>
        </is>
      </c>
    </row>
    <row r="156">
      <c r="A156" s="13" t="inlineStr">
        <is>
          <t>P07</t>
        </is>
      </c>
      <c r="B156" s="18" t="inlineStr">
        <is>
          <t>JSW Steel / POSCO - Greenfield integrated plant, 50:50 JV</t>
        </is>
      </c>
      <c r="C156" s="23" t="inlineStr">
        <is>
          <t>FY2031</t>
        </is>
      </c>
      <c r="D156" s="20" t="n">
        <v>6</v>
      </c>
      <c r="E156" s="24" t="inlineStr">
        <is>
          <t>Yes</t>
        </is>
      </c>
      <c r="F156" s="3" t="inlineStr">
        <is>
          <t>Announced Apr-2026</t>
        </is>
      </c>
      <c r="G156" s="3" t="inlineStr">
        <is>
          <t>50:50 joint venture announced Apr-2026 targeting commissioning by 2031. This is the single most distant dated project in the pipeline and is the reason the announced pipeline terminates in FY2031, which in turn drives the horizon selection.</t>
        </is>
      </c>
    </row>
    <row r="157">
      <c r="A157" s="13" t="inlineStr">
        <is>
          <t>P08</t>
        </is>
      </c>
      <c r="B157" s="18" t="inlineStr">
        <is>
          <t>SAIL - IISCO Steel Plant greenfield expansion</t>
        </is>
      </c>
      <c r="C157" s="23" t="inlineStr">
        <is>
          <t>FY2031</t>
        </is>
      </c>
      <c r="D157" s="20" t="n">
        <v>4.08</v>
      </c>
      <c r="E157" s="24" t="inlineStr">
        <is>
          <t>Yes</t>
        </is>
      </c>
      <c r="F157" s="3" t="inlineStr">
        <is>
          <t>Board approved</t>
        </is>
      </c>
      <c r="G157" s="3" t="inlineStr">
        <is>
          <t>Board approved per Ministry of Steel, Rajya Sabha USQ 3982 answered 27-Mar-2026. IISCO averaged 91.6% utilisation over FY2021-FY2025 on 2.5 Mtpa.</t>
        </is>
      </c>
    </row>
    <row r="158">
      <c r="A158" s="13" t="inlineStr">
        <is>
          <t>P09</t>
        </is>
      </c>
      <c r="B158" s="18" t="inlineStr">
        <is>
          <t>SAIL - Bokaro Steel Plant brownfield expansion</t>
        </is>
      </c>
      <c r="C158" s="23" t="inlineStr">
        <is>
          <t>FY2030</t>
        </is>
      </c>
      <c r="D158" s="20" t="n">
        <v>2.65</v>
      </c>
      <c r="E158" s="24" t="inlineStr">
        <is>
          <t>Yes</t>
        </is>
      </c>
      <c r="F158" s="3" t="inlineStr">
        <is>
          <t>Board approved</t>
        </is>
      </c>
      <c r="G158" s="3" t="inlineStr">
        <is>
          <t>Board approved per the same Parliamentary answer. Bokaro averaged 87.8% utilisation on 4.6 Mtpa, so there is headroom in the existing asset as well.</t>
        </is>
      </c>
    </row>
    <row r="159">
      <c r="A159" s="13" t="inlineStr">
        <is>
          <t>P10</t>
        </is>
      </c>
      <c r="B159" s="18" t="inlineStr">
        <is>
          <t>SAIL - Durgapur Steel Plant brownfield expansion</t>
        </is>
      </c>
      <c r="C159" s="23" t="inlineStr">
        <is>
          <t>FY2029</t>
        </is>
      </c>
      <c r="D159" s="20" t="n">
        <v>0.89</v>
      </c>
      <c r="E159" s="24" t="inlineStr">
        <is>
          <t>Yes</t>
        </is>
      </c>
      <c r="F159" s="3" t="inlineStr">
        <is>
          <t>Board approved</t>
        </is>
      </c>
      <c r="G159" s="3" t="inlineStr">
        <is>
          <t>Board approved. Durgapur already averaged 101.6% utilisation on 2.2 Mtpa over FY2021-FY2025, i.e. it is running above nameplate and the expansion is debottlenecking.</t>
        </is>
      </c>
    </row>
    <row r="160">
      <c r="A160" s="13" t="inlineStr">
        <is>
          <t>P11</t>
        </is>
      </c>
      <c r="B160" s="18" t="inlineStr">
        <is>
          <t>SAIL - Residual ambition to ~35 Mt by FY2031</t>
        </is>
      </c>
      <c r="C160" s="23" t="inlineStr">
        <is>
          <t>FY2033</t>
        </is>
      </c>
      <c r="D160" s="20" t="n">
        <v>8</v>
      </c>
      <c r="E160" s="24" t="inlineStr">
        <is>
          <t>Yes</t>
        </is>
      </c>
      <c r="F160" s="3" t="inlineStr">
        <is>
          <t>Announced - aspirational</t>
        </is>
      </c>
      <c r="G160" s="3" t="inlineStr">
        <is>
          <t>SAIL has publicly targeted roughly 35 Mt by FY2031 against 19.676 Mtpa today at an indicated roughly Rs 1 lakh crore outlay. Board-approved tranches total only 7.62 Mtpa, so about 8 Mtpa of the ambition is unapproved and is carried at low confidence.</t>
        </is>
      </c>
    </row>
    <row r="161">
      <c r="A161" s="13" t="inlineStr">
        <is>
          <t>P12</t>
        </is>
      </c>
      <c r="B161" s="18" t="inlineStr">
        <is>
          <t>AM/NS India - Hazira expansion 9 to 15 Mtpa</t>
        </is>
      </c>
      <c r="C161" s="23" t="inlineStr">
        <is>
          <t>FY2029</t>
        </is>
      </c>
      <c r="D161" s="20" t="n">
        <v>6</v>
      </c>
      <c r="E161" s="24" t="inlineStr">
        <is>
          <t>Yes</t>
        </is>
      </c>
      <c r="F161" s="3" t="inlineStr">
        <is>
          <t>Under implementation</t>
        </is>
      </c>
      <c r="G161" s="3" t="inlineStr">
        <is>
          <t>Under implementation. The largest single brownfield addition in the pipeline.</t>
        </is>
      </c>
    </row>
    <row r="162">
      <c r="A162" s="13" t="inlineStr">
        <is>
          <t>P13</t>
        </is>
      </c>
      <c r="B162" s="18" t="inlineStr">
        <is>
          <t>AM/NS India - Rajayyapeta greenfield, Phase 1</t>
        </is>
      </c>
      <c r="C162" s="23" t="inlineStr">
        <is>
          <t>FY2032</t>
        </is>
      </c>
      <c r="D162" s="20" t="n">
        <v>8.199999999999999</v>
      </c>
      <c r="E162" s="24" t="inlineStr">
        <is>
          <t>Yes</t>
        </is>
      </c>
      <c r="F162" s="3" t="inlineStr">
        <is>
          <t>Announced 23-Mar-2026</t>
        </is>
      </c>
      <c r="G162" s="3" t="inlineStr">
        <is>
          <t>Announced 23-Mar-2026 as a low-cost, highly efficient coastal asset. Phase 1 of 8.2 Mtpa. Greenfield of this scale in India has historically taken 5 to 7 years.</t>
        </is>
      </c>
    </row>
    <row r="163">
      <c r="A163" s="13" t="inlineStr">
        <is>
          <t>P14</t>
        </is>
      </c>
      <c r="B163" s="18" t="inlineStr">
        <is>
          <t>AM/NS India - Hazira further expansion to 24 Mtpa</t>
        </is>
      </c>
      <c r="C163" s="23" t="inlineStr">
        <is>
          <t>Beyond FY2033</t>
        </is>
      </c>
      <c r="D163" s="20" t="n">
        <v>9</v>
      </c>
      <c r="E163" s="24" t="inlineStr">
        <is>
          <t>No</t>
        </is>
      </c>
      <c r="F163" s="3" t="inlineStr">
        <is>
          <t>Detailed engineering under way</t>
        </is>
      </c>
      <c r="G163" s="3" t="inlineStr">
        <is>
          <t>Detailed engineering only. Falls outside the FY2033 horizon and is therefore excluded from the capacity build. Retained in the tracker for completeness and for terminal-value context.</t>
        </is>
      </c>
    </row>
    <row r="164">
      <c r="A164" s="13" t="inlineStr">
        <is>
          <t>P15</t>
        </is>
      </c>
      <c r="B164" s="18" t="inlineStr">
        <is>
          <t>Jindal Steel - Angul expansion 6.0 to 12.0 Mtpa</t>
        </is>
      </c>
      <c r="C164" s="23" t="inlineStr">
        <is>
          <t>FY2026</t>
        </is>
      </c>
      <c r="D164" s="20" t="n">
        <v>6</v>
      </c>
      <c r="E164" s="24" t="inlineStr">
        <is>
          <t>No</t>
        </is>
      </c>
      <c r="F164" s="3" t="inlineStr">
        <is>
          <t>Completed in FY2026</t>
        </is>
      </c>
      <c r="G164" s="3" t="inlineStr">
        <is>
          <t>Completed during FY2026, taking group steelmaking capacity from 9.6 to 15.6 Mtpa. Already inside the FY2026 capacity base. Ironmaking capacity is being raised by a further 6.6 Mtpa with elements still under construction.</t>
        </is>
      </c>
    </row>
    <row r="165">
      <c r="A165" s="13" t="inlineStr">
        <is>
          <t>P16</t>
        </is>
      </c>
      <c r="B165" s="18" t="inlineStr">
        <is>
          <t>Jindal Stainless - Indonesia stainless melt shop</t>
        </is>
      </c>
      <c r="C165" s="23" t="inlineStr">
        <is>
          <t>FY2026</t>
        </is>
      </c>
      <c r="D165" s="20" t="n">
        <v>1.2</v>
      </c>
      <c r="E165" s="24" t="inlineStr">
        <is>
          <t>No</t>
        </is>
      </c>
      <c r="F165" s="3" t="inlineStr">
        <is>
          <t>Commissioned in FY2026</t>
        </is>
      </c>
      <c r="G165" s="3" t="inlineStr">
        <is>
          <t>Commissioned ahead of schedule in FY2026, taking group melt capacity to 4.2 Mtpa. OUTSIDE INDIA, so excluded from the India capacity build.</t>
        </is>
      </c>
    </row>
    <row r="166">
      <c r="A166" s="13" t="inlineStr">
        <is>
          <t>P17</t>
        </is>
      </c>
      <c r="B166" s="18" t="inlineStr">
        <is>
          <t>Jindal Stainless - Jajpur HRAP and CRAP downstream lines</t>
        </is>
      </c>
      <c r="C166" s="23" t="inlineStr">
        <is>
          <t>FY2028</t>
        </is>
      </c>
      <c r="D166" s="20" t="n">
        <v>1.27</v>
      </c>
      <c r="E166" s="24" t="inlineStr">
        <is>
          <t>No</t>
        </is>
      </c>
      <c r="F166" s="3" t="inlineStr">
        <is>
          <t>Upcoming</t>
        </is>
      </c>
      <c r="G166" s="3" t="inlineStr">
        <is>
          <t>1.1 Mtpa HRAP plus 0.17 Mtpa CRAP. DOWNSTREAM PROCESSING, not melt capacity, so it must not be added to crude steel capacity. Included in the tracker because it drives mix and realisation, not tonnage.</t>
        </is>
      </c>
    </row>
    <row r="167">
      <c r="A167" s="13" t="inlineStr">
        <is>
          <t>P18</t>
        </is>
      </c>
      <c r="B167" s="18" t="inlineStr">
        <is>
          <t>Jindal Stainless - Hisar and Kharagpur cold rolling augmentation</t>
        </is>
      </c>
      <c r="C167" s="23" t="inlineStr">
        <is>
          <t>FY2028</t>
        </is>
      </c>
      <c r="E167" s="24" t="inlineStr">
        <is>
          <t>No</t>
        </is>
      </c>
      <c r="F167" s="3" t="inlineStr">
        <is>
          <t>Announced - Rs 900 cr committed</t>
        </is>
      </c>
      <c r="G167" s="3" t="inlineStr">
        <is>
          <t>Takes CRAP capacity to 2.67 Mtpa by FY2028. Downstream only.</t>
        </is>
      </c>
    </row>
    <row r="168">
      <c r="A168" s="13" t="inlineStr">
        <is>
          <t>P19</t>
        </is>
      </c>
      <c r="B168" s="18" t="inlineStr">
        <is>
          <t>Electrosteel / ESL - Bokaro capacity doubling</t>
        </is>
      </c>
      <c r="C168" s="23" t="inlineStr">
        <is>
          <t>FY2027</t>
        </is>
      </c>
      <c r="D168" s="20" t="n">
        <v>1.5</v>
      </c>
      <c r="E168" s="24" t="inlineStr">
        <is>
          <t>Yes</t>
        </is>
      </c>
      <c r="F168" s="3" t="inlineStr">
        <is>
          <t>Announced by parent</t>
        </is>
      </c>
      <c r="G168" s="3" t="inlineStr">
        <is>
          <t>Vedanta targeting a doubling of Bokaro from 1.5 to 3.0 Mtpa by end-CY2026. Rests on a single secondary source and is carried at low confidence.</t>
        </is>
      </c>
    </row>
    <row r="169">
      <c r="A169" s="13" t="inlineStr">
        <is>
          <t>P20</t>
        </is>
      </c>
      <c r="B169" s="18" t="inlineStr">
        <is>
          <t>NMDC Steel - Nagarnar ramp-up to nameplate</t>
        </is>
      </c>
      <c r="C169" s="23" t="inlineStr">
        <is>
          <t>FY2028</t>
        </is>
      </c>
      <c r="E169" s="24" t="inlineStr">
        <is>
          <t>No</t>
        </is>
      </c>
      <c r="F169" s="3" t="inlineStr">
        <is>
          <t>Ramping</t>
        </is>
      </c>
      <c r="G169" s="3" t="inlineStr">
        <is>
          <t>The 3 Mtpa plant produced 2.382 Mt in FY2026, up 61.9%. The remaining roughly 0.6 Mt is a UTILISATION gain within existing capacity, not new capacity, and is captured through the utilisation forecast rather than the capacity build. Included here because it is one of the two empirical ramp-rate observations underpinning the horizon choice.</t>
        </is>
      </c>
    </row>
    <row r="170">
      <c r="B170" s="25" t="inlineStr">
        <is>
          <t>Gross announced additions (live SUMIFS on the rows above)</t>
        </is>
      </c>
      <c r="C170" s="16" t="inlineStr">
        <is>
          <t>Mtpa</t>
        </is>
      </c>
      <c r="E170" s="26">
        <f>SUMIFS($D$150:$D$169,$C$150:$C$169,"FY2027",$E$150:$E$169,"Yes")</f>
        <v/>
      </c>
      <c r="F170" s="26">
        <f>SUMIFS($D$150:$D$169,$C$150:$C$169,"FY2028",$E$150:$E$169,"Yes")</f>
        <v/>
      </c>
      <c r="G170" s="26">
        <f>SUMIFS($D$150:$D$169,$C$150:$C$169,"FY2029",$E$150:$E$169,"Yes")</f>
        <v/>
      </c>
      <c r="H170" s="26">
        <f>SUMIFS($D$150:$D$169,$C$150:$C$169,"FY2030",$E$150:$E$169,"Yes")</f>
        <v/>
      </c>
      <c r="I170" s="26">
        <f>SUMIFS($D$150:$D$169,$C$150:$C$169,"FY2031",$E$150:$E$169,"Yes")</f>
        <v/>
      </c>
      <c r="J170" s="26">
        <f>SUMIFS($D$150:$D$169,$C$150:$C$169,"FY2032",$E$150:$E$169,"Yes")</f>
        <v/>
      </c>
      <c r="K170" s="26">
        <f>SUMIFS($D$150:$D$169,$C$150:$C$169,"FY2033",$E$150:$E$169,"Yes")</f>
        <v/>
      </c>
      <c r="M170" s="3" t="inlineStr">
        <is>
          <t>S3 pipeline</t>
        </is>
      </c>
      <c r="N170" s="13" t="inlineStr">
        <is>
          <t>Medium</t>
        </is>
      </c>
      <c r="O170" s="3" t="inlineStr">
        <is>
          <t>Totals 53.62 Mtpa over the horizon, i.e. only ~7.7 Mtpa a year, against India's ACTUAL additions of 20.82 Mtpa in FY2025 and 20.07 Mtpa in FY2026. That gap is why driver D22 exists.</t>
        </is>
      </c>
    </row>
    <row r="172">
      <c r="A172" s="5" t="inlineStr">
        <is>
          <t>S4</t>
        </is>
      </c>
      <c r="B172" s="6" t="inlineStr">
        <is>
          <t>MACROECONOMIC MODEL</t>
        </is>
      </c>
    </row>
    <row r="173" ht="30" customHeight="1">
      <c r="A173" s="12" t="inlineStr"/>
      <c r="B173" s="11" t="inlineStr">
        <is>
          <t>Line item</t>
        </is>
      </c>
      <c r="C173" s="11" t="inlineStr">
        <is>
          <t>Unit</t>
        </is>
      </c>
      <c r="D173" s="12" t="inlineStr">
        <is>
          <t>FY2026A</t>
        </is>
      </c>
      <c r="E173" s="12" t="inlineStr">
        <is>
          <t>FY2027E</t>
        </is>
      </c>
      <c r="F173" s="12" t="inlineStr">
        <is>
          <t>FY2028E</t>
        </is>
      </c>
      <c r="G173" s="12" t="inlineStr">
        <is>
          <t>FY2029E</t>
        </is>
      </c>
      <c r="H173" s="12" t="inlineStr">
        <is>
          <t>FY2030E</t>
        </is>
      </c>
      <c r="I173" s="12" t="inlineStr">
        <is>
          <t>FY2031E</t>
        </is>
      </c>
      <c r="J173" s="12" t="inlineStr">
        <is>
          <t>FY2032E</t>
        </is>
      </c>
      <c r="K173" s="12" t="inlineStr">
        <is>
          <t>FY2033E</t>
        </is>
      </c>
      <c r="L173" s="12" t="inlineStr">
        <is>
          <t>CAGR</t>
        </is>
      </c>
      <c r="M173" s="11" t="inlineStr">
        <is>
          <t>Source</t>
        </is>
      </c>
      <c r="N173" s="12" t="inlineStr">
        <is>
          <t>Conf.</t>
        </is>
      </c>
      <c r="O173" s="11" t="inlineStr">
        <is>
          <t>Notes</t>
        </is>
      </c>
    </row>
    <row r="174">
      <c r="B174" s="18" t="inlineStr">
        <is>
          <t>India real GDP growth</t>
        </is>
      </c>
      <c r="C174" s="16" t="inlineStr">
        <is>
          <t>%</t>
        </is>
      </c>
      <c r="D174" s="17" t="n">
        <v>0.076</v>
      </c>
      <c r="E174" s="17">
        <f>E120</f>
        <v/>
      </c>
      <c r="F174" s="17">
        <f>F120</f>
        <v/>
      </c>
      <c r="G174" s="17">
        <f>G120</f>
        <v/>
      </c>
      <c r="H174" s="17">
        <f>H120</f>
        <v/>
      </c>
      <c r="I174" s="17">
        <f>I120</f>
        <v/>
      </c>
      <c r="J174" s="17">
        <f>J120</f>
        <v/>
      </c>
      <c r="K174" s="17">
        <f>K120</f>
        <v/>
      </c>
      <c r="M174" s="3" t="inlineStr">
        <is>
          <t>RBI MPC 05-Jun-2026</t>
        </is>
      </c>
      <c r="N174" s="13" t="inlineStr">
        <is>
          <t>High</t>
        </is>
      </c>
      <c r="O174" s="3" t="inlineStr">
        <is>
          <t>FY2027E of 6.6% is the RBI projection, cut from 6.9% on West Asia conflict, energy prices and monsoon risk. FY2026A of 7.6% is the RBI's own estimate.</t>
        </is>
      </c>
    </row>
    <row r="175">
      <c r="B175" s="18" t="inlineStr">
        <is>
          <t>Real GDP index</t>
        </is>
      </c>
      <c r="C175" s="16" t="inlineStr">
        <is>
          <t>x</t>
        </is>
      </c>
      <c r="D175" s="27" t="n">
        <v>100</v>
      </c>
      <c r="E175" s="27">
        <f>D175*(1+E174)</f>
        <v/>
      </c>
      <c r="F175" s="27">
        <f>E175*(1+F174)</f>
        <v/>
      </c>
      <c r="G175" s="27">
        <f>F175*(1+G174)</f>
        <v/>
      </c>
      <c r="H175" s="27">
        <f>G175*(1+H174)</f>
        <v/>
      </c>
      <c r="I175" s="27">
        <f>H175*(1+I174)</f>
        <v/>
      </c>
      <c r="J175" s="27">
        <f>I175*(1+J174)</f>
        <v/>
      </c>
      <c r="K175" s="27">
        <f>J175*(1+K174)</f>
        <v/>
      </c>
      <c r="L175" s="17">
        <f>IFERROR(IF(AND(ISNUMBER(D175),ISNUMBER(K175),D175&gt;0),(K175/D175)^(1/7)-1,""),"")</f>
        <v/>
      </c>
      <c r="M175" s="3" t="inlineStr">
        <is>
          <t>Computed</t>
        </is>
      </c>
      <c r="N175" s="13" t="inlineStr">
        <is>
          <t>High</t>
        </is>
      </c>
      <c r="O175" s="3" t="inlineStr">
        <is>
          <t>FY2026A = 100.</t>
        </is>
      </c>
    </row>
    <row r="176">
      <c r="B176" s="18" t="inlineStr">
        <is>
          <t>CPI inflation</t>
        </is>
      </c>
      <c r="C176" s="16" t="inlineStr">
        <is>
          <t>%</t>
        </is>
      </c>
      <c r="D176" s="17" t="n">
        <v>0.051</v>
      </c>
      <c r="E176" s="17">
        <f>E123</f>
        <v/>
      </c>
      <c r="F176" s="17">
        <f>F123</f>
        <v/>
      </c>
      <c r="G176" s="17">
        <f>G123</f>
        <v/>
      </c>
      <c r="H176" s="17">
        <f>H123</f>
        <v/>
      </c>
      <c r="I176" s="17">
        <f>I123</f>
        <v/>
      </c>
      <c r="J176" s="17">
        <f>J123</f>
        <v/>
      </c>
      <c r="K176" s="17">
        <f>K123</f>
        <v/>
      </c>
      <c r="M176" s="3" t="inlineStr">
        <is>
          <t>RBI MPC 05-Jun-2026</t>
        </is>
      </c>
      <c r="N176" s="13" t="inlineStr">
        <is>
          <t>High</t>
        </is>
      </c>
      <c r="O176" s="3" t="inlineStr">
        <is>
          <t>RBI raised the FY2027 projection 50bps to 5.1%; converges to the 4.5% target mid-point.</t>
        </is>
      </c>
    </row>
    <row r="177">
      <c r="B177" s="18" t="inlineStr">
        <is>
          <t>USD/INR (average)</t>
        </is>
      </c>
      <c r="C177" s="16" t="inlineStr">
        <is>
          <t>Rs/US$</t>
        </is>
      </c>
      <c r="D177" s="20" t="n">
        <v>88.40000000000001</v>
      </c>
      <c r="E177" s="20">
        <f>E122</f>
        <v/>
      </c>
      <c r="F177" s="20">
        <f>F122</f>
        <v/>
      </c>
      <c r="G177" s="20">
        <f>G122</f>
        <v/>
      </c>
      <c r="H177" s="20">
        <f>H122</f>
        <v/>
      </c>
      <c r="I177" s="20">
        <f>I122</f>
        <v/>
      </c>
      <c r="J177" s="20">
        <f>J122</f>
        <v/>
      </c>
      <c r="K177" s="20">
        <f>K122</f>
        <v/>
      </c>
      <c r="L177" s="17">
        <f>IFERROR(IF(AND(ISNUMBER(D177),ISNUMBER(K177),D177&gt;0),(K177/D177)^(1/7)-1,""),"")</f>
        <v/>
      </c>
      <c r="M177" s="3" t="inlineStr">
        <is>
          <t>IDBI Capital 22-Jun-2026</t>
        </is>
      </c>
      <c r="N177" s="13" t="inlineStr">
        <is>
          <t>High</t>
        </is>
      </c>
      <c r="O177" s="3" t="inlineStr">
        <is>
          <t>FY2026A of 88.4 is DERIVED from Tata Steel's dual-currency disclosure: Rs 10,900/US$124 = 87.90, Rs 15,213/US$172 = 88.45, Rs 2,32,140 cr/US$26bn = 89.28. Spot was 94 on 22-Jun-2026 (52-week range 85-98).</t>
        </is>
      </c>
    </row>
    <row r="178">
      <c r="B178" s="18" t="inlineStr">
        <is>
          <t>WACC (nominal, INR)</t>
        </is>
      </c>
      <c r="C178" s="16" t="inlineStr">
        <is>
          <t>%</t>
        </is>
      </c>
      <c r="E178" s="17">
        <f>E139</f>
        <v/>
      </c>
      <c r="F178" s="17">
        <f>F139</f>
        <v/>
      </c>
      <c r="G178" s="17">
        <f>G139</f>
        <v/>
      </c>
      <c r="H178" s="17">
        <f>H139</f>
        <v/>
      </c>
      <c r="I178" s="17">
        <f>I139</f>
        <v/>
      </c>
      <c r="J178" s="17">
        <f>J139</f>
        <v/>
      </c>
      <c r="K178" s="17">
        <f>K139</f>
        <v/>
      </c>
      <c r="M178" s="3" t="inlineStr">
        <is>
          <t>Composite</t>
        </is>
      </c>
      <c r="N178" s="13" t="inlineStr">
        <is>
          <t>Medium</t>
        </is>
      </c>
      <c r="O178" s="3" t="inlineStr">
        <is>
          <t>Risk-free 6.83% (10-year G-sec, 31-Jul-2026) + beta 1.20 x ERP 6.50% for cost of equity; pre-tax cost of debt 7.44% (CRISIL RateView Jul-2026) at 30% debt weight. ERP AND BETA ARE NOT SOURCED - see the Assumptions Register sheet.</t>
        </is>
      </c>
    </row>
    <row r="180">
      <c r="A180" s="5" t="inlineStr">
        <is>
          <t>S5</t>
        </is>
      </c>
      <c r="B180" s="6" t="inlineStr">
        <is>
          <t>STEEL DEMAND MODEL</t>
        </is>
      </c>
    </row>
    <row r="181" ht="30" customHeight="1">
      <c r="A181" s="12" t="inlineStr"/>
      <c r="B181" s="11" t="inlineStr">
        <is>
          <t>Line item</t>
        </is>
      </c>
      <c r="C181" s="11" t="inlineStr">
        <is>
          <t>Unit</t>
        </is>
      </c>
      <c r="D181" s="12" t="inlineStr">
        <is>
          <t>FY2026A</t>
        </is>
      </c>
      <c r="E181" s="12" t="inlineStr">
        <is>
          <t>FY2027E</t>
        </is>
      </c>
      <c r="F181" s="12" t="inlineStr">
        <is>
          <t>FY2028E</t>
        </is>
      </c>
      <c r="G181" s="12" t="inlineStr">
        <is>
          <t>FY2029E</t>
        </is>
      </c>
      <c r="H181" s="12" t="inlineStr">
        <is>
          <t>FY2030E</t>
        </is>
      </c>
      <c r="I181" s="12" t="inlineStr">
        <is>
          <t>FY2031E</t>
        </is>
      </c>
      <c r="J181" s="12" t="inlineStr">
        <is>
          <t>FY2032E</t>
        </is>
      </c>
      <c r="K181" s="12" t="inlineStr">
        <is>
          <t>FY2033E</t>
        </is>
      </c>
      <c r="L181" s="12" t="inlineStr">
        <is>
          <t>CAGR</t>
        </is>
      </c>
      <c r="M181" s="11" t="inlineStr">
        <is>
          <t>Source</t>
        </is>
      </c>
      <c r="N181" s="12" t="inlineStr">
        <is>
          <t>Conf.</t>
        </is>
      </c>
      <c r="O181" s="11" t="inlineStr">
        <is>
          <t>Notes</t>
        </is>
      </c>
    </row>
    <row r="182">
      <c r="B182" s="18" t="inlineStr">
        <is>
          <t>Steel demand elasticity to real GDP</t>
        </is>
      </c>
      <c r="C182" s="16" t="inlineStr">
        <is>
          <t>x</t>
        </is>
      </c>
      <c r="D182" s="19" t="n">
        <v>1.1</v>
      </c>
      <c r="E182" s="19">
        <f>E121</f>
        <v/>
      </c>
      <c r="F182" s="19">
        <f>F121</f>
        <v/>
      </c>
      <c r="G182" s="19">
        <f>G121</f>
        <v/>
      </c>
      <c r="H182" s="19">
        <f>H121</f>
        <v/>
      </c>
      <c r="I182" s="19">
        <f>I121</f>
        <v/>
      </c>
      <c r="J182" s="19">
        <f>J121</f>
        <v/>
      </c>
      <c r="K182" s="19">
        <f>K121</f>
        <v/>
      </c>
      <c r="M182" s="3" t="inlineStr">
        <is>
          <t>Derived from Master DB</t>
        </is>
      </c>
      <c r="N182" s="13" t="inlineStr">
        <is>
          <t>High</t>
        </is>
      </c>
      <c r="O182" s="3" t="inlineStr">
        <is>
          <t>FY2026A of 1.10x is the realised FY2015-FY2026 outturn: consumption compounded at 7.13% (76.99 to 164.19 Mt) against real GDP CAGR ~6.5%. worldsteel Apr-2026 forecasts India +7.4% CY2026 and +9.2% CY2027 against RBI GDP of 6.6%.</t>
        </is>
      </c>
    </row>
    <row r="183">
      <c r="B183" s="18" t="inlineStr">
        <is>
          <t>Implied consumption growth</t>
        </is>
      </c>
      <c r="C183" s="16" t="inlineStr">
        <is>
          <t>%</t>
        </is>
      </c>
      <c r="D183" s="17" t="n">
        <v>0.079</v>
      </c>
      <c r="E183" s="17">
        <f>E174*E182</f>
        <v/>
      </c>
      <c r="F183" s="17">
        <f>F174*F182</f>
        <v/>
      </c>
      <c r="G183" s="17">
        <f>G174*G182</f>
        <v/>
      </c>
      <c r="H183" s="17">
        <f>H174*H182</f>
        <v/>
      </c>
      <c r="I183" s="17">
        <f>I174*I182</f>
        <v/>
      </c>
      <c r="J183" s="17">
        <f>J174*J182</f>
        <v/>
      </c>
      <c r="K183" s="17">
        <f>K174*K182</f>
        <v/>
      </c>
      <c r="M183" s="3" t="inlineStr">
        <is>
          <t>Computed</t>
        </is>
      </c>
      <c r="N183" s="13" t="inlineStr">
        <is>
          <t>High</t>
        </is>
      </c>
      <c r="O183" s="3" t="inlineStr">
        <is>
          <t>FY2026A actual growth was 7.9% against 7.6% GDP x 1.04x realised elasticity - the model structure reproduces the actual outturn.</t>
        </is>
      </c>
    </row>
    <row r="184">
      <c r="B184" s="25" t="inlineStr">
        <is>
          <t>Apparent finished steel consumption</t>
        </is>
      </c>
      <c r="C184" s="16" t="inlineStr">
        <is>
          <t>Mt</t>
        </is>
      </c>
      <c r="D184" s="26" t="n">
        <v>163.74</v>
      </c>
      <c r="E184" s="26">
        <f>D184*(1+E183)</f>
        <v/>
      </c>
      <c r="F184" s="26">
        <f>E184*(1+F183)</f>
        <v/>
      </c>
      <c r="G184" s="26">
        <f>F184*(1+G183)</f>
        <v/>
      </c>
      <c r="H184" s="26">
        <f>G184*(1+H183)</f>
        <v/>
      </c>
      <c r="I184" s="26">
        <f>H184*(1+I183)</f>
        <v/>
      </c>
      <c r="J184" s="26">
        <f>I184*(1+J183)</f>
        <v/>
      </c>
      <c r="K184" s="26">
        <f>J184*(1+K183)</f>
        <v/>
      </c>
      <c r="L184" s="17">
        <f>IFERROR(IF(AND(ISNUMBER(D184),ISNUMBER(K184),D184&gt;0),(K184/D184)^(1/7)-1,""),"")</f>
        <v/>
      </c>
      <c r="M184" s="3" t="inlineStr">
        <is>
          <t>Master DB (Apr-2026 JPC vintage)</t>
        </is>
      </c>
      <c r="N184" s="13" t="inlineStr">
        <is>
          <t>High</t>
        </is>
      </c>
      <c r="O184" s="3" t="inlineStr">
        <is>
          <t>FY2026A of 163.74 Mt is the April-2026 vintage, which is the internally self-reconciling balance. The June vintage of 164.19 Mt is shown below as a memo (database Conflict C03).</t>
        </is>
      </c>
    </row>
    <row r="185">
      <c r="B185" s="18" t="inlineStr">
        <is>
          <t xml:space="preserve">  Memo: June-2026 JPC vintage</t>
        </is>
      </c>
      <c r="C185" s="16" t="inlineStr">
        <is>
          <t>Mt</t>
        </is>
      </c>
      <c r="D185" s="20" t="n">
        <v>164.19</v>
      </c>
      <c r="M185" s="3" t="inlineStr">
        <is>
          <t>Master DB</t>
        </is>
      </c>
      <c r="N185" s="13" t="inlineStr">
        <is>
          <t>High</t>
        </is>
      </c>
      <c r="O185" s="3" t="inlineStr">
        <is>
          <t>0.45 Mt / 0.27% higher. Not used, so the supply identity closes.</t>
        </is>
      </c>
    </row>
    <row r="186">
      <c r="B186" s="18" t="inlineStr">
        <is>
          <t>Population</t>
        </is>
      </c>
      <c r="C186" s="16" t="inlineStr">
        <is>
          <t>bn</t>
        </is>
      </c>
      <c r="D186" s="28" t="n">
        <v>1.4191</v>
      </c>
      <c r="E186" s="28">
        <f>D186*(1+$D$187)</f>
        <v/>
      </c>
      <c r="F186" s="28">
        <f>E186*(1+$D$187)</f>
        <v/>
      </c>
      <c r="G186" s="28">
        <f>F186*(1+$D$187)</f>
        <v/>
      </c>
      <c r="H186" s="28">
        <f>G186*(1+$D$187)</f>
        <v/>
      </c>
      <c r="I186" s="28">
        <f>H186*(1+$D$187)</f>
        <v/>
      </c>
      <c r="J186" s="28">
        <f>I186*(1+$D$187)</f>
        <v/>
      </c>
      <c r="K186" s="28">
        <f>J186*(1+$D$187)</f>
        <v/>
      </c>
      <c r="M186" s="3" t="inlineStr">
        <is>
          <t>Derived</t>
        </is>
      </c>
      <c r="N186" s="13" t="inlineStr">
        <is>
          <t>Medium</t>
        </is>
      </c>
      <c r="O186" s="3" t="inlineStr">
        <is>
          <t>Derived from the database as consumption divided by per capita consumption.</t>
        </is>
      </c>
    </row>
    <row r="187">
      <c r="B187" s="18" t="inlineStr">
        <is>
          <t>Population growth</t>
        </is>
      </c>
      <c r="C187" s="16" t="inlineStr">
        <is>
          <t>%</t>
        </is>
      </c>
      <c r="D187" s="17" t="n">
        <v>0.008500000000000001</v>
      </c>
      <c r="M187" s="3" t="inlineStr">
        <is>
          <t>NOT SOURCED</t>
        </is>
      </c>
      <c r="N187" s="13" t="inlineStr">
        <is>
          <t>Low</t>
        </is>
      </c>
      <c r="O187" s="3" t="inlineStr">
        <is>
          <t>0.85% p.a. is NOT sourced. Affects per capita only - it does not propagate into tonnage, revenue or EBITDA.</t>
        </is>
      </c>
    </row>
    <row r="188">
      <c r="B188" s="18" t="inlineStr">
        <is>
          <t>Per capita consumption</t>
        </is>
      </c>
      <c r="C188" s="16" t="inlineStr">
        <is>
          <t>kg</t>
        </is>
      </c>
      <c r="D188" s="27" t="n">
        <v>115.7</v>
      </c>
      <c r="E188" s="27">
        <f>E184/E186</f>
        <v/>
      </c>
      <c r="F188" s="27">
        <f>F184/F186</f>
        <v/>
      </c>
      <c r="G188" s="27">
        <f>G184/G186</f>
        <v/>
      </c>
      <c r="H188" s="27">
        <f>H184/H186</f>
        <v/>
      </c>
      <c r="I188" s="27">
        <f>I184/I186</f>
        <v/>
      </c>
      <c r="J188" s="27">
        <f>J184/J186</f>
        <v/>
      </c>
      <c r="K188" s="27">
        <f>K184/K186</f>
        <v/>
      </c>
      <c r="L188" s="17">
        <f>IFERROR(IF(AND(ISNUMBER(D188),ISNUMBER(K188),D188&gt;0),(K188/D188)^(1/7)-1,""),"")</f>
        <v/>
      </c>
      <c r="M188" s="3" t="inlineStr">
        <is>
          <t>Computed</t>
        </is>
      </c>
      <c r="N188" s="13" t="inlineStr">
        <is>
          <t>Medium</t>
        </is>
      </c>
      <c r="O188" s="3" t="inlineStr">
        <is>
          <t>Mt divided by bn gives kg per head directly. India is ~half the world average of 215 kg and ~a fifth of China's 604 kg.</t>
        </is>
      </c>
    </row>
    <row r="190">
      <c r="A190" s="5" t="inlineStr">
        <is>
          <t>S6</t>
        </is>
      </c>
      <c r="B190" s="6" t="inlineStr">
        <is>
          <t>CAPACITY FORECAST</t>
        </is>
      </c>
    </row>
    <row r="191" ht="30" customHeight="1">
      <c r="A191" s="12" t="inlineStr"/>
      <c r="B191" s="11" t="inlineStr">
        <is>
          <t>Line item</t>
        </is>
      </c>
      <c r="C191" s="11" t="inlineStr">
        <is>
          <t>Unit</t>
        </is>
      </c>
      <c r="D191" s="12" t="inlineStr">
        <is>
          <t>FY2026A</t>
        </is>
      </c>
      <c r="E191" s="12" t="inlineStr">
        <is>
          <t>FY2027E</t>
        </is>
      </c>
      <c r="F191" s="12" t="inlineStr">
        <is>
          <t>FY2028E</t>
        </is>
      </c>
      <c r="G191" s="12" t="inlineStr">
        <is>
          <t>FY2029E</t>
        </is>
      </c>
      <c r="H191" s="12" t="inlineStr">
        <is>
          <t>FY2030E</t>
        </is>
      </c>
      <c r="I191" s="12" t="inlineStr">
        <is>
          <t>FY2031E</t>
        </is>
      </c>
      <c r="J191" s="12" t="inlineStr">
        <is>
          <t>FY2032E</t>
        </is>
      </c>
      <c r="K191" s="12" t="inlineStr">
        <is>
          <t>FY2033E</t>
        </is>
      </c>
      <c r="L191" s="12" t="inlineStr">
        <is>
          <t>CAGR</t>
        </is>
      </c>
      <c r="M191" s="11" t="inlineStr">
        <is>
          <t>Source</t>
        </is>
      </c>
      <c r="N191" s="12" t="inlineStr">
        <is>
          <t>Conf.</t>
        </is>
      </c>
      <c r="O191" s="11" t="inlineStr">
        <is>
          <t>Notes</t>
        </is>
      </c>
    </row>
    <row r="192">
      <c r="B192" s="18" t="inlineStr">
        <is>
          <t>Gross announced additions</t>
        </is>
      </c>
      <c r="C192" s="16" t="inlineStr">
        <is>
          <t>Mtpa</t>
        </is>
      </c>
      <c r="E192" s="20">
        <f>E170</f>
        <v/>
      </c>
      <c r="F192" s="20">
        <f>F170</f>
        <v/>
      </c>
      <c r="G192" s="20">
        <f>G170</f>
        <v/>
      </c>
      <c r="H192" s="20">
        <f>H170</f>
        <v/>
      </c>
      <c r="I192" s="20">
        <f>I170</f>
        <v/>
      </c>
      <c r="J192" s="20">
        <f>J170</f>
        <v/>
      </c>
      <c r="K192" s="20">
        <f>K170</f>
        <v/>
      </c>
      <c r="M192" s="3" t="inlineStr">
        <is>
          <t>S3 pipeline</t>
        </is>
      </c>
      <c r="N192" s="13" t="inlineStr">
        <is>
          <t>Medium</t>
        </is>
      </c>
    </row>
    <row r="193">
      <c r="B193" s="18" t="inlineStr">
        <is>
          <t>Pipeline delivery factor</t>
        </is>
      </c>
      <c r="C193" s="16" t="inlineStr">
        <is>
          <t>%</t>
        </is>
      </c>
      <c r="E193" s="17">
        <f>E124</f>
        <v/>
      </c>
      <c r="F193" s="17">
        <f>F124</f>
        <v/>
      </c>
      <c r="G193" s="17">
        <f>G124</f>
        <v/>
      </c>
      <c r="H193" s="17">
        <f>H124</f>
        <v/>
      </c>
      <c r="I193" s="17">
        <f>I124</f>
        <v/>
      </c>
      <c r="J193" s="17">
        <f>J124</f>
        <v/>
      </c>
      <c r="K193" s="17">
        <f>K124</f>
        <v/>
      </c>
      <c r="M193" s="3" t="inlineStr">
        <is>
          <t>Derived from Master DB</t>
        </is>
      </c>
      <c r="N193" s="13" t="inlineStr">
        <is>
          <t>Medium</t>
        </is>
      </c>
      <c r="O193" s="3" t="inlineStr">
        <is>
          <t>85% base. India delivered ~20 Mtpa a year in FY2025 and FY2026 against a National Steel Policy requirement of ~16 Mtpa, so capability is demonstrated; the haircut reflects slippage (JSW Vijayanagar BF-3 was still testing at FY2026 year-end).</t>
        </is>
      </c>
    </row>
    <row r="194">
      <c r="B194" s="18" t="inlineStr">
        <is>
          <t>Announced additions delivered</t>
        </is>
      </c>
      <c r="C194" s="16" t="inlineStr">
        <is>
          <t>Mtpa</t>
        </is>
      </c>
      <c r="E194" s="20">
        <f>E192*E193</f>
        <v/>
      </c>
      <c r="F194" s="20">
        <f>F192*F193</f>
        <v/>
      </c>
      <c r="G194" s="20">
        <f>G192*G193</f>
        <v/>
      </c>
      <c r="H194" s="20">
        <f>H192*H193</f>
        <v/>
      </c>
      <c r="I194" s="20">
        <f>I192*I193</f>
        <v/>
      </c>
      <c r="J194" s="20">
        <f>J192*J193</f>
        <v/>
      </c>
      <c r="K194" s="20">
        <f>K192*K193</f>
        <v/>
      </c>
      <c r="M194" s="3" t="inlineStr">
        <is>
          <t>Computed</t>
        </is>
      </c>
      <c r="N194" s="13" t="inlineStr">
        <is>
          <t>Medium</t>
        </is>
      </c>
    </row>
    <row r="195">
      <c r="B195" s="18" t="inlineStr">
        <is>
          <t>Secondary and unattributed additions</t>
        </is>
      </c>
      <c r="C195" s="16" t="inlineStr">
        <is>
          <t>Mtpa</t>
        </is>
      </c>
      <c r="E195" s="20">
        <f>E141</f>
        <v/>
      </c>
      <c r="F195" s="20">
        <f>F141</f>
        <v/>
      </c>
      <c r="G195" s="20">
        <f>G141</f>
        <v/>
      </c>
      <c r="H195" s="20">
        <f>H141</f>
        <v/>
      </c>
      <c r="I195" s="20">
        <f>I141</f>
        <v/>
      </c>
      <c r="J195" s="20">
        <f>J141</f>
        <v/>
      </c>
      <c r="K195" s="20">
        <f>K141</f>
        <v/>
      </c>
      <c r="M195" s="3" t="inlineStr">
        <is>
          <t>Derived from Master DB</t>
        </is>
      </c>
      <c r="N195" s="13" t="inlineStr">
        <is>
          <t>Medium</t>
        </is>
      </c>
      <c r="O195" s="3" t="inlineStr">
        <is>
          <t>ESSENTIAL RECONCILIATION ITEM. The dated pipeline averages only 7.7 Mtpa a year but India actually added ~20 Mtpa in each of FY2025 and FY2026; the balance comes from the secondary sector, whose output grew 10.7% a year against the majors' 8.1%. Omitting this would understate FY2031 capacity by ~54 Mtpa (18%).</t>
        </is>
      </c>
    </row>
    <row r="196">
      <c r="B196" s="18" t="inlineStr">
        <is>
          <t>Total additions</t>
        </is>
      </c>
      <c r="C196" s="16" t="inlineStr">
        <is>
          <t>Mtpa</t>
        </is>
      </c>
      <c r="D196" s="20" t="n">
        <v>20.07</v>
      </c>
      <c r="E196" s="20">
        <f>E194+E195</f>
        <v/>
      </c>
      <c r="F196" s="20">
        <f>F194+F195</f>
        <v/>
      </c>
      <c r="G196" s="20">
        <f>G194+G195</f>
        <v/>
      </c>
      <c r="H196" s="20">
        <f>H194+H195</f>
        <v/>
      </c>
      <c r="I196" s="20">
        <f>I194+I195</f>
        <v/>
      </c>
      <c r="J196" s="20">
        <f>J194+J195</f>
        <v/>
      </c>
      <c r="K196" s="20">
        <f>K194+K195</f>
        <v/>
      </c>
      <c r="M196" s="3" t="inlineStr">
        <is>
          <t>Computed</t>
        </is>
      </c>
      <c r="N196" s="13" t="inlineStr">
        <is>
          <t>Medium</t>
        </is>
      </c>
      <c r="O196" s="3" t="inlineStr">
        <is>
          <t>FY2026A of 20.07 Mtpa is the actual increase (220.4 less 200.33).</t>
        </is>
      </c>
    </row>
    <row r="197">
      <c r="B197" s="25" t="inlineStr">
        <is>
          <t>Crude steel capacity (closing)</t>
        </is>
      </c>
      <c r="C197" s="16" t="inlineStr">
        <is>
          <t>Mtpa</t>
        </is>
      </c>
      <c r="D197" s="26" t="n">
        <v>220.4</v>
      </c>
      <c r="E197" s="26">
        <f>D197+E196</f>
        <v/>
      </c>
      <c r="F197" s="26">
        <f>E197+F196</f>
        <v/>
      </c>
      <c r="G197" s="26">
        <f>F197+G196</f>
        <v/>
      </c>
      <c r="H197" s="26">
        <f>G197+H196</f>
        <v/>
      </c>
      <c r="I197" s="26">
        <f>H197+I196</f>
        <v/>
      </c>
      <c r="J197" s="26">
        <f>I197+J196</f>
        <v/>
      </c>
      <c r="K197" s="26">
        <f>J197+K196</f>
        <v/>
      </c>
      <c r="L197" s="17">
        <f>IFERROR(IF(AND(ISNUMBER(D197),ISNUMBER(K197),D197&gt;0),(K197/D197)^(1/7)-1,""),"")</f>
        <v/>
      </c>
      <c r="M197" s="3" t="inlineStr">
        <is>
          <t>Master DB</t>
        </is>
      </c>
      <c r="N197" s="13" t="inlineStr">
        <is>
          <t>High</t>
        </is>
      </c>
      <c r="O197" s="3" t="inlineStr">
        <is>
          <t>FY2026A of 220.4 Mtpa.</t>
        </is>
      </c>
    </row>
    <row r="198">
      <c r="B198" s="25" t="inlineStr">
        <is>
          <t>VALIDATION: FY2031E vs National Steel Policy 300 Mtpa target</t>
        </is>
      </c>
      <c r="C198" s="16" t="inlineStr">
        <is>
          <t>%</t>
        </is>
      </c>
      <c r="I198" s="29">
        <f>I197/300</f>
        <v/>
      </c>
      <c r="M198" s="3" t="inlineStr">
        <is>
          <t>Computed</t>
        </is>
      </c>
      <c r="N198" s="13" t="inlineStr">
        <is>
          <t>High</t>
        </is>
      </c>
      <c r="O198" s="3" t="inlineStr">
        <is>
          <t>Built bottom-up from the pipeline plus the secondary residual and NOT calibrated to the policy target, so agreement within ~1% is a genuine independent check.</t>
        </is>
      </c>
    </row>
    <row r="200">
      <c r="A200" s="5" t="inlineStr">
        <is>
          <t>S7</t>
        </is>
      </c>
      <c r="B200" s="6" t="inlineStr">
        <is>
          <t>STEEL SUPPLY MODEL</t>
        </is>
      </c>
    </row>
    <row r="201" ht="30" customHeight="1">
      <c r="A201" s="12" t="inlineStr"/>
      <c r="B201" s="11" t="inlineStr">
        <is>
          <t>Line item</t>
        </is>
      </c>
      <c r="C201" s="11" t="inlineStr">
        <is>
          <t>Unit</t>
        </is>
      </c>
      <c r="D201" s="12" t="inlineStr">
        <is>
          <t>FY2026A</t>
        </is>
      </c>
      <c r="E201" s="12" t="inlineStr">
        <is>
          <t>FY2027E</t>
        </is>
      </c>
      <c r="F201" s="12" t="inlineStr">
        <is>
          <t>FY2028E</t>
        </is>
      </c>
      <c r="G201" s="12" t="inlineStr">
        <is>
          <t>FY2029E</t>
        </is>
      </c>
      <c r="H201" s="12" t="inlineStr">
        <is>
          <t>FY2030E</t>
        </is>
      </c>
      <c r="I201" s="12" t="inlineStr">
        <is>
          <t>FY2031E</t>
        </is>
      </c>
      <c r="J201" s="12" t="inlineStr">
        <is>
          <t>FY2032E</t>
        </is>
      </c>
      <c r="K201" s="12" t="inlineStr">
        <is>
          <t>FY2033E</t>
        </is>
      </c>
      <c r="L201" s="12" t="inlineStr">
        <is>
          <t>CAGR</t>
        </is>
      </c>
      <c r="M201" s="11" t="inlineStr">
        <is>
          <t>Source</t>
        </is>
      </c>
      <c r="N201" s="12" t="inlineStr">
        <is>
          <t>Conf.</t>
        </is>
      </c>
      <c r="O201" s="11" t="inlineStr">
        <is>
          <t>Notes</t>
        </is>
      </c>
    </row>
    <row r="202">
      <c r="B202" s="18" t="inlineStr">
        <is>
          <t>Net finished steel exports</t>
        </is>
      </c>
      <c r="C202" s="16" t="inlineStr">
        <is>
          <t>Mt</t>
        </is>
      </c>
      <c r="D202" s="20" t="n">
        <v>0.078</v>
      </c>
      <c r="E202" s="20">
        <f>E126</f>
        <v/>
      </c>
      <c r="F202" s="20">
        <f>F126</f>
        <v/>
      </c>
      <c r="G202" s="20">
        <f>G126</f>
        <v/>
      </c>
      <c r="H202" s="20">
        <f>H126</f>
        <v/>
      </c>
      <c r="I202" s="20">
        <f>I126</f>
        <v/>
      </c>
      <c r="J202" s="20">
        <f>J126</f>
        <v/>
      </c>
      <c r="K202" s="20">
        <f>K126</f>
        <v/>
      </c>
      <c r="M202" s="3" t="inlineStr">
        <is>
          <t>Derived from Master DB</t>
        </is>
      </c>
      <c r="N202" s="13" t="inlineStr">
        <is>
          <t>Medium</t>
        </is>
      </c>
      <c r="O202" s="3" t="inlineStr">
        <is>
          <t>FY2026A of +0.078 Mt: India returned to net exporter having been 4.693 Mt net importer in FY2025 - a 4.77 Mt swing in one year.</t>
        </is>
      </c>
    </row>
    <row r="203">
      <c r="B203" s="18" t="inlineStr">
        <is>
          <t>Variation in stock</t>
        </is>
      </c>
      <c r="C203" s="16" t="inlineStr">
        <is>
          <t>Mt</t>
        </is>
      </c>
      <c r="D203" s="20" t="n">
        <v>-2.88</v>
      </c>
      <c r="E203" s="20">
        <f>E127</f>
        <v/>
      </c>
      <c r="F203" s="20">
        <f>F127</f>
        <v/>
      </c>
      <c r="G203" s="20">
        <f>G127</f>
        <v/>
      </c>
      <c r="H203" s="20">
        <f>H127</f>
        <v/>
      </c>
      <c r="I203" s="20">
        <f>I127</f>
        <v/>
      </c>
      <c r="J203" s="20">
        <f>J127</f>
        <v/>
      </c>
      <c r="K203" s="20">
        <f>K127</f>
        <v/>
      </c>
      <c r="M203" s="3" t="inlineStr">
        <is>
          <t>Master DB</t>
        </is>
      </c>
      <c r="N203" s="13" t="inlineStr">
        <is>
          <t>Medium</t>
        </is>
      </c>
      <c r="O203" s="3" t="inlineStr">
        <is>
          <t>FY2026A DESTOCK of 2.88 Mt (~1.8% of consumption), which flattered reported consumption growth.</t>
        </is>
      </c>
    </row>
    <row r="204">
      <c r="B204" s="18" t="inlineStr">
        <is>
          <t>Required finished steel production</t>
        </is>
      </c>
      <c r="C204" s="16" t="inlineStr">
        <is>
          <t>Mt</t>
        </is>
      </c>
      <c r="D204" s="20" t="n">
        <v>160.94</v>
      </c>
      <c r="E204" s="20">
        <f>E184+E202+E203</f>
        <v/>
      </c>
      <c r="F204" s="20">
        <f>F184+F202+F203</f>
        <v/>
      </c>
      <c r="G204" s="20">
        <f>G184+G202+G203</f>
        <v/>
      </c>
      <c r="H204" s="20">
        <f>H184+H202+H203</f>
        <v/>
      </c>
      <c r="I204" s="20">
        <f>I184+I202+I203</f>
        <v/>
      </c>
      <c r="J204" s="20">
        <f>J184+J202+J203</f>
        <v/>
      </c>
      <c r="K204" s="20">
        <f>K184+K202+K203</f>
        <v/>
      </c>
      <c r="M204" s="3" t="inlineStr">
        <is>
          <t>Computed - JPC identity</t>
        </is>
      </c>
      <c r="N204" s="13" t="inlineStr">
        <is>
          <t>High</t>
        </is>
      </c>
      <c r="O204" s="3" t="inlineStr">
        <is>
          <t>IDENTITY: 163.74 + 0.078 - 2.88 = 160.94, which equals reported FY2026 finished steel production exactly. The balance closes.</t>
        </is>
      </c>
    </row>
    <row r="205">
      <c r="B205" s="18" t="inlineStr">
        <is>
          <t>Crude-to-finished steel ratio</t>
        </is>
      </c>
      <c r="C205" s="16" t="inlineStr">
        <is>
          <t>x</t>
        </is>
      </c>
      <c r="D205" s="28" t="n">
        <v>1.04647</v>
      </c>
      <c r="E205" s="28">
        <f>E125</f>
        <v/>
      </c>
      <c r="F205" s="28">
        <f>F125</f>
        <v/>
      </c>
      <c r="G205" s="28">
        <f>G125</f>
        <v/>
      </c>
      <c r="H205" s="28">
        <f>H125</f>
        <v/>
      </c>
      <c r="I205" s="28">
        <f>I125</f>
        <v/>
      </c>
      <c r="J205" s="28">
        <f>J125</f>
        <v/>
      </c>
      <c r="K205" s="28">
        <f>K125</f>
        <v/>
      </c>
      <c r="M205" s="3" t="inlineStr">
        <is>
          <t>Derived from Master DB</t>
        </is>
      </c>
      <c r="N205" s="13" t="inlineStr">
        <is>
          <t>High</t>
        </is>
      </c>
      <c r="O205" s="3" t="inlineStr">
        <is>
          <t>168.42 / 160.94 on the April-2026 vintage.</t>
        </is>
      </c>
    </row>
    <row r="206">
      <c r="B206" s="18" t="inlineStr">
        <is>
          <t>Required crude steel production (unconstrained)</t>
        </is>
      </c>
      <c r="C206" s="16" t="inlineStr">
        <is>
          <t>Mt</t>
        </is>
      </c>
      <c r="D206" s="20" t="n">
        <v>168.42</v>
      </c>
      <c r="E206" s="20">
        <f>E204*E205</f>
        <v/>
      </c>
      <c r="F206" s="20">
        <f>F204*F205</f>
        <v/>
      </c>
      <c r="G206" s="20">
        <f>G204*G205</f>
        <v/>
      </c>
      <c r="H206" s="20">
        <f>H204*H205</f>
        <v/>
      </c>
      <c r="I206" s="20">
        <f>I204*I205</f>
        <v/>
      </c>
      <c r="J206" s="20">
        <f>J204*J205</f>
        <v/>
      </c>
      <c r="K206" s="20">
        <f>K204*K205</f>
        <v/>
      </c>
      <c r="M206" s="3" t="inlineStr">
        <is>
          <t>Computed</t>
        </is>
      </c>
      <c r="N206" s="13" t="inlineStr">
        <is>
          <t>High</t>
        </is>
      </c>
    </row>
    <row r="207">
      <c r="B207" s="18" t="inlineStr">
        <is>
          <t>Maximum practical utilisation</t>
        </is>
      </c>
      <c r="C207" s="16" t="inlineStr">
        <is>
          <t>%</t>
        </is>
      </c>
      <c r="E207" s="17">
        <f>E144</f>
        <v/>
      </c>
      <c r="F207" s="17">
        <f>F144</f>
        <v/>
      </c>
      <c r="G207" s="17">
        <f>G144</f>
        <v/>
      </c>
      <c r="H207" s="17">
        <f>H144</f>
        <v/>
      </c>
      <c r="I207" s="17">
        <f>I144</f>
        <v/>
      </c>
      <c r="J207" s="17">
        <f>J144</f>
        <v/>
      </c>
      <c r="K207" s="17">
        <f>K144</f>
        <v/>
      </c>
      <c r="M207" s="3" t="inlineStr">
        <is>
          <t>Indicative</t>
        </is>
      </c>
      <c r="N207" s="13" t="inlineStr">
        <is>
          <t>Low</t>
        </is>
      </c>
      <c r="O207" s="3" t="inlineStr">
        <is>
          <t>92%. Allows for maintenance and relining. Individual assets can exceed nameplate (SAIL Rourkela averaged 103.8%) but a national aggregate cannot.</t>
        </is>
      </c>
    </row>
    <row r="208">
      <c r="B208" s="25" t="inlineStr">
        <is>
          <t>Crude steel production</t>
        </is>
      </c>
      <c r="C208" s="16" t="inlineStr">
        <is>
          <t>Mt</t>
        </is>
      </c>
      <c r="D208" s="26" t="n">
        <v>168.42</v>
      </c>
      <c r="E208" s="26">
        <f>MIN(E206,E197*E207)</f>
        <v/>
      </c>
      <c r="F208" s="26">
        <f>MIN(F206,F197*F207)</f>
        <v/>
      </c>
      <c r="G208" s="26">
        <f>MIN(G206,G197*G207)</f>
        <v/>
      </c>
      <c r="H208" s="26">
        <f>MIN(H206,H197*H207)</f>
        <v/>
      </c>
      <c r="I208" s="26">
        <f>MIN(I206,I197*I207)</f>
        <v/>
      </c>
      <c r="J208" s="26">
        <f>MIN(J206,J197*J207)</f>
        <v/>
      </c>
      <c r="K208" s="26">
        <f>MIN(K206,K197*K207)</f>
        <v/>
      </c>
      <c r="L208" s="17">
        <f>IFERROR(IF(AND(ISNUMBER(D208),ISNUMBER(K208),D208&gt;0),(K208/D208)^(1/7)-1,""),"")</f>
        <v/>
      </c>
      <c r="M208" s="3" t="inlineStr">
        <is>
          <t>Computed</t>
        </is>
      </c>
      <c r="N208" s="13" t="inlineStr">
        <is>
          <t>High</t>
        </is>
      </c>
      <c r="O208" s="3" t="inlineStr">
        <is>
          <t>The capacity ceiling. In the Base Case it does NOT bind (peak utilisation 84.0%), which is itself a finding: India is not capacity-constrained on this demand path.</t>
        </is>
      </c>
    </row>
    <row r="209">
      <c r="B209" s="25" t="inlineStr">
        <is>
          <t>Finished steel production</t>
        </is>
      </c>
      <c r="C209" s="16" t="inlineStr">
        <is>
          <t>Mt</t>
        </is>
      </c>
      <c r="D209" s="26" t="n">
        <v>160.94</v>
      </c>
      <c r="E209" s="26">
        <f>E208/E205</f>
        <v/>
      </c>
      <c r="F209" s="26">
        <f>F208/F205</f>
        <v/>
      </c>
      <c r="G209" s="26">
        <f>G208/G205</f>
        <v/>
      </c>
      <c r="H209" s="26">
        <f>H208/H205</f>
        <v/>
      </c>
      <c r="I209" s="26">
        <f>I208/I205</f>
        <v/>
      </c>
      <c r="J209" s="26">
        <f>J208/J205</f>
        <v/>
      </c>
      <c r="K209" s="26">
        <f>K208/K205</f>
        <v/>
      </c>
      <c r="L209" s="17">
        <f>IFERROR(IF(AND(ISNUMBER(D209),ISNUMBER(K209),D209&gt;0),(K209/D209)^(1/7)-1,""),"")</f>
        <v/>
      </c>
      <c r="M209" s="3" t="inlineStr">
        <is>
          <t>Computed</t>
        </is>
      </c>
      <c r="N209" s="13" t="inlineStr">
        <is>
          <t>High</t>
        </is>
      </c>
    </row>
    <row r="210">
      <c r="B210" s="18" t="inlineStr">
        <is>
          <t>Shortfall met by extra imports</t>
        </is>
      </c>
      <c r="C210" s="16" t="inlineStr">
        <is>
          <t>Mt</t>
        </is>
      </c>
      <c r="D210" s="20" t="n">
        <v>0</v>
      </c>
      <c r="E210" s="20">
        <f>MAX(0,E204-E209)</f>
        <v/>
      </c>
      <c r="F210" s="20">
        <f>MAX(0,F204-F209)</f>
        <v/>
      </c>
      <c r="G210" s="20">
        <f>MAX(0,G204-G209)</f>
        <v/>
      </c>
      <c r="H210" s="20">
        <f>MAX(0,H204-H209)</f>
        <v/>
      </c>
      <c r="I210" s="20">
        <f>MAX(0,I204-I209)</f>
        <v/>
      </c>
      <c r="J210" s="20">
        <f>MAX(0,J204-J209)</f>
        <v/>
      </c>
      <c r="K210" s="20">
        <f>MAX(0,K204-K209)</f>
        <v/>
      </c>
      <c r="M210" s="3" t="inlineStr">
        <is>
          <t>Computed</t>
        </is>
      </c>
      <c r="N210" s="13" t="inlineStr">
        <is>
          <t>High</t>
        </is>
      </c>
      <c r="O210" s="3" t="inlineStr">
        <is>
          <t>Keeps the balance closed when the ceiling binds.</t>
        </is>
      </c>
    </row>
    <row r="212">
      <c r="A212" s="5" t="inlineStr">
        <is>
          <t>S8</t>
        </is>
      </c>
      <c r="B212" s="6" t="inlineStr">
        <is>
          <t>CAPACITY UTILISATION</t>
        </is>
      </c>
    </row>
    <row r="213" ht="30" customHeight="1">
      <c r="A213" s="12" t="inlineStr"/>
      <c r="B213" s="11" t="inlineStr">
        <is>
          <t>Line item</t>
        </is>
      </c>
      <c r="C213" s="11" t="inlineStr">
        <is>
          <t>Unit</t>
        </is>
      </c>
      <c r="D213" s="12" t="inlineStr">
        <is>
          <t>FY2026A</t>
        </is>
      </c>
      <c r="E213" s="12" t="inlineStr">
        <is>
          <t>FY2027E</t>
        </is>
      </c>
      <c r="F213" s="12" t="inlineStr">
        <is>
          <t>FY2028E</t>
        </is>
      </c>
      <c r="G213" s="12" t="inlineStr">
        <is>
          <t>FY2029E</t>
        </is>
      </c>
      <c r="H213" s="12" t="inlineStr">
        <is>
          <t>FY2030E</t>
        </is>
      </c>
      <c r="I213" s="12" t="inlineStr">
        <is>
          <t>FY2031E</t>
        </is>
      </c>
      <c r="J213" s="12" t="inlineStr">
        <is>
          <t>FY2032E</t>
        </is>
      </c>
      <c r="K213" s="12" t="inlineStr">
        <is>
          <t>FY2033E</t>
        </is>
      </c>
      <c r="L213" s="12" t="inlineStr">
        <is>
          <t>CAGR</t>
        </is>
      </c>
      <c r="M213" s="11" t="inlineStr">
        <is>
          <t>Source</t>
        </is>
      </c>
      <c r="N213" s="12" t="inlineStr">
        <is>
          <t>Conf.</t>
        </is>
      </c>
      <c r="O213" s="11" t="inlineStr">
        <is>
          <t>Notes</t>
        </is>
      </c>
    </row>
    <row r="214">
      <c r="B214" s="25" t="inlineStr">
        <is>
          <t>Capacity utilisation</t>
        </is>
      </c>
      <c r="C214" s="16" t="inlineStr">
        <is>
          <t>%</t>
        </is>
      </c>
      <c r="D214" s="29" t="n">
        <v>0.7641560798548094</v>
      </c>
      <c r="E214" s="29">
        <f>E208/E197</f>
        <v/>
      </c>
      <c r="F214" s="29">
        <f>F208/F197</f>
        <v/>
      </c>
      <c r="G214" s="29">
        <f>G208/G197</f>
        <v/>
      </c>
      <c r="H214" s="29">
        <f>H208/H197</f>
        <v/>
      </c>
      <c r="I214" s="29">
        <f>I208/I197</f>
        <v/>
      </c>
      <c r="J214" s="29">
        <f>J208/J197</f>
        <v/>
      </c>
      <c r="K214" s="29">
        <f>K208/K197</f>
        <v/>
      </c>
      <c r="M214" s="3" t="inlineStr">
        <is>
          <t>Computed</t>
        </is>
      </c>
      <c r="N214" s="13" t="inlineStr">
        <is>
          <t>High</t>
        </is>
      </c>
      <c r="O214" s="3" t="inlineStr">
        <is>
          <t>FY2026A 76.4%. Actuals: FY2024 80.4%, FY2025 76.0%, FY2026 76.4% - capacity has been added faster than demand, which caps pricing power.</t>
        </is>
      </c>
    </row>
    <row r="215">
      <c r="B215" s="18" t="inlineStr">
        <is>
          <t>Normal utilisation</t>
        </is>
      </c>
      <c r="C215" s="16" t="inlineStr">
        <is>
          <t>%</t>
        </is>
      </c>
      <c r="E215" s="17">
        <f>E143</f>
        <v/>
      </c>
      <c r="F215" s="17">
        <f>F143</f>
        <v/>
      </c>
      <c r="G215" s="17">
        <f>G143</f>
        <v/>
      </c>
      <c r="H215" s="17">
        <f>H143</f>
        <v/>
      </c>
      <c r="I215" s="17">
        <f>I143</f>
        <v/>
      </c>
      <c r="J215" s="17">
        <f>J143</f>
        <v/>
      </c>
      <c r="K215" s="17">
        <f>K143</f>
        <v/>
      </c>
      <c r="M215" s="3" t="inlineStr">
        <is>
          <t>Derived from Master DB</t>
        </is>
      </c>
      <c r="N215" s="13" t="inlineStr">
        <is>
          <t>Medium</t>
        </is>
      </c>
      <c r="O215" s="3" t="inlineStr">
        <is>
          <t>80%, anchored on the FY2024 actual of 80.4%.</t>
        </is>
      </c>
    </row>
    <row r="216">
      <c r="B216" s="18" t="inlineStr">
        <is>
          <t>Utilisation gap vs normal</t>
        </is>
      </c>
      <c r="C216" s="16" t="inlineStr">
        <is>
          <t>ppt</t>
        </is>
      </c>
      <c r="D216" s="17" t="n">
        <v>-0.03584392014519067</v>
      </c>
      <c r="E216" s="17">
        <f>E214-E215</f>
        <v/>
      </c>
      <c r="F216" s="17">
        <f>F214-F215</f>
        <v/>
      </c>
      <c r="G216" s="17">
        <f>G214-G215</f>
        <v/>
      </c>
      <c r="H216" s="17">
        <f>H214-H215</f>
        <v/>
      </c>
      <c r="I216" s="17">
        <f>I214-I215</f>
        <v/>
      </c>
      <c r="J216" s="17">
        <f>J214-J215</f>
        <v/>
      </c>
      <c r="K216" s="17">
        <f>K214-K215</f>
        <v/>
      </c>
      <c r="M216" s="3" t="inlineStr">
        <is>
          <t>Computed</t>
        </is>
      </c>
      <c r="N216" s="13" t="inlineStr">
        <is>
          <t>High</t>
        </is>
      </c>
      <c r="O216" s="3" t="inlineStr">
        <is>
          <t>DRIVES THE PRICE FEEDBACK IN S9, with a one-year lag.</t>
        </is>
      </c>
    </row>
    <row r="217">
      <c r="B217" s="18" t="inlineStr">
        <is>
          <t>Spare capacity</t>
        </is>
      </c>
      <c r="C217" s="16" t="inlineStr">
        <is>
          <t>Mt</t>
        </is>
      </c>
      <c r="E217" s="27">
        <f>E197-E208</f>
        <v/>
      </c>
      <c r="F217" s="27">
        <f>F197-F208</f>
        <v/>
      </c>
      <c r="G217" s="27">
        <f>G197-G208</f>
        <v/>
      </c>
      <c r="H217" s="27">
        <f>H197-H208</f>
        <v/>
      </c>
      <c r="I217" s="27">
        <f>I197-I208</f>
        <v/>
      </c>
      <c r="J217" s="27">
        <f>J197-J208</f>
        <v/>
      </c>
      <c r="K217" s="27">
        <f>K197-K208</f>
        <v/>
      </c>
      <c r="M217" s="3" t="inlineStr">
        <is>
          <t>Computed</t>
        </is>
      </c>
      <c r="N217" s="13" t="inlineStr">
        <is>
          <t>High</t>
        </is>
      </c>
      <c r="O217" s="3" t="inlineStr">
        <is>
          <t>Persistent spare capacity is the structural reason the Base Case has realisation growing below inflation.</t>
        </is>
      </c>
    </row>
    <row r="219">
      <c r="A219" s="5" t="inlineStr">
        <is>
          <t>S9</t>
        </is>
      </c>
      <c r="B219" s="6" t="inlineStr">
        <is>
          <t>STEEL PRICE FORECAST (with the lagged utilisation feedback)</t>
        </is>
      </c>
    </row>
    <row r="220" ht="30" customHeight="1">
      <c r="A220" s="12" t="inlineStr"/>
      <c r="B220" s="11" t="inlineStr">
        <is>
          <t>Line item</t>
        </is>
      </c>
      <c r="C220" s="11" t="inlineStr">
        <is>
          <t>Unit</t>
        </is>
      </c>
      <c r="D220" s="12" t="inlineStr">
        <is>
          <t>FY2026A</t>
        </is>
      </c>
      <c r="E220" s="12" t="inlineStr">
        <is>
          <t>FY2027E</t>
        </is>
      </c>
      <c r="F220" s="12" t="inlineStr">
        <is>
          <t>FY2028E</t>
        </is>
      </c>
      <c r="G220" s="12" t="inlineStr">
        <is>
          <t>FY2029E</t>
        </is>
      </c>
      <c r="H220" s="12" t="inlineStr">
        <is>
          <t>FY2030E</t>
        </is>
      </c>
      <c r="I220" s="12" t="inlineStr">
        <is>
          <t>FY2031E</t>
        </is>
      </c>
      <c r="J220" s="12" t="inlineStr">
        <is>
          <t>FY2032E</t>
        </is>
      </c>
      <c r="K220" s="12" t="inlineStr">
        <is>
          <t>FY2033E</t>
        </is>
      </c>
      <c r="L220" s="12" t="inlineStr">
        <is>
          <t>CAGR</t>
        </is>
      </c>
      <c r="M220" s="11" t="inlineStr">
        <is>
          <t>Source</t>
        </is>
      </c>
      <c r="N220" s="12" t="inlineStr">
        <is>
          <t>Conf.</t>
        </is>
      </c>
      <c r="O220" s="11" t="inlineStr">
        <is>
          <t>Notes</t>
        </is>
      </c>
    </row>
    <row r="221">
      <c r="B221" s="18" t="inlineStr">
        <is>
          <t>Blended realisation - scenario driver</t>
        </is>
      </c>
      <c r="C221" s="16" t="inlineStr">
        <is>
          <t>Rs/t</t>
        </is>
      </c>
      <c r="D221" s="21" t="n">
        <v>59974</v>
      </c>
      <c r="E221" s="21">
        <f>E128</f>
        <v/>
      </c>
      <c r="F221" s="21">
        <f>F128</f>
        <v/>
      </c>
      <c r="G221" s="21">
        <f>G128</f>
        <v/>
      </c>
      <c r="H221" s="21">
        <f>H128</f>
        <v/>
      </c>
      <c r="I221" s="21">
        <f>I128</f>
        <v/>
      </c>
      <c r="J221" s="21">
        <f>J128</f>
        <v/>
      </c>
      <c r="K221" s="21">
        <f>K128</f>
        <v/>
      </c>
      <c r="M221" s="3" t="inlineStr">
        <is>
          <t>Derived from Master DB</t>
        </is>
      </c>
      <c r="N221" s="13" t="inlineStr">
        <is>
          <t>Medium</t>
        </is>
      </c>
      <c r="O221" s="3" t="inlineStr">
        <is>
          <t>FY2026A of Rs 59,974/t is DERIVED: Rs 4,79,191 cr / 79.90 Mt for Tata Steel India, JSW Steel India, SAIL and Jindal Steel = 49.4% of India's finished output. A blended realisation is used rather than spot HRC because the database records three irreconcilable Mar-2026 HRC prints (Rs 55,900 / 57,700 / 59,500 - Conflict C07) and because revenue follows actual mix.</t>
        </is>
      </c>
    </row>
    <row r="222">
      <c r="B222" s="18" t="inlineStr">
        <is>
          <t>Prior-year utilisation (lagged)</t>
        </is>
      </c>
      <c r="C222" s="16" t="inlineStr">
        <is>
          <t>%</t>
        </is>
      </c>
      <c r="E222" s="17">
        <f>D214</f>
        <v/>
      </c>
      <c r="F222" s="17">
        <f>E214</f>
        <v/>
      </c>
      <c r="G222" s="17">
        <f>F214</f>
        <v/>
      </c>
      <c r="H222" s="17">
        <f>G214</f>
        <v/>
      </c>
      <c r="I222" s="17">
        <f>H214</f>
        <v/>
      </c>
      <c r="J222" s="17">
        <f>I214</f>
        <v/>
      </c>
      <c r="K222" s="17">
        <f>J214</f>
        <v/>
      </c>
      <c r="M222" s="3" t="inlineStr">
        <is>
          <t>S8, lagged</t>
        </is>
      </c>
      <c r="N222" s="13" t="inlineStr">
        <is>
          <t>High</t>
        </is>
      </c>
      <c r="O222" s="3" t="inlineStr">
        <is>
          <t>Deliberately the PRIOR year - FY2027E uses the FY2026A actual of 76.4%. The lag is what lets capacity affect price WITHOUT creating a circular reference.</t>
        </is>
      </c>
    </row>
    <row r="223">
      <c r="B223" s="18" t="inlineStr">
        <is>
          <t>Price sensitivity to utilisation</t>
        </is>
      </c>
      <c r="C223" s="16" t="inlineStr">
        <is>
          <t>x</t>
        </is>
      </c>
      <c r="E223" s="19">
        <f>E142</f>
        <v/>
      </c>
      <c r="F223" s="19">
        <f>F142</f>
        <v/>
      </c>
      <c r="G223" s="19">
        <f>G142</f>
        <v/>
      </c>
      <c r="H223" s="19">
        <f>H142</f>
        <v/>
      </c>
      <c r="I223" s="19">
        <f>I142</f>
        <v/>
      </c>
      <c r="J223" s="19">
        <f>J142</f>
        <v/>
      </c>
      <c r="K223" s="19">
        <f>K142</f>
        <v/>
      </c>
      <c r="M223" s="3" t="inlineStr">
        <is>
          <t>Indicative</t>
        </is>
      </c>
      <c r="N223" s="13" t="inlineStr">
        <is>
          <t>Low</t>
        </is>
      </c>
      <c r="O223" s="3" t="inlineStr">
        <is>
          <t>0.40x. UNSOURCED, held constant across scenarios for that reason. This is the single most important unsourced input in the model - it determines whether capacity matters at all.</t>
        </is>
      </c>
    </row>
    <row r="224">
      <c r="B224" s="18" t="inlineStr">
        <is>
          <t>Price adjustment factor</t>
        </is>
      </c>
      <c r="C224" s="16" t="inlineStr">
        <is>
          <t>x</t>
        </is>
      </c>
      <c r="D224" s="28" t="n">
        <v>1</v>
      </c>
      <c r="E224" s="28">
        <f>1+E223*(E222-E215)</f>
        <v/>
      </c>
      <c r="F224" s="28">
        <f>1+F223*(F222-F215)</f>
        <v/>
      </c>
      <c r="G224" s="28">
        <f>1+G223*(G222-G215)</f>
        <v/>
      </c>
      <c r="H224" s="28">
        <f>1+H223*(H222-H215)</f>
        <v/>
      </c>
      <c r="I224" s="28">
        <f>1+I223*(I222-I215)</f>
        <v/>
      </c>
      <c r="J224" s="28">
        <f>1+J223*(J222-J215)</f>
        <v/>
      </c>
      <c r="K224" s="28">
        <f>1+K223*(K222-K215)</f>
        <v/>
      </c>
      <c r="M224" s="3" t="inlineStr">
        <is>
          <t>Computed</t>
        </is>
      </c>
      <c r="N224" s="13" t="inlineStr">
        <is>
          <t>Low</t>
        </is>
      </c>
      <c r="O224" s="3" t="inlineStr">
        <is>
          <t>Below 1.0 = surplus capacity depressing price; above 1.0 = tight capacity supporting it.</t>
        </is>
      </c>
    </row>
    <row r="225">
      <c r="B225" s="25" t="inlineStr">
        <is>
          <t>Blended realisation - EFFECTIVE</t>
        </is>
      </c>
      <c r="C225" s="16" t="inlineStr">
        <is>
          <t>Rs/t</t>
        </is>
      </c>
      <c r="D225" s="30" t="n">
        <v>59974</v>
      </c>
      <c r="E225" s="30">
        <f>E221*E224</f>
        <v/>
      </c>
      <c r="F225" s="30">
        <f>F221*F224</f>
        <v/>
      </c>
      <c r="G225" s="30">
        <f>G221*G224</f>
        <v/>
      </c>
      <c r="H225" s="30">
        <f>H221*H224</f>
        <v/>
      </c>
      <c r="I225" s="30">
        <f>I221*I224</f>
        <v/>
      </c>
      <c r="J225" s="30">
        <f>J221*J224</f>
        <v/>
      </c>
      <c r="K225" s="30">
        <f>K221*K224</f>
        <v/>
      </c>
      <c r="L225" s="17">
        <f>IFERROR(IF(AND(ISNUMBER(D225),ISNUMBER(K225),D225&gt;0),(K225/D225)^(1/7)-1,""),"")</f>
        <v/>
      </c>
      <c r="M225" s="3" t="inlineStr">
        <is>
          <t>Computed</t>
        </is>
      </c>
      <c r="N225" s="13" t="inlineStr">
        <is>
          <t>Medium</t>
        </is>
      </c>
      <c r="O225" s="3" t="inlineStr">
        <is>
          <t>THE REVENUE DRIVER. This, not the raw driver, feeds S12.</t>
        </is>
      </c>
    </row>
    <row r="226">
      <c r="B226" s="18" t="inlineStr">
        <is>
          <t>Safeguard duty on flat products</t>
        </is>
      </c>
      <c r="C226" s="16" t="inlineStr">
        <is>
          <t>%</t>
        </is>
      </c>
      <c r="D226" s="17" t="n">
        <v>0.12</v>
      </c>
      <c r="E226" s="17" t="n">
        <v>0.115</v>
      </c>
      <c r="F226" s="17" t="n">
        <v>0.11</v>
      </c>
      <c r="G226" s="17" t="n">
        <v>0</v>
      </c>
      <c r="H226" s="17" t="n">
        <v>0</v>
      </c>
      <c r="I226" s="17" t="n">
        <v>0</v>
      </c>
      <c r="J226" s="17" t="n">
        <v>0</v>
      </c>
      <c r="K226" s="17" t="n">
        <v>0</v>
      </c>
      <c r="M226" s="3" t="inlineStr">
        <is>
          <t>Master DB policy P03</t>
        </is>
      </c>
      <c r="N226" s="13" t="inlineStr">
        <is>
          <t>High</t>
        </is>
      </c>
      <c r="O226" s="3" t="inlineStr">
        <is>
          <t>SCHEDULE, NOT A FORECAST. 12% (FY2026), 11.5% from 21-Apr-2026, 11% from 21-Apr-2027, expiring 20-Apr-2028; a mid-term review is provided for. The step to zero is why the Base Case realisation path dips in FY2028-FY2029.</t>
        </is>
      </c>
    </row>
    <row r="228">
      <c r="A228" s="5" t="inlineStr">
        <is>
          <t>S10</t>
        </is>
      </c>
      <c r="B228" s="6" t="inlineStr">
        <is>
          <t>RAW MATERIAL FORECAST</t>
        </is>
      </c>
    </row>
    <row r="229" ht="30" customHeight="1">
      <c r="A229" s="12" t="inlineStr"/>
      <c r="B229" s="11" t="inlineStr">
        <is>
          <t>Line item</t>
        </is>
      </c>
      <c r="C229" s="11" t="inlineStr">
        <is>
          <t>Unit</t>
        </is>
      </c>
      <c r="D229" s="12" t="inlineStr">
        <is>
          <t>FY2026A</t>
        </is>
      </c>
      <c r="E229" s="12" t="inlineStr">
        <is>
          <t>FY2027E</t>
        </is>
      </c>
      <c r="F229" s="12" t="inlineStr">
        <is>
          <t>FY2028E</t>
        </is>
      </c>
      <c r="G229" s="12" t="inlineStr">
        <is>
          <t>FY2029E</t>
        </is>
      </c>
      <c r="H229" s="12" t="inlineStr">
        <is>
          <t>FY2030E</t>
        </is>
      </c>
      <c r="I229" s="12" t="inlineStr">
        <is>
          <t>FY2031E</t>
        </is>
      </c>
      <c r="J229" s="12" t="inlineStr">
        <is>
          <t>FY2032E</t>
        </is>
      </c>
      <c r="K229" s="12" t="inlineStr">
        <is>
          <t>FY2033E</t>
        </is>
      </c>
      <c r="L229" s="12" t="inlineStr">
        <is>
          <t>CAGR</t>
        </is>
      </c>
      <c r="M229" s="11" t="inlineStr">
        <is>
          <t>Source</t>
        </is>
      </c>
      <c r="N229" s="12" t="inlineStr">
        <is>
          <t>Conf.</t>
        </is>
      </c>
      <c r="O229" s="11" t="inlineStr">
        <is>
          <t>Notes</t>
        </is>
      </c>
    </row>
    <row r="230">
      <c r="B230" s="18" t="inlineStr">
        <is>
          <t>Iron ore 62% Fe fines, CFR China</t>
        </is>
      </c>
      <c r="C230" s="16" t="inlineStr">
        <is>
          <t>US$/dmt</t>
        </is>
      </c>
      <c r="D230" s="20" t="n">
        <v>100.52</v>
      </c>
      <c r="E230" s="20">
        <f>E129</f>
        <v/>
      </c>
      <c r="F230" s="20">
        <f>F129</f>
        <v/>
      </c>
      <c r="G230" s="20">
        <f>G129</f>
        <v/>
      </c>
      <c r="H230" s="20">
        <f>H129</f>
        <v/>
      </c>
      <c r="I230" s="20">
        <f>I129</f>
        <v/>
      </c>
      <c r="J230" s="20">
        <f>J129</f>
        <v/>
      </c>
      <c r="K230" s="20">
        <f>K129</f>
        <v/>
      </c>
      <c r="M230" s="3" t="inlineStr">
        <is>
          <t>Master DB (World Bank)</t>
        </is>
      </c>
      <c r="N230" s="13" t="inlineStr">
        <is>
          <t>High</t>
        </is>
      </c>
      <c r="O230" s="3" t="inlineStr">
        <is>
          <t>FY2026A of US$100.52/dmt is a genuine 12-month average from the World Bank Pink Sheet - the best price series in the model. Third consecutive annual fall from US$155.52/dmt in FY2022. Q1FY2027 actual averaged US$105.17/dmt.</t>
        </is>
      </c>
    </row>
    <row r="231">
      <c r="B231" s="18" t="inlineStr">
        <is>
          <t>Premium HCC coking coal, FOB Australia</t>
        </is>
      </c>
      <c r="C231" s="16" t="inlineStr">
        <is>
          <t>US$/t</t>
        </is>
      </c>
      <c r="D231" s="20" t="n">
        <v>225</v>
      </c>
      <c r="E231" s="20">
        <f>E130</f>
        <v/>
      </c>
      <c r="F231" s="20">
        <f>F130</f>
        <v/>
      </c>
      <c r="G231" s="20">
        <f>G130</f>
        <v/>
      </c>
      <c r="H231" s="20">
        <f>H130</f>
        <v/>
      </c>
      <c r="I231" s="20">
        <f>I130</f>
        <v/>
      </c>
      <c r="J231" s="20">
        <f>J130</f>
        <v/>
      </c>
      <c r="K231" s="20">
        <f>K130</f>
        <v/>
      </c>
      <c r="M231" s="3" t="inlineStr">
        <is>
          <t>Master DB (Ministry of Steel)</t>
        </is>
      </c>
      <c r="N231" s="13" t="inlineStr">
        <is>
          <t>Medium</t>
        </is>
      </c>
      <c r="O231" s="3" t="inlineStr">
        <is>
          <t>FY2026A of US$225/t is the Ministry's MAR-2026 SPOT print, NOT a fiscal-year average - the database asserts no average because the two public series disagree by up to US$40/t (Conflict C01). LARGEST COST UNCERTAINTY IN THE MODEL.</t>
        </is>
      </c>
    </row>
    <row r="232">
      <c r="B232" s="18" t="inlineStr">
        <is>
          <t>Iron ore in rupees</t>
        </is>
      </c>
      <c r="C232" s="16" t="inlineStr">
        <is>
          <t>Rs/dmt</t>
        </is>
      </c>
      <c r="D232" s="21" t="n">
        <v>8885.968000000001</v>
      </c>
      <c r="E232" s="21">
        <f>E230*E177</f>
        <v/>
      </c>
      <c r="F232" s="21">
        <f>F230*F177</f>
        <v/>
      </c>
      <c r="G232" s="21">
        <f>G230*G177</f>
        <v/>
      </c>
      <c r="H232" s="21">
        <f>H230*H177</f>
        <v/>
      </c>
      <c r="I232" s="21">
        <f>I230*I177</f>
        <v/>
      </c>
      <c r="J232" s="21">
        <f>J230*J177</f>
        <v/>
      </c>
      <c r="K232" s="21">
        <f>K230*K177</f>
        <v/>
      </c>
      <c r="L232" s="17">
        <f>IFERROR(IF(AND(ISNUMBER(D232),ISNUMBER(K232),D232&gt;0),(K232/D232)^(1/7)-1,""),"")</f>
        <v/>
      </c>
      <c r="M232" s="3" t="inlineStr">
        <is>
          <t>Computed</t>
        </is>
      </c>
      <c r="N232" s="13" t="inlineStr">
        <is>
          <t>High</t>
        </is>
      </c>
      <c r="O232" s="3" t="inlineStr">
        <is>
          <t>Where the FX channel enters cost: a weaker rupee raises input cost even at a flat dollar price.</t>
        </is>
      </c>
    </row>
    <row r="233">
      <c r="B233" s="18" t="inlineStr">
        <is>
          <t>Coking coal in rupees</t>
        </is>
      </c>
      <c r="C233" s="16" t="inlineStr">
        <is>
          <t>Rs/t</t>
        </is>
      </c>
      <c r="D233" s="21" t="n">
        <v>19890</v>
      </c>
      <c r="E233" s="21">
        <f>E231*E177</f>
        <v/>
      </c>
      <c r="F233" s="21">
        <f>F231*F177</f>
        <v/>
      </c>
      <c r="G233" s="21">
        <f>G231*G177</f>
        <v/>
      </c>
      <c r="H233" s="21">
        <f>H231*H177</f>
        <v/>
      </c>
      <c r="I233" s="21">
        <f>I231*I177</f>
        <v/>
      </c>
      <c r="J233" s="21">
        <f>J231*J177</f>
        <v/>
      </c>
      <c r="K233" s="21">
        <f>K231*K177</f>
        <v/>
      </c>
      <c r="L233" s="17">
        <f>IFERROR(IF(AND(ISNUMBER(D233),ISNUMBER(K233),D233&gt;0),(K233/D233)^(1/7)-1,""),"")</f>
        <v/>
      </c>
      <c r="M233" s="3" t="inlineStr">
        <is>
          <t>Computed</t>
        </is>
      </c>
      <c r="N233" s="13" t="inlineStr">
        <is>
          <t>Medium</t>
        </is>
      </c>
    </row>
    <row r="234">
      <c r="B234" s="18" t="inlineStr">
        <is>
          <t>Conversion cost inflation</t>
        </is>
      </c>
      <c r="C234" s="16" t="inlineStr">
        <is>
          <t>%</t>
        </is>
      </c>
      <c r="E234" s="17">
        <f>E131</f>
        <v/>
      </c>
      <c r="F234" s="17">
        <f>F131</f>
        <v/>
      </c>
      <c r="G234" s="17">
        <f>G131</f>
        <v/>
      </c>
      <c r="H234" s="17">
        <f>H131</f>
        <v/>
      </c>
      <c r="I234" s="17">
        <f>I131</f>
        <v/>
      </c>
      <c r="J234" s="17">
        <f>J131</f>
        <v/>
      </c>
      <c r="K234" s="17">
        <f>K131</f>
        <v/>
      </c>
      <c r="M234" s="3" t="inlineStr">
        <is>
          <t>RBI-anchored</t>
        </is>
      </c>
      <c r="N234" s="13" t="inlineStr">
        <is>
          <t>Medium</t>
        </is>
      </c>
      <c r="O234" s="3" t="inlineStr">
        <is>
          <t>Labour, power, consumables, stores, repairs, logistics. Set below RBI's 5.1% FY2027 CPI because conversion cost tracks energy rather than headline CPI, and because Tata Steel delivered ~Rs 10,868 cr of cost benefit in FY2026 (~Rs 4,825/t of India deliveries).</t>
        </is>
      </c>
    </row>
    <row r="235">
      <c r="B235" s="18" t="inlineStr">
        <is>
          <t>Conversion cost index</t>
        </is>
      </c>
      <c r="C235" s="16" t="inlineStr">
        <is>
          <t>x</t>
        </is>
      </c>
      <c r="D235" s="28" t="n">
        <v>1</v>
      </c>
      <c r="E235" s="28">
        <f>D235*(1+E234)</f>
        <v/>
      </c>
      <c r="F235" s="28">
        <f>E235*(1+F234)</f>
        <v/>
      </c>
      <c r="G235" s="28">
        <f>F235*(1+G234)</f>
        <v/>
      </c>
      <c r="H235" s="28">
        <f>G235*(1+H234)</f>
        <v/>
      </c>
      <c r="I235" s="28">
        <f>H235*(1+I234)</f>
        <v/>
      </c>
      <c r="J235" s="28">
        <f>I235*(1+J234)</f>
        <v/>
      </c>
      <c r="K235" s="28">
        <f>J235*(1+K234)</f>
        <v/>
      </c>
      <c r="M235" s="3" t="inlineStr">
        <is>
          <t>Computed</t>
        </is>
      </c>
      <c r="N235" s="13" t="inlineStr">
        <is>
          <t>Medium</t>
        </is>
      </c>
    </row>
    <row r="236">
      <c r="B236" s="18" t="inlineStr">
        <is>
          <t>Iron ore weight in basket</t>
        </is>
      </c>
      <c r="C236" s="16" t="inlineStr">
        <is>
          <t>%</t>
        </is>
      </c>
      <c r="E236" s="17">
        <f>E133</f>
        <v/>
      </c>
      <c r="F236" s="17">
        <f>F133</f>
        <v/>
      </c>
      <c r="G236" s="17">
        <f>G133</f>
        <v/>
      </c>
      <c r="H236" s="17">
        <f>H133</f>
        <v/>
      </c>
      <c r="I236" s="17">
        <f>I133</f>
        <v/>
      </c>
      <c r="J236" s="17">
        <f>J133</f>
        <v/>
      </c>
      <c r="K236" s="17">
        <f>K133</f>
        <v/>
      </c>
      <c r="M236" s="3" t="inlineStr">
        <is>
          <t>Indicative</t>
        </is>
      </c>
      <c r="N236" s="13" t="inlineStr">
        <is>
          <t>Low</t>
        </is>
      </c>
      <c r="O236" s="3" t="inlineStr">
        <is>
          <t>45% iron ore, 45% coking coal, 10% other. UNSOURCED; held constant across scenarios.</t>
        </is>
      </c>
    </row>
    <row r="237">
      <c r="B237" s="25" t="inlineStr">
        <is>
          <t>Raw material cost index</t>
        </is>
      </c>
      <c r="C237" s="16" t="inlineStr">
        <is>
          <t>x</t>
        </is>
      </c>
      <c r="D237" s="31" t="n">
        <v>1</v>
      </c>
      <c r="E237" s="31">
        <f>E236*(E232/$D$232)+E236*(E233/$D$233)+(1-2*E236)*E235</f>
        <v/>
      </c>
      <c r="F237" s="31">
        <f>F236*(F232/$D$232)+F236*(F233/$D$233)+(1-2*F236)*F235</f>
        <v/>
      </c>
      <c r="G237" s="31">
        <f>G236*(G232/$D$232)+G236*(G233/$D$233)+(1-2*G236)*G235</f>
        <v/>
      </c>
      <c r="H237" s="31">
        <f>H236*(H232/$D$232)+H236*(H233/$D$233)+(1-2*H236)*H235</f>
        <v/>
      </c>
      <c r="I237" s="31">
        <f>I236*(I232/$D$232)+I236*(I233/$D$233)+(1-2*I236)*I235</f>
        <v/>
      </c>
      <c r="J237" s="31">
        <f>J236*(J232/$D$232)+J236*(J233/$D$233)+(1-2*J236)*J235</f>
        <v/>
      </c>
      <c r="K237" s="31">
        <f>K236*(K232/$D$232)+K236*(K233/$D$233)+(1-2*K236)*K235</f>
        <v/>
      </c>
      <c r="M237" s="3" t="inlineStr">
        <is>
          <t>Computed</t>
        </is>
      </c>
      <c r="N237" s="13" t="inlineStr">
        <is>
          <t>Low</t>
        </is>
      </c>
      <c r="O237" s="3" t="inlineStr">
        <is>
          <t>Rupee input prices indexed to FY2026, with the residual 10% on conversion inflation.</t>
        </is>
      </c>
    </row>
    <row r="239">
      <c r="A239" s="5" t="inlineStr">
        <is>
          <t>S11</t>
        </is>
      </c>
      <c r="B239" s="6" t="inlineStr">
        <is>
          <t>COST CURVE</t>
        </is>
      </c>
    </row>
    <row r="240" ht="30" customHeight="1">
      <c r="A240" s="12" t="inlineStr"/>
      <c r="B240" s="11" t="inlineStr">
        <is>
          <t>Line item</t>
        </is>
      </c>
      <c r="C240" s="11" t="inlineStr">
        <is>
          <t>Unit</t>
        </is>
      </c>
      <c r="D240" s="12" t="inlineStr">
        <is>
          <t>FY2026A</t>
        </is>
      </c>
      <c r="E240" s="12" t="inlineStr">
        <is>
          <t>FY2027E</t>
        </is>
      </c>
      <c r="F240" s="12" t="inlineStr">
        <is>
          <t>FY2028E</t>
        </is>
      </c>
      <c r="G240" s="12" t="inlineStr">
        <is>
          <t>FY2029E</t>
        </is>
      </c>
      <c r="H240" s="12" t="inlineStr">
        <is>
          <t>FY2030E</t>
        </is>
      </c>
      <c r="I240" s="12" t="inlineStr">
        <is>
          <t>FY2031E</t>
        </is>
      </c>
      <c r="J240" s="12" t="inlineStr">
        <is>
          <t>FY2032E</t>
        </is>
      </c>
      <c r="K240" s="12" t="inlineStr">
        <is>
          <t>FY2033E</t>
        </is>
      </c>
      <c r="L240" s="12" t="inlineStr">
        <is>
          <t>CAGR</t>
        </is>
      </c>
      <c r="M240" s="11" t="inlineStr">
        <is>
          <t>Source</t>
        </is>
      </c>
      <c r="N240" s="12" t="inlineStr">
        <is>
          <t>Conf.</t>
        </is>
      </c>
      <c r="O240" s="11" t="inlineStr">
        <is>
          <t>Notes</t>
        </is>
      </c>
    </row>
    <row r="241">
      <c r="B241" s="18" t="inlineStr">
        <is>
          <t>Raw material share of cash cost</t>
        </is>
      </c>
      <c r="C241" s="16" t="inlineStr">
        <is>
          <t>%</t>
        </is>
      </c>
      <c r="E241" s="17">
        <f>E132</f>
        <v/>
      </c>
      <c r="F241" s="17">
        <f>F132</f>
        <v/>
      </c>
      <c r="G241" s="17">
        <f>G132</f>
        <v/>
      </c>
      <c r="H241" s="17">
        <f>H132</f>
        <v/>
      </c>
      <c r="I241" s="17">
        <f>I132</f>
        <v/>
      </c>
      <c r="J241" s="17">
        <f>J132</f>
        <v/>
      </c>
      <c r="K241" s="17">
        <f>K132</f>
        <v/>
      </c>
      <c r="M241" s="3" t="inlineStr">
        <is>
          <t>Indicative</t>
        </is>
      </c>
      <c r="N241" s="13" t="inlineStr">
        <is>
          <t>Low</t>
        </is>
      </c>
      <c r="O241" s="3" t="inlineStr">
        <is>
          <t>60/40 raw material to conversion. UNSOURCED. Plausible range 55-65%.</t>
        </is>
      </c>
    </row>
    <row r="242">
      <c r="B242" s="25" t="inlineStr">
        <is>
          <t>Industry cash cost per tonne</t>
        </is>
      </c>
      <c r="C242" s="16" t="inlineStr">
        <is>
          <t>Rs/t</t>
        </is>
      </c>
      <c r="D242" s="30" t="n">
        <v>49241</v>
      </c>
      <c r="E242" s="30">
        <f>$D$242*(E241*E237+(1-E241)*E235)</f>
        <v/>
      </c>
      <c r="F242" s="30">
        <f>$D$242*(F241*F237+(1-F241)*F235)</f>
        <v/>
      </c>
      <c r="G242" s="30">
        <f>$D$242*(G241*G237+(1-G241)*G235)</f>
        <v/>
      </c>
      <c r="H242" s="30">
        <f>$D$242*(H241*H237+(1-H241)*H235)</f>
        <v/>
      </c>
      <c r="I242" s="30">
        <f>$D$242*(I241*I237+(1-I241)*I235)</f>
        <v/>
      </c>
      <c r="J242" s="30">
        <f>$D$242*(J241*J237+(1-J241)*J235)</f>
        <v/>
      </c>
      <c r="K242" s="30">
        <f>$D$242*(K241*K237+(1-K241)*K235)</f>
        <v/>
      </c>
      <c r="L242" s="17">
        <f>IFERROR(IF(AND(ISNUMBER(D242),ISNUMBER(K242),D242&gt;0),(K242/D242)^(1/7)-1,""),"")</f>
        <v/>
      </c>
      <c r="M242" s="3" t="inlineStr">
        <is>
          <t>Computed - calibrated</t>
        </is>
      </c>
      <c r="N242" s="13" t="inlineStr">
        <is>
          <t>Medium</t>
        </is>
      </c>
      <c r="O242" s="3" t="inlineStr">
        <is>
          <t>FY2026A of Rs 49,241/t is DERIVED as realisation Rs 59,974/t less weighted EBITDA Rs 10,733/t. CALIBRATED TOP-DOWN rather than built from consumption coefficients, which could not be sourced from any primary document - inventing tonnes-of-ore-per-tonne would be false precision in the most important cost line. Dispersion across the four majors is only Rs 3,777/t (&lt;8%).</t>
        </is>
      </c>
    </row>
    <row r="243">
      <c r="B243" s="18" t="inlineStr">
        <is>
          <t xml:space="preserve">  Tata Steel India - cash cost</t>
        </is>
      </c>
      <c r="C243" s="16" t="inlineStr">
        <is>
          <t>Rs/t</t>
        </is>
      </c>
      <c r="D243" s="21" t="n">
        <v>47060</v>
      </c>
      <c r="E243" s="21">
        <f>E242+(-2181)</f>
        <v/>
      </c>
      <c r="F243" s="21">
        <f>F242+(-2181)</f>
        <v/>
      </c>
      <c r="G243" s="21">
        <f>G242+(-2181)</f>
        <v/>
      </c>
      <c r="H243" s="21">
        <f>H242+(-2181)</f>
        <v/>
      </c>
      <c r="I243" s="21">
        <f>I242+(-2181)</f>
        <v/>
      </c>
      <c r="J243" s="21">
        <f>J242+(-2181)</f>
        <v/>
      </c>
      <c r="K243" s="21">
        <f>K242+(-2181)</f>
        <v/>
      </c>
      <c r="M243" s="3" t="inlineStr">
        <is>
          <t>Master DB</t>
        </is>
      </c>
      <c r="N243" s="13" t="inlineStr">
        <is>
          <t>Medium</t>
        </is>
      </c>
      <c r="O243" s="3" t="inlineStr">
        <is>
          <t>FY2026 realisation Rs 62,273/t less reported EBITDA Rs 15,213/t. Spread to industry -2181 Rs/t, held constant - i.e. relative competitive position is assumed stable.</t>
        </is>
      </c>
    </row>
    <row r="244">
      <c r="B244" s="18" t="inlineStr">
        <is>
          <t xml:space="preserve">  SAIL - cash cost</t>
        </is>
      </c>
      <c r="C244" s="16" t="inlineStr">
        <is>
          <t>Rs/t</t>
        </is>
      </c>
      <c r="D244" s="21" t="n">
        <v>49004</v>
      </c>
      <c r="E244" s="21">
        <f>E242+(-237)</f>
        <v/>
      </c>
      <c r="F244" s="21">
        <f>F242+(-237)</f>
        <v/>
      </c>
      <c r="G244" s="21">
        <f>G242+(-237)</f>
        <v/>
      </c>
      <c r="H244" s="21">
        <f>H242+(-237)</f>
        <v/>
      </c>
      <c r="I244" s="21">
        <f>I242+(-237)</f>
        <v/>
      </c>
      <c r="J244" s="21">
        <f>J242+(-237)</f>
        <v/>
      </c>
      <c r="K244" s="21">
        <f>K242+(-237)</f>
        <v/>
      </c>
      <c r="M244" s="3" t="inlineStr">
        <is>
          <t>Master DB</t>
        </is>
      </c>
      <c r="N244" s="13" t="inlineStr">
        <is>
          <t>Medium</t>
        </is>
      </c>
      <c r="O244" s="3" t="inlineStr">
        <is>
          <t>FY2026 realisation Rs 55,600/t less reported EBITDA Rs 6,596/t. Spread to industry -237 Rs/t, held constant - i.e. relative competitive position is assumed stable.</t>
        </is>
      </c>
    </row>
    <row r="245">
      <c r="B245" s="18" t="inlineStr">
        <is>
          <t xml:space="preserve">  JSW Steel India - cash cost</t>
        </is>
      </c>
      <c r="C245" s="16" t="inlineStr">
        <is>
          <t>Rs/t</t>
        </is>
      </c>
      <c r="D245" s="21" t="n">
        <v>50631</v>
      </c>
      <c r="E245" s="21">
        <f>E242+(1390)</f>
        <v/>
      </c>
      <c r="F245" s="21">
        <f>F242+(1390)</f>
        <v/>
      </c>
      <c r="G245" s="21">
        <f>G242+(1390)</f>
        <v/>
      </c>
      <c r="H245" s="21">
        <f>H242+(1390)</f>
        <v/>
      </c>
      <c r="I245" s="21">
        <f>I242+(1390)</f>
        <v/>
      </c>
      <c r="J245" s="21">
        <f>J242+(1390)</f>
        <v/>
      </c>
      <c r="K245" s="21">
        <f>K242+(1390)</f>
        <v/>
      </c>
      <c r="M245" s="3" t="inlineStr">
        <is>
          <t>Master DB</t>
        </is>
      </c>
      <c r="N245" s="13" t="inlineStr">
        <is>
          <t>Medium</t>
        </is>
      </c>
      <c r="O245" s="3" t="inlineStr">
        <is>
          <t>FY2026 realisation Rs 60,798/t less reported EBITDA Rs 10,167/t. Spread to industry +1390 Rs/t, held constant - i.e. relative competitive position is assumed stable.</t>
        </is>
      </c>
    </row>
    <row r="246">
      <c r="B246" s="18" t="inlineStr">
        <is>
          <t xml:space="preserve">  Jindal Steel - cash cost</t>
        </is>
      </c>
      <c r="C246" s="16" t="inlineStr">
        <is>
          <t>Rs/t</t>
        </is>
      </c>
      <c r="D246" s="21" t="n">
        <v>50837</v>
      </c>
      <c r="E246" s="21">
        <f>E242+(1596)</f>
        <v/>
      </c>
      <c r="F246" s="21">
        <f>F242+(1596)</f>
        <v/>
      </c>
      <c r="G246" s="21">
        <f>G242+(1596)</f>
        <v/>
      </c>
      <c r="H246" s="21">
        <f>H242+(1596)</f>
        <v/>
      </c>
      <c r="I246" s="21">
        <f>I242+(1596)</f>
        <v/>
      </c>
      <c r="J246" s="21">
        <f>J242+(1596)</f>
        <v/>
      </c>
      <c r="K246" s="21">
        <f>K242+(1596)</f>
        <v/>
      </c>
      <c r="M246" s="3" t="inlineStr">
        <is>
          <t>Master DB</t>
        </is>
      </c>
      <c r="N246" s="13" t="inlineStr">
        <is>
          <t>Medium</t>
        </is>
      </c>
      <c r="O246" s="3" t="inlineStr">
        <is>
          <t>FY2026 realisation Rs 61,319/t less reported EBITDA Rs 10,482/t. Spread to industry +1596 Rs/t, held constant - i.e. relative competitive position is assumed stable.</t>
        </is>
      </c>
    </row>
    <row r="248">
      <c r="A248" s="5" t="inlineStr">
        <is>
          <t>S12</t>
        </is>
      </c>
      <c r="B248" s="6" t="inlineStr">
        <is>
          <t>REVENUE, EBITDA AND MARGIN</t>
        </is>
      </c>
    </row>
    <row r="249" ht="30" customHeight="1">
      <c r="A249" s="12" t="inlineStr"/>
      <c r="B249" s="11" t="inlineStr">
        <is>
          <t>Line item</t>
        </is>
      </c>
      <c r="C249" s="11" t="inlineStr">
        <is>
          <t>Unit</t>
        </is>
      </c>
      <c r="D249" s="12" t="inlineStr">
        <is>
          <t>FY2026A</t>
        </is>
      </c>
      <c r="E249" s="12" t="inlineStr">
        <is>
          <t>FY2027E</t>
        </is>
      </c>
      <c r="F249" s="12" t="inlineStr">
        <is>
          <t>FY2028E</t>
        </is>
      </c>
      <c r="G249" s="12" t="inlineStr">
        <is>
          <t>FY2029E</t>
        </is>
      </c>
      <c r="H249" s="12" t="inlineStr">
        <is>
          <t>FY2030E</t>
        </is>
      </c>
      <c r="I249" s="12" t="inlineStr">
        <is>
          <t>FY2031E</t>
        </is>
      </c>
      <c r="J249" s="12" t="inlineStr">
        <is>
          <t>FY2032E</t>
        </is>
      </c>
      <c r="K249" s="12" t="inlineStr">
        <is>
          <t>FY2033E</t>
        </is>
      </c>
      <c r="L249" s="12" t="inlineStr">
        <is>
          <t>CAGR</t>
        </is>
      </c>
      <c r="M249" s="11" t="inlineStr">
        <is>
          <t>Source</t>
        </is>
      </c>
      <c r="N249" s="12" t="inlineStr">
        <is>
          <t>Conf.</t>
        </is>
      </c>
      <c r="O249" s="11" t="inlineStr">
        <is>
          <t>Notes</t>
        </is>
      </c>
    </row>
    <row r="250">
      <c r="B250" s="25" t="inlineStr">
        <is>
          <t>INDUSTRY REVENUE</t>
        </is>
      </c>
      <c r="C250" s="16" t="inlineStr">
        <is>
          <t>Rs cr</t>
        </is>
      </c>
      <c r="D250" s="30" t="n">
        <v>965221.5560000001</v>
      </c>
      <c r="E250" s="30">
        <f>E209*E225/10</f>
        <v/>
      </c>
      <c r="F250" s="30">
        <f>F209*F225/10</f>
        <v/>
      </c>
      <c r="G250" s="30">
        <f>G209*G225/10</f>
        <v/>
      </c>
      <c r="H250" s="30">
        <f>H209*H225/10</f>
        <v/>
      </c>
      <c r="I250" s="30">
        <f>I209*I225/10</f>
        <v/>
      </c>
      <c r="J250" s="30">
        <f>J209*J225/10</f>
        <v/>
      </c>
      <c r="K250" s="30">
        <f>K209*K225/10</f>
        <v/>
      </c>
      <c r="L250" s="17">
        <f>IFERROR(IF(AND(ISNUMBER(D250),ISNUMBER(K250),D250&gt;0),(K250/D250)^(1/7)-1,""),"")</f>
        <v/>
      </c>
      <c r="M250" s="3" t="inlineStr">
        <is>
          <t>Computed</t>
        </is>
      </c>
      <c r="N250" s="13" t="inlineStr">
        <is>
          <t>Medium</t>
        </is>
      </c>
      <c r="O250" s="3" t="inlineStr">
        <is>
          <t>UNIT BRIDGE: Rs/t x Mt / 10 = Rs crore, because 1 Rs cr = 1e7 Rs and 1 Mt = 1e6 t. FY2026A of Rs 9,65,238 cr is the whole-of-India pool; the four majors that anchor realisation are Rs 4,79,191 cr, i.e. 49.6% of it.</t>
        </is>
      </c>
    </row>
    <row r="251">
      <c r="B251" s="25" t="inlineStr">
        <is>
          <t>INDUSTRY EBITDA PER TONNE</t>
        </is>
      </c>
      <c r="C251" s="16" t="inlineStr">
        <is>
          <t>Rs/t</t>
        </is>
      </c>
      <c r="D251" s="30" t="n">
        <v>10733</v>
      </c>
      <c r="E251" s="30">
        <f>E225-E242</f>
        <v/>
      </c>
      <c r="F251" s="30">
        <f>F225-F242</f>
        <v/>
      </c>
      <c r="G251" s="30">
        <f>G225-G242</f>
        <v/>
      </c>
      <c r="H251" s="30">
        <f>H225-H242</f>
        <v/>
      </c>
      <c r="I251" s="30">
        <f>I225-I242</f>
        <v/>
      </c>
      <c r="J251" s="30">
        <f>J225-J242</f>
        <v/>
      </c>
      <c r="K251" s="30">
        <f>K225-K242</f>
        <v/>
      </c>
      <c r="L251" s="17">
        <f>IFERROR(IF(AND(ISNUMBER(D251),ISNUMBER(K251),D251&gt;0),(K251/D251)^(1/7)-1,""),"")</f>
        <v/>
      </c>
      <c r="M251" s="3" t="inlineStr">
        <is>
          <t>Computed</t>
        </is>
      </c>
      <c r="N251" s="13" t="inlineStr">
        <is>
          <t>Medium</t>
        </is>
      </c>
      <c r="O251" s="3" t="inlineStr">
        <is>
          <t>A SPREAD, not a margin applied to revenue - the correct construction where price and cost move independently. FY2026A of Rs 10,733/t x 79.90 Mt = Rs 85,759 cr against the Rs 86,318 cr sum of reported EBITDAs, a 0.6% rounding difference.</t>
        </is>
      </c>
    </row>
    <row r="252">
      <c r="B252" s="25" t="inlineStr">
        <is>
          <t>INDUSTRY EBITDA</t>
        </is>
      </c>
      <c r="C252" s="16" t="inlineStr">
        <is>
          <t>Rs cr</t>
        </is>
      </c>
      <c r="D252" s="30" t="n">
        <v>172736.902</v>
      </c>
      <c r="E252" s="30">
        <f>E209*E251/10</f>
        <v/>
      </c>
      <c r="F252" s="30">
        <f>F209*F251/10</f>
        <v/>
      </c>
      <c r="G252" s="30">
        <f>G209*G251/10</f>
        <v/>
      </c>
      <c r="H252" s="30">
        <f>H209*H251/10</f>
        <v/>
      </c>
      <c r="I252" s="30">
        <f>I209*I251/10</f>
        <v/>
      </c>
      <c r="J252" s="30">
        <f>J209*J251/10</f>
        <v/>
      </c>
      <c r="K252" s="30">
        <f>K209*K251/10</f>
        <v/>
      </c>
      <c r="L252" s="17">
        <f>IFERROR(IF(AND(ISNUMBER(D252),ISNUMBER(K252),D252&gt;0),(K252/D252)^(1/7)-1,""),"")</f>
        <v/>
      </c>
      <c r="M252" s="3" t="inlineStr">
        <is>
          <t>Computed</t>
        </is>
      </c>
      <c r="N252" s="13" t="inlineStr">
        <is>
          <t>Medium</t>
        </is>
      </c>
    </row>
    <row r="253">
      <c r="B253" s="25" t="inlineStr">
        <is>
          <t>INDUSTRY EBITDA MARGIN</t>
        </is>
      </c>
      <c r="C253" s="16" t="inlineStr">
        <is>
          <t>%</t>
        </is>
      </c>
      <c r="D253" s="29" t="n">
        <v>0.1789608830493214</v>
      </c>
      <c r="E253" s="29">
        <f>E251/E225</f>
        <v/>
      </c>
      <c r="F253" s="29">
        <f>F251/F225</f>
        <v/>
      </c>
      <c r="G253" s="29">
        <f>G251/G225</f>
        <v/>
      </c>
      <c r="H253" s="29">
        <f>H251/H225</f>
        <v/>
      </c>
      <c r="I253" s="29">
        <f>I251/I225</f>
        <v/>
      </c>
      <c r="J253" s="29">
        <f>J251/J225</f>
        <v/>
      </c>
      <c r="K253" s="29">
        <f>K251/K225</f>
        <v/>
      </c>
      <c r="M253" s="3" t="inlineStr">
        <is>
          <t>Computed</t>
        </is>
      </c>
      <c r="N253" s="13" t="inlineStr">
        <is>
          <t>Medium</t>
        </is>
      </c>
      <c r="O253" s="3" t="inlineStr">
        <is>
          <t>OBSERVED ENVELOPE for credibility: FY2022 peak ~24-26% (Tata 26%, JSW 27%, JSPL 30%), FY2024 trough ~13%, worst single observation SAIL FY2016 at -7%.</t>
        </is>
      </c>
    </row>
    <row r="254">
      <c r="B254" s="18" t="inlineStr">
        <is>
          <t>Realisation change vs FY2026A</t>
        </is>
      </c>
      <c r="C254" s="16" t="inlineStr">
        <is>
          <t>Rs/t</t>
        </is>
      </c>
      <c r="E254" s="21">
        <f>E225-$D$225</f>
        <v/>
      </c>
      <c r="F254" s="21">
        <f>F225-$D$225</f>
        <v/>
      </c>
      <c r="G254" s="21">
        <f>G225-$D$225</f>
        <v/>
      </c>
      <c r="H254" s="21">
        <f>H225-$D$225</f>
        <v/>
      </c>
      <c r="I254" s="21">
        <f>I225-$D$225</f>
        <v/>
      </c>
      <c r="J254" s="21">
        <f>J225-$D$225</f>
        <v/>
      </c>
      <c r="K254" s="21">
        <f>K225-$D$225</f>
        <v/>
      </c>
      <c r="M254" s="3" t="inlineStr">
        <is>
          <t>Computed</t>
        </is>
      </c>
      <c r="N254" s="13" t="inlineStr">
        <is>
          <t>Medium</t>
        </is>
      </c>
    </row>
    <row r="255">
      <c r="B255" s="18" t="inlineStr">
        <is>
          <t>Cash cost change vs FY2026A (sign reversed)</t>
        </is>
      </c>
      <c r="C255" s="16" t="inlineStr">
        <is>
          <t>Rs/t</t>
        </is>
      </c>
      <c r="E255" s="21">
        <f>-(E242-$D$242)</f>
        <v/>
      </c>
      <c r="F255" s="21">
        <f>-(F242-$D$242)</f>
        <v/>
      </c>
      <c r="G255" s="21">
        <f>-(G242-$D$242)</f>
        <v/>
      </c>
      <c r="H255" s="21">
        <f>-(H242-$D$242)</f>
        <v/>
      </c>
      <c r="I255" s="21">
        <f>-(I242-$D$242)</f>
        <v/>
      </c>
      <c r="J255" s="21">
        <f>-(J242-$D$242)</f>
        <v/>
      </c>
      <c r="K255" s="21">
        <f>-(K242-$D$242)</f>
        <v/>
      </c>
      <c r="M255" s="3" t="inlineStr">
        <is>
          <t>Computed</t>
        </is>
      </c>
      <c r="N255" s="13" t="inlineStr">
        <is>
          <t>Medium</t>
        </is>
      </c>
      <c r="O255" s="3" t="inlineStr">
        <is>
          <t>Sign reversed so the two bridge lines sum to the EBITDA/t change.</t>
        </is>
      </c>
    </row>
    <row r="256">
      <c r="B256" s="25" t="inlineStr">
        <is>
          <t>EBITDA/t change vs FY2026A (bridge check)</t>
        </is>
      </c>
      <c r="C256" s="16" t="inlineStr">
        <is>
          <t>Rs/t</t>
        </is>
      </c>
      <c r="E256" s="30">
        <f>E254+E255</f>
        <v/>
      </c>
      <c r="F256" s="30">
        <f>F254+F255</f>
        <v/>
      </c>
      <c r="G256" s="30">
        <f>G254+G255</f>
        <v/>
      </c>
      <c r="H256" s="30">
        <f>H254+H255</f>
        <v/>
      </c>
      <c r="I256" s="30">
        <f>I254+I255</f>
        <v/>
      </c>
      <c r="J256" s="30">
        <f>J254+J255</f>
        <v/>
      </c>
      <c r="K256" s="30">
        <f>K254+K255</f>
        <v/>
      </c>
      <c r="M256" s="3" t="inlineStr">
        <is>
          <t>Computed</t>
        </is>
      </c>
      <c r="N256" s="13" t="inlineStr">
        <is>
          <t>Medium</t>
        </is>
      </c>
      <c r="O256" s="3" t="inlineStr">
        <is>
          <t>Must equal EBITDA/t less FY2026A EBITDA/t. Checked in S20.</t>
        </is>
      </c>
    </row>
    <row r="258">
      <c r="A258" s="5" t="inlineStr">
        <is>
          <t>S13</t>
        </is>
      </c>
      <c r="B258" s="6" t="inlineStr">
        <is>
          <t>WORKING CAPITAL AND CASH FLOW</t>
        </is>
      </c>
    </row>
    <row r="259" ht="30" customHeight="1">
      <c r="A259" s="12" t="inlineStr"/>
      <c r="B259" s="11" t="inlineStr">
        <is>
          <t>Line item</t>
        </is>
      </c>
      <c r="C259" s="11" t="inlineStr">
        <is>
          <t>Unit</t>
        </is>
      </c>
      <c r="D259" s="12" t="inlineStr">
        <is>
          <t>FY2026A</t>
        </is>
      </c>
      <c r="E259" s="12" t="inlineStr">
        <is>
          <t>FY2027E</t>
        </is>
      </c>
      <c r="F259" s="12" t="inlineStr">
        <is>
          <t>FY2028E</t>
        </is>
      </c>
      <c r="G259" s="12" t="inlineStr">
        <is>
          <t>FY2029E</t>
        </is>
      </c>
      <c r="H259" s="12" t="inlineStr">
        <is>
          <t>FY2030E</t>
        </is>
      </c>
      <c r="I259" s="12" t="inlineStr">
        <is>
          <t>FY2031E</t>
        </is>
      </c>
      <c r="J259" s="12" t="inlineStr">
        <is>
          <t>FY2032E</t>
        </is>
      </c>
      <c r="K259" s="12" t="inlineStr">
        <is>
          <t>FY2033E</t>
        </is>
      </c>
      <c r="L259" s="12" t="inlineStr">
        <is>
          <t>CAGR</t>
        </is>
      </c>
      <c r="M259" s="11" t="inlineStr">
        <is>
          <t>Source</t>
        </is>
      </c>
      <c r="N259" s="12" t="inlineStr">
        <is>
          <t>Conf.</t>
        </is>
      </c>
      <c r="O259" s="11" t="inlineStr">
        <is>
          <t>Notes</t>
        </is>
      </c>
    </row>
    <row r="260">
      <c r="B260" s="18" t="inlineStr">
        <is>
          <t>Net working capital</t>
        </is>
      </c>
      <c r="C260" s="16" t="inlineStr">
        <is>
          <t>days of revenue</t>
        </is>
      </c>
      <c r="D260" s="17" t="n">
        <v>45</v>
      </c>
      <c r="E260" s="17">
        <f>E137</f>
        <v/>
      </c>
      <c r="F260" s="17">
        <f>F137</f>
        <v/>
      </c>
      <c r="G260" s="17">
        <f>G137</f>
        <v/>
      </c>
      <c r="H260" s="17">
        <f>H137</f>
        <v/>
      </c>
      <c r="I260" s="17">
        <f>I137</f>
        <v/>
      </c>
      <c r="J260" s="17">
        <f>J137</f>
        <v/>
      </c>
      <c r="K260" s="17">
        <f>K137</f>
        <v/>
      </c>
      <c r="M260" s="3" t="inlineStr">
        <is>
          <t>NOT SOURCED</t>
        </is>
      </c>
      <c r="N260" s="13" t="inlineStr">
        <is>
          <t>Low</t>
        </is>
      </c>
      <c r="O260" s="3" t="inlineStr">
        <is>
          <t>THE WEAKEST BLOCK. The database carries total assets and borrowings but NOT receivables, inventory or payables, so days could not be derived. Only directional evidence: Tata Steel disclosed a FY2026 working capital RELEASE of ~Rs 6,470 cr, ~10 days on its revenue base. 45 days is a sector convention - REPLACE before any financing or credit work.</t>
        </is>
      </c>
    </row>
    <row r="261">
      <c r="B261" s="18" t="inlineStr">
        <is>
          <t>Net working capital</t>
        </is>
      </c>
      <c r="C261" s="16" t="inlineStr">
        <is>
          <t>Rs cr</t>
        </is>
      </c>
      <c r="D261" s="21" t="n">
        <v>118999.9178630137</v>
      </c>
      <c r="E261" s="21">
        <f>E250*E260/365</f>
        <v/>
      </c>
      <c r="F261" s="21">
        <f>F250*F260/365</f>
        <v/>
      </c>
      <c r="G261" s="21">
        <f>G250*G260/365</f>
        <v/>
      </c>
      <c r="H261" s="21">
        <f>H250*H260/365</f>
        <v/>
      </c>
      <c r="I261" s="21">
        <f>I250*I260/365</f>
        <v/>
      </c>
      <c r="J261" s="21">
        <f>J250*J260/365</f>
        <v/>
      </c>
      <c r="K261" s="21">
        <f>K250*K260/365</f>
        <v/>
      </c>
      <c r="M261" s="3" t="inlineStr">
        <is>
          <t>Computed</t>
        </is>
      </c>
      <c r="N261" s="13" t="inlineStr">
        <is>
          <t>Low</t>
        </is>
      </c>
    </row>
    <row r="262">
      <c r="B262" s="18" t="inlineStr">
        <is>
          <t>Change in net working capital</t>
        </is>
      </c>
      <c r="C262" s="16" t="inlineStr">
        <is>
          <t>Rs cr</t>
        </is>
      </c>
      <c r="E262" s="21">
        <f>E261-D261</f>
        <v/>
      </c>
      <c r="F262" s="21">
        <f>F261-E261</f>
        <v/>
      </c>
      <c r="G262" s="21">
        <f>G261-F261</f>
        <v/>
      </c>
      <c r="H262" s="21">
        <f>H261-G261</f>
        <v/>
      </c>
      <c r="I262" s="21">
        <f>I261-H261</f>
        <v/>
      </c>
      <c r="J262" s="21">
        <f>J261-I261</f>
        <v/>
      </c>
      <c r="K262" s="21">
        <f>K261-J261</f>
        <v/>
      </c>
      <c r="M262" s="3" t="inlineStr">
        <is>
          <t>Computed</t>
        </is>
      </c>
      <c r="N262" s="13" t="inlineStr">
        <is>
          <t>Low</t>
        </is>
      </c>
      <c r="O262" s="3" t="inlineStr">
        <is>
          <t>Positive = cash OUTFLOW. FY2027E is measured against the FY2026A NWC on the same days basis, so the first year is not distorted.</t>
        </is>
      </c>
    </row>
    <row r="263">
      <c r="B263" s="18" t="inlineStr">
        <is>
          <t>Depreciation and amortisation</t>
        </is>
      </c>
      <c r="C263" s="16" t="inlineStr">
        <is>
          <t>% of revenue</t>
        </is>
      </c>
      <c r="D263" s="17" t="n">
        <v>0.0528</v>
      </c>
      <c r="E263" s="17">
        <f>E145</f>
        <v/>
      </c>
      <c r="F263" s="17">
        <f>F145</f>
        <v/>
      </c>
      <c r="G263" s="17">
        <f>G145</f>
        <v/>
      </c>
      <c r="H263" s="17">
        <f>H145</f>
        <v/>
      </c>
      <c r="I263" s="17">
        <f>I145</f>
        <v/>
      </c>
      <c r="J263" s="17">
        <f>J145</f>
        <v/>
      </c>
      <c r="K263" s="17">
        <f>K145</f>
        <v/>
      </c>
      <c r="M263" s="3" t="inlineStr">
        <is>
          <t>Derived from Master DB</t>
        </is>
      </c>
      <c r="N263" s="13" t="inlineStr">
        <is>
          <t>High</t>
        </is>
      </c>
      <c r="O263" s="3" t="inlineStr">
        <is>
          <t>FY2026A of 5.28% is DERIVED: Rs 30,715 cr D&amp;A on Rs 5,81,646 cr revenue for the four majors. Tight across companies (Tata 5.15%, JSW 5.18%, SAIL 5.40%, JSPL 5.96%), so it is representative not an artefact.</t>
        </is>
      </c>
    </row>
    <row r="264">
      <c r="B264" s="18" t="inlineStr">
        <is>
          <t>EBIT</t>
        </is>
      </c>
      <c r="C264" s="16" t="inlineStr">
        <is>
          <t>Rs cr</t>
        </is>
      </c>
      <c r="E264" s="21">
        <f>E252-E250*E263</f>
        <v/>
      </c>
      <c r="F264" s="21">
        <f>F252-F250*F263</f>
        <v/>
      </c>
      <c r="G264" s="21">
        <f>G252-G250*G263</f>
        <v/>
      </c>
      <c r="H264" s="21">
        <f>H252-H250*H263</f>
        <v/>
      </c>
      <c r="I264" s="21">
        <f>I252-I250*I263</f>
        <v/>
      </c>
      <c r="J264" s="21">
        <f>J252-J250*J263</f>
        <v/>
      </c>
      <c r="K264" s="21">
        <f>K252-K250*K263</f>
        <v/>
      </c>
      <c r="M264" s="3" t="inlineStr">
        <is>
          <t>Computed</t>
        </is>
      </c>
      <c r="N264" s="13" t="inlineStr">
        <is>
          <t>Medium</t>
        </is>
      </c>
    </row>
    <row r="265">
      <c r="B265" s="18" t="inlineStr">
        <is>
          <t>Effective tax rate</t>
        </is>
      </c>
      <c r="C265" s="16" t="inlineStr">
        <is>
          <t>%</t>
        </is>
      </c>
      <c r="D265" s="17" t="n">
        <v>0.2517</v>
      </c>
      <c r="E265" s="17">
        <f>E134</f>
        <v/>
      </c>
      <c r="F265" s="17">
        <f>F134</f>
        <v/>
      </c>
      <c r="G265" s="17">
        <f>G134</f>
        <v/>
      </c>
      <c r="H265" s="17">
        <f>H134</f>
        <v/>
      </c>
      <c r="I265" s="17">
        <f>I134</f>
        <v/>
      </c>
      <c r="J265" s="17">
        <f>J134</f>
        <v/>
      </c>
      <c r="K265" s="17">
        <f>K134</f>
        <v/>
      </c>
      <c r="M265" s="3" t="inlineStr">
        <is>
          <t>Statutory s.115BAA</t>
        </is>
      </c>
      <c r="N265" s="13" t="inlineStr">
        <is>
          <t>Medium</t>
        </is>
      </c>
      <c r="O265" s="3" t="inlineStr">
        <is>
          <t>22% plus surcharge and cess.</t>
        </is>
      </c>
    </row>
    <row r="266">
      <c r="B266" s="18" t="inlineStr">
        <is>
          <t>Cash tax</t>
        </is>
      </c>
      <c r="C266" s="16" t="inlineStr">
        <is>
          <t>Rs cr</t>
        </is>
      </c>
      <c r="E266" s="21">
        <f>MAX(0,E264)*E265</f>
        <v/>
      </c>
      <c r="F266" s="21">
        <f>MAX(0,F264)*F265</f>
        <v/>
      </c>
      <c r="G266" s="21">
        <f>MAX(0,G264)*G265</f>
        <v/>
      </c>
      <c r="H266" s="21">
        <f>MAX(0,H264)*H265</f>
        <v/>
      </c>
      <c r="I266" s="21">
        <f>MAX(0,I264)*I265</f>
        <v/>
      </c>
      <c r="J266" s="21">
        <f>MAX(0,J264)*J265</f>
        <v/>
      </c>
      <c r="K266" s="21">
        <f>MAX(0,K264)*K265</f>
        <v/>
      </c>
      <c r="M266" s="3" t="inlineStr">
        <is>
          <t>Computed</t>
        </is>
      </c>
      <c r="N266" s="13" t="inlineStr">
        <is>
          <t>Medium</t>
        </is>
      </c>
      <c r="O266" s="3" t="inlineStr">
        <is>
          <t>Floored at zero; no loss carry-forward modelled, which is conservative.</t>
        </is>
      </c>
    </row>
    <row r="267">
      <c r="B267" s="18" t="inlineStr">
        <is>
          <t>Capex intensity</t>
        </is>
      </c>
      <c r="C267" s="16" t="inlineStr">
        <is>
          <t>Rs/t of capacity</t>
        </is>
      </c>
      <c r="E267" s="21">
        <f>E135</f>
        <v/>
      </c>
      <c r="F267" s="21">
        <f>F135</f>
        <v/>
      </c>
      <c r="G267" s="21">
        <f>G135</f>
        <v/>
      </c>
      <c r="H267" s="21">
        <f>H135</f>
        <v/>
      </c>
      <c r="I267" s="21">
        <f>I135</f>
        <v/>
      </c>
      <c r="J267" s="21">
        <f>J135</f>
        <v/>
      </c>
      <c r="K267" s="21">
        <f>K135</f>
        <v/>
      </c>
      <c r="M267" s="3" t="inlineStr">
        <is>
          <t>Derived from Master DB</t>
        </is>
      </c>
      <c r="N267" s="13" t="inlineStr">
        <is>
          <t>Medium</t>
        </is>
      </c>
      <c r="O267" s="3" t="inlineStr">
        <is>
          <t>Rs 55,000/t base. Cross-checks: JSW JVML 5 Mtpa at Rs 26,000 cr = Rs 52,000/t; SAIL ~Rs 1 lakh cr for ~15 Mtpa = ~Rs 67,000/t; Tata Ludhiana 0.75 Mtpa EAF at Rs 3,200 cr = Rs 42,700/t (no ironmaking).</t>
        </is>
      </c>
    </row>
    <row r="268">
      <c r="B268" s="18" t="inlineStr">
        <is>
          <t>Growth capex</t>
        </is>
      </c>
      <c r="C268" s="16" t="inlineStr">
        <is>
          <t>Rs cr</t>
        </is>
      </c>
      <c r="E268" s="21">
        <f>E196*E267/10</f>
        <v/>
      </c>
      <c r="F268" s="21">
        <f>F196*F267/10</f>
        <v/>
      </c>
      <c r="G268" s="21">
        <f>G196*G267/10</f>
        <v/>
      </c>
      <c r="H268" s="21">
        <f>H196*H267/10</f>
        <v/>
      </c>
      <c r="I268" s="21">
        <f>I196*I267/10</f>
        <v/>
      </c>
      <c r="J268" s="21">
        <f>J196*J267/10</f>
        <v/>
      </c>
      <c r="K268" s="21">
        <f>K196*K267/10</f>
        <v/>
      </c>
      <c r="M268" s="3" t="inlineStr">
        <is>
          <t>Computed</t>
        </is>
      </c>
      <c r="N268" s="13" t="inlineStr">
        <is>
          <t>Medium</t>
        </is>
      </c>
      <c r="O268" s="3" t="inlineStr">
        <is>
          <t>Mtpa x Rs/t / 10 = Rs crore.</t>
        </is>
      </c>
    </row>
    <row r="269">
      <c r="B269" s="18" t="inlineStr">
        <is>
          <t>Maintenance capex</t>
        </is>
      </c>
      <c r="C269" s="16" t="inlineStr">
        <is>
          <t>Rs cr</t>
        </is>
      </c>
      <c r="E269" s="21">
        <f>E250*E136</f>
        <v/>
      </c>
      <c r="F269" s="21">
        <f>F250*F136</f>
        <v/>
      </c>
      <c r="G269" s="21">
        <f>G250*G136</f>
        <v/>
      </c>
      <c r="H269" s="21">
        <f>H250*H136</f>
        <v/>
      </c>
      <c r="I269" s="21">
        <f>I250*I136</f>
        <v/>
      </c>
      <c r="J269" s="21">
        <f>J250*J136</f>
        <v/>
      </c>
      <c r="K269" s="21">
        <f>K250*K136</f>
        <v/>
      </c>
      <c r="M269" s="3" t="inlineStr">
        <is>
          <t>Indicative</t>
        </is>
      </c>
      <c r="N269" s="13" t="inlineStr">
        <is>
          <t>Low</t>
        </is>
      </c>
      <c r="O269" s="3" t="inlineStr">
        <is>
          <t>3.0% of revenue. Tata Steel FY2026 total capex was 6.0% of revenue but includes growth, so 3.0% sustaining implies a ~50/50 split.</t>
        </is>
      </c>
    </row>
    <row r="270">
      <c r="B270" s="25" t="inlineStr">
        <is>
          <t>Total capex</t>
        </is>
      </c>
      <c r="C270" s="16" t="inlineStr">
        <is>
          <t>Rs cr</t>
        </is>
      </c>
      <c r="E270" s="30">
        <f>E268+E269</f>
        <v/>
      </c>
      <c r="F270" s="30">
        <f>F268+F269</f>
        <v/>
      </c>
      <c r="G270" s="30">
        <f>G268+G269</f>
        <v/>
      </c>
      <c r="H270" s="30">
        <f>H268+H269</f>
        <v/>
      </c>
      <c r="I270" s="30">
        <f>I268+I269</f>
        <v/>
      </c>
      <c r="J270" s="30">
        <f>J268+J269</f>
        <v/>
      </c>
      <c r="K270" s="30">
        <f>K268+K269</f>
        <v/>
      </c>
      <c r="M270" s="3" t="inlineStr">
        <is>
          <t>Computed</t>
        </is>
      </c>
      <c r="N270" s="13" t="inlineStr">
        <is>
          <t>Medium</t>
        </is>
      </c>
    </row>
    <row r="271">
      <c r="B271" s="25" t="inlineStr">
        <is>
          <t>UNLEVERED FREE CASH FLOW</t>
        </is>
      </c>
      <c r="C271" s="16" t="inlineStr">
        <is>
          <t>Rs cr</t>
        </is>
      </c>
      <c r="E271" s="30">
        <f>E252-E266-E270-E262</f>
        <v/>
      </c>
      <c r="F271" s="30">
        <f>F252-F266-F270-F262</f>
        <v/>
      </c>
      <c r="G271" s="30">
        <f>G252-G266-G270-G262</f>
        <v/>
      </c>
      <c r="H271" s="30">
        <f>H252-H266-H270-H262</f>
        <v/>
      </c>
      <c r="I271" s="30">
        <f>I252-I266-I270-I262</f>
        <v/>
      </c>
      <c r="J271" s="30">
        <f>J252-J266-J270-J262</f>
        <v/>
      </c>
      <c r="K271" s="30">
        <f>K252-K266-K270-K262</f>
        <v/>
      </c>
      <c r="M271" s="3" t="inlineStr">
        <is>
          <t>Computed</t>
        </is>
      </c>
      <c r="N271" s="13" t="inlineStr">
        <is>
          <t>Medium</t>
        </is>
      </c>
      <c r="O271" s="3" t="inlineStr">
        <is>
          <t>EBITDA less cash tax, total capex and the NWC change. PRE-FINANCING, which is what an enterprise DCF discounts. Negative in bear and stress: the industry cannot fund ~Rs 1.1 lakh crore a year of growth capex from a compressed margin.</t>
        </is>
      </c>
    </row>
    <row r="272">
      <c r="B272" s="18" t="inlineStr">
        <is>
          <t>FCF conversion</t>
        </is>
      </c>
      <c r="C272" s="16" t="inlineStr">
        <is>
          <t>% of revenue</t>
        </is>
      </c>
      <c r="E272" s="17">
        <f>IFERROR(E271/E252,"")</f>
        <v/>
      </c>
      <c r="F272" s="17">
        <f>IFERROR(F271/F252,"")</f>
        <v/>
      </c>
      <c r="G272" s="17">
        <f>IFERROR(G271/G252,"")</f>
        <v/>
      </c>
      <c r="H272" s="17">
        <f>IFERROR(H271/H252,"")</f>
        <v/>
      </c>
      <c r="I272" s="17">
        <f>IFERROR(I271/I252,"")</f>
        <v/>
      </c>
      <c r="J272" s="17">
        <f>IFERROR(J271/J252,"")</f>
        <v/>
      </c>
      <c r="K272" s="17">
        <f>IFERROR(K271/K252,"")</f>
        <v/>
      </c>
      <c r="M272" s="3" t="inlineStr">
        <is>
          <t>Computed</t>
        </is>
      </c>
      <c r="N272" s="13" t="inlineStr">
        <is>
          <t>Medium</t>
        </is>
      </c>
      <c r="O272" s="3" t="inlineStr">
        <is>
          <t>Of EBITDA. Low or negative is the signature of heavy build-out.</t>
        </is>
      </c>
    </row>
    <row r="274">
      <c r="A274" s="5" t="inlineStr">
        <is>
          <t>S14</t>
        </is>
      </c>
      <c r="B274" s="6" t="inlineStr">
        <is>
          <t>CAPITAL ALLOCATION AND LEVERAGE</t>
        </is>
      </c>
    </row>
    <row r="275" ht="30" customHeight="1">
      <c r="A275" s="12" t="inlineStr"/>
      <c r="B275" s="11" t="inlineStr">
        <is>
          <t>Line item</t>
        </is>
      </c>
      <c r="C275" s="11" t="inlineStr">
        <is>
          <t>Unit</t>
        </is>
      </c>
      <c r="D275" s="12" t="inlineStr">
        <is>
          <t>FY2026A</t>
        </is>
      </c>
      <c r="E275" s="12" t="inlineStr">
        <is>
          <t>FY2027E</t>
        </is>
      </c>
      <c r="F275" s="12" t="inlineStr">
        <is>
          <t>FY2028E</t>
        </is>
      </c>
      <c r="G275" s="12" t="inlineStr">
        <is>
          <t>FY2029E</t>
        </is>
      </c>
      <c r="H275" s="12" t="inlineStr">
        <is>
          <t>FY2030E</t>
        </is>
      </c>
      <c r="I275" s="12" t="inlineStr">
        <is>
          <t>FY2031E</t>
        </is>
      </c>
      <c r="J275" s="12" t="inlineStr">
        <is>
          <t>FY2032E</t>
        </is>
      </c>
      <c r="K275" s="12" t="inlineStr">
        <is>
          <t>FY2033E</t>
        </is>
      </c>
      <c r="L275" s="12" t="inlineStr">
        <is>
          <t>CAGR</t>
        </is>
      </c>
      <c r="M275" s="11" t="inlineStr">
        <is>
          <t>Source</t>
        </is>
      </c>
      <c r="N275" s="12" t="inlineStr">
        <is>
          <t>Conf.</t>
        </is>
      </c>
      <c r="O275" s="11" t="inlineStr">
        <is>
          <t>Notes</t>
        </is>
      </c>
    </row>
    <row r="276">
      <c r="B276" s="18" t="inlineStr">
        <is>
          <t>Net debt (closing)</t>
        </is>
      </c>
      <c r="C276" s="16" t="inlineStr">
        <is>
          <t>Rs cr</t>
        </is>
      </c>
      <c r="D276" s="21" t="n">
        <v>185001</v>
      </c>
      <c r="E276" s="21">
        <f>D276-E271+D276*0.0744</f>
        <v/>
      </c>
      <c r="F276" s="21">
        <f>E276-F271+E276*0.0744</f>
        <v/>
      </c>
      <c r="G276" s="21">
        <f>F276-G271+F276*0.0744</f>
        <v/>
      </c>
      <c r="H276" s="21">
        <f>G276-H271+G276*0.0744</f>
        <v/>
      </c>
      <c r="I276" s="21">
        <f>H276-I271+H276*0.0744</f>
        <v/>
      </c>
      <c r="J276" s="21">
        <f>I276-J271+I276*0.0744</f>
        <v/>
      </c>
      <c r="K276" s="21">
        <f>J276-K271+J276*0.0744</f>
        <v/>
      </c>
      <c r="M276" s="3" t="inlineStr">
        <is>
          <t>Master DB aggregate</t>
        </is>
      </c>
      <c r="N276" s="13" t="inlineStr">
        <is>
          <t>Medium</t>
        </is>
      </c>
      <c r="O276" s="3" t="inlineStr">
        <is>
          <t>FY2026A of Rs 1,85,001 cr = Tata 80,144 + JSW 53,870 + JSPL 16,019 + JSL 3,040 + SAIL gross borrowings 31,928 (a PROXY - SAIL net debt is not in the database, so the aggregate is overstated by SAIL's cash). Rolls forward at unlevered FCF less interest at the 7.44% pre-tax cost of debt.</t>
        </is>
      </c>
    </row>
    <row r="277">
      <c r="B277" s="25" t="inlineStr">
        <is>
          <t>Net debt / EBITDA</t>
        </is>
      </c>
      <c r="C277" s="16" t="inlineStr">
        <is>
          <t>x</t>
        </is>
      </c>
      <c r="D277" s="32" t="n">
        <v>1.070998714565345</v>
      </c>
      <c r="E277" s="32">
        <f>IFERROR(E276/E252,"")</f>
        <v/>
      </c>
      <c r="F277" s="32">
        <f>IFERROR(F276/F252,"")</f>
        <v/>
      </c>
      <c r="G277" s="32">
        <f>IFERROR(G276/G252,"")</f>
        <v/>
      </c>
      <c r="H277" s="32">
        <f>IFERROR(H276/H252,"")</f>
        <v/>
      </c>
      <c r="I277" s="32">
        <f>IFERROR(I276/I252,"")</f>
        <v/>
      </c>
      <c r="J277" s="32">
        <f>IFERROR(J276/J252,"")</f>
        <v/>
      </c>
      <c r="K277" s="32">
        <f>IFERROR(K276/K252,"")</f>
        <v/>
      </c>
      <c r="M277" s="3" t="inlineStr">
        <is>
          <t>Computed</t>
        </is>
      </c>
      <c r="N277" s="13" t="inlineStr">
        <is>
          <t>Medium</t>
        </is>
      </c>
      <c r="O277" s="3" t="inlineStr">
        <is>
          <t>Benchmark against the producers' own stated caps: JSW cut its cap from 3.75x to 3.00x and achieved 1.81x at Mar-2026; JSPL 1.66x; JSL 0.55x; Tata 2.3x.</t>
        </is>
      </c>
    </row>
    <row r="278">
      <c r="B278" s="18" t="inlineStr">
        <is>
          <t>Headroom vs JSW's 3.0x stated cap</t>
        </is>
      </c>
      <c r="C278" s="16" t="inlineStr">
        <is>
          <t>x</t>
        </is>
      </c>
      <c r="E278" s="19">
        <f>3-E277</f>
        <v/>
      </c>
      <c r="F278" s="19">
        <f>3-F277</f>
        <v/>
      </c>
      <c r="G278" s="19">
        <f>3-G277</f>
        <v/>
      </c>
      <c r="H278" s="19">
        <f>3-H277</f>
        <v/>
      </c>
      <c r="I278" s="19">
        <f>3-I277</f>
        <v/>
      </c>
      <c r="J278" s="19">
        <f>3-J277</f>
        <v/>
      </c>
      <c r="K278" s="19">
        <f>3-K277</f>
        <v/>
      </c>
      <c r="M278" s="3" t="inlineStr">
        <is>
          <t>Computed</t>
        </is>
      </c>
      <c r="N278" s="13" t="inlineStr">
        <is>
          <t>Medium</t>
        </is>
      </c>
      <c r="O278" s="3" t="inlineStr">
        <is>
          <t>The tightest publicly stated cap among the covered producers. Negative = the industry aggregate would breach it.</t>
        </is>
      </c>
    </row>
    <row r="279">
      <c r="B279" s="25" t="inlineStr">
        <is>
          <t>Cumulative capex from FY2027E</t>
        </is>
      </c>
      <c r="C279" s="16" t="inlineStr">
        <is>
          <t>Rs cr</t>
        </is>
      </c>
      <c r="D279" s="30" t="n">
        <v>0</v>
      </c>
      <c r="E279" s="30">
        <f>D279+E270</f>
        <v/>
      </c>
      <c r="F279" s="30">
        <f>E279+F270</f>
        <v/>
      </c>
      <c r="G279" s="30">
        <f>F279+G270</f>
        <v/>
      </c>
      <c r="H279" s="30">
        <f>G279+H270</f>
        <v/>
      </c>
      <c r="I279" s="30">
        <f>H279+I270</f>
        <v/>
      </c>
      <c r="J279" s="30">
        <f>I279+J270</f>
        <v/>
      </c>
      <c r="K279" s="30">
        <f>J279+K270</f>
        <v/>
      </c>
      <c r="M279" s="3" t="inlineStr">
        <is>
          <t>Computed</t>
        </is>
      </c>
      <c r="N279" s="13" t="inlineStr">
        <is>
          <t>Medium</t>
        </is>
      </c>
      <c r="O279" s="3" t="inlineStr">
        <is>
          <t>The capital call on this industry. Context: JSPL's cumulative capex was Rs 40,450 cr through FY2026 and JSW carried forward Rs 96,888 cr of approved capex at 1-Apr-2026.</t>
        </is>
      </c>
    </row>
    <row r="281">
      <c r="A281" s="5" t="inlineStr">
        <is>
          <t>S15</t>
        </is>
      </c>
      <c r="B281" s="6" t="inlineStr">
        <is>
          <t>INDUSTRY CYCLE AND TRADE</t>
        </is>
      </c>
    </row>
    <row r="282" ht="30" customHeight="1">
      <c r="A282" s="12" t="inlineStr"/>
      <c r="B282" s="11" t="inlineStr">
        <is>
          <t>Line item</t>
        </is>
      </c>
      <c r="C282" s="11" t="inlineStr">
        <is>
          <t>Unit</t>
        </is>
      </c>
      <c r="D282" s="12" t="inlineStr">
        <is>
          <t>FY2026A</t>
        </is>
      </c>
      <c r="E282" s="12" t="inlineStr">
        <is>
          <t>FY2027E</t>
        </is>
      </c>
      <c r="F282" s="12" t="inlineStr">
        <is>
          <t>FY2028E</t>
        </is>
      </c>
      <c r="G282" s="12" t="inlineStr">
        <is>
          <t>FY2029E</t>
        </is>
      </c>
      <c r="H282" s="12" t="inlineStr">
        <is>
          <t>FY2030E</t>
        </is>
      </c>
      <c r="I282" s="12" t="inlineStr">
        <is>
          <t>FY2031E</t>
        </is>
      </c>
      <c r="J282" s="12" t="inlineStr">
        <is>
          <t>FY2032E</t>
        </is>
      </c>
      <c r="K282" s="12" t="inlineStr">
        <is>
          <t>FY2033E</t>
        </is>
      </c>
      <c r="L282" s="12" t="inlineStr">
        <is>
          <t>CAGR</t>
        </is>
      </c>
      <c r="M282" s="11" t="inlineStr">
        <is>
          <t>Source</t>
        </is>
      </c>
      <c r="N282" s="12" t="inlineStr">
        <is>
          <t>Conf.</t>
        </is>
      </c>
      <c r="O282" s="11" t="inlineStr">
        <is>
          <t>Notes</t>
        </is>
      </c>
    </row>
    <row r="283">
      <c r="B283" s="18" t="inlineStr">
        <is>
          <t>Mid-cycle margin</t>
        </is>
      </c>
      <c r="C283" s="16" t="inlineStr">
        <is>
          <t>%</t>
        </is>
      </c>
      <c r="D283" s="17" t="n">
        <v>0.195</v>
      </c>
      <c r="E283" s="17" t="n">
        <v>0.195</v>
      </c>
      <c r="F283" s="17" t="n">
        <v>0.195</v>
      </c>
      <c r="G283" s="17" t="n">
        <v>0.195</v>
      </c>
      <c r="H283" s="17" t="n">
        <v>0.195</v>
      </c>
      <c r="I283" s="17" t="n">
        <v>0.195</v>
      </c>
      <c r="J283" s="17" t="n">
        <v>0.195</v>
      </c>
      <c r="K283" s="17" t="n">
        <v>0.195</v>
      </c>
      <c r="M283" s="3" t="inlineStr">
        <is>
          <t>Derived from Master DB</t>
        </is>
      </c>
      <c r="N283" s="13" t="inlineStr">
        <is>
          <t>Medium</t>
        </is>
      </c>
      <c r="O283" s="3" t="inlineStr">
        <is>
          <t>Average of the observed FY2022 peak (26%) and FY2024 trough (13%). Close to the FY2026 actual of 17.9%, which supports the calibration.</t>
        </is>
      </c>
    </row>
    <row r="284">
      <c r="B284" s="18" t="inlineStr">
        <is>
          <t>Margin gap vs mid-cycle</t>
        </is>
      </c>
      <c r="C284" s="16" t="inlineStr">
        <is>
          <t>ppt</t>
        </is>
      </c>
      <c r="E284" s="17">
        <f>E253-E283</f>
        <v/>
      </c>
      <c r="F284" s="17">
        <f>F253-F283</f>
        <v/>
      </c>
      <c r="G284" s="17">
        <f>G253-G283</f>
        <v/>
      </c>
      <c r="H284" s="17">
        <f>H253-H283</f>
        <v/>
      </c>
      <c r="I284" s="17">
        <f>I253-I283</f>
        <v/>
      </c>
      <c r="J284" s="17">
        <f>J253-J283</f>
        <v/>
      </c>
      <c r="K284" s="17">
        <f>K253-K283</f>
        <v/>
      </c>
      <c r="M284" s="3" t="inlineStr">
        <is>
          <t>Computed</t>
        </is>
      </c>
      <c r="N284" s="13" t="inlineStr">
        <is>
          <t>Medium</t>
        </is>
      </c>
    </row>
    <row r="285">
      <c r="B285" s="25" t="inlineStr">
        <is>
          <t>CYCLE POSITION</t>
        </is>
      </c>
      <c r="C285" s="16" t="inlineStr">
        <is>
          <t>class</t>
        </is>
      </c>
      <c r="E285" s="33">
        <f>IF(E284&gt;0.04,"PEAK",IF(E284&gt;0.015,"LATE UPCYCLE",IF(E284&lt;-0.05,"TROUGH",IF(E284&lt;-0.02,"DOWNCYCLE","MID-CYCLE"))))</f>
        <v/>
      </c>
      <c r="F285" s="33">
        <f>IF(F284&gt;0.04,"PEAK",IF(F284&gt;0.015,"LATE UPCYCLE",IF(F284&lt;-0.05,"TROUGH",IF(F284&lt;-0.02,"DOWNCYCLE","MID-CYCLE"))))</f>
        <v/>
      </c>
      <c r="G285" s="33">
        <f>IF(G284&gt;0.04,"PEAK",IF(G284&gt;0.015,"LATE UPCYCLE",IF(G284&lt;-0.05,"TROUGH",IF(G284&lt;-0.02,"DOWNCYCLE","MID-CYCLE"))))</f>
        <v/>
      </c>
      <c r="H285" s="33">
        <f>IF(H284&gt;0.04,"PEAK",IF(H284&gt;0.015,"LATE UPCYCLE",IF(H284&lt;-0.05,"TROUGH",IF(H284&lt;-0.02,"DOWNCYCLE","MID-CYCLE"))))</f>
        <v/>
      </c>
      <c r="I285" s="33">
        <f>IF(I284&gt;0.04,"PEAK",IF(I284&gt;0.015,"LATE UPCYCLE",IF(I284&lt;-0.05,"TROUGH",IF(I284&lt;-0.02,"DOWNCYCLE","MID-CYCLE"))))</f>
        <v/>
      </c>
      <c r="J285" s="33">
        <f>IF(J284&gt;0.04,"PEAK",IF(J284&gt;0.015,"LATE UPCYCLE",IF(J284&lt;-0.05,"TROUGH",IF(J284&lt;-0.02,"DOWNCYCLE","MID-CYCLE"))))</f>
        <v/>
      </c>
      <c r="K285" s="33">
        <f>IF(K284&gt;0.04,"PEAK",IF(K284&gt;0.015,"LATE UPCYCLE",IF(K284&lt;-0.05,"TROUGH",IF(K284&lt;-0.02,"DOWNCYCLE","MID-CYCLE"))))</f>
        <v/>
      </c>
      <c r="M285" s="3" t="inlineStr">
        <is>
          <t>Computed</t>
        </is>
      </c>
      <c r="N285" s="13" t="inlineStr">
        <is>
          <t>Medium</t>
        </is>
      </c>
      <c r="O285" s="3" t="inlineStr">
        <is>
          <t>Use this when choosing an exit multiple. Applying a mid-cycle multiple to a peak-year EBITDA is the commonest way to overvalue a steel company.</t>
        </is>
      </c>
    </row>
    <row r="286">
      <c r="B286" s="25" t="inlineStr">
        <is>
          <t>Finished steel imports</t>
        </is>
      </c>
      <c r="C286" s="16" t="inlineStr">
        <is>
          <t>Mt</t>
        </is>
      </c>
      <c r="D286" s="26" t="n">
        <v>6.524</v>
      </c>
      <c r="E286" s="26">
        <f>E140+E210</f>
        <v/>
      </c>
      <c r="F286" s="26">
        <f>F140+F210</f>
        <v/>
      </c>
      <c r="G286" s="26">
        <f>G140+G210</f>
        <v/>
      </c>
      <c r="H286" s="26">
        <f>H140+H210</f>
        <v/>
      </c>
      <c r="I286" s="26">
        <f>I140+I210</f>
        <v/>
      </c>
      <c r="J286" s="26">
        <f>J140+J210</f>
        <v/>
      </c>
      <c r="K286" s="26">
        <f>K140+K210</f>
        <v/>
      </c>
      <c r="M286" s="3" t="inlineStr">
        <is>
          <t>Derived from Master DB</t>
        </is>
      </c>
      <c r="N286" s="13" t="inlineStr">
        <is>
          <t>Medium</t>
        </is>
      </c>
      <c r="O286" s="3" t="inlineStr">
        <is>
          <t>FY2026A of 6.524 Mt, down 31.7% from 9.551 Mt as the safeguard duty bit. NOTE THE SCENARIO SIGNS: BULL carries HIGHER imports (strong demand pulls material in); BEAR carries LOWER imports (weak demand makes them uncompetitive).</t>
        </is>
      </c>
    </row>
    <row r="287">
      <c r="B287" s="25" t="inlineStr">
        <is>
          <t>Finished steel exports</t>
        </is>
      </c>
      <c r="C287" s="16" t="inlineStr">
        <is>
          <t>Mt</t>
        </is>
      </c>
      <c r="D287" s="26" t="n">
        <v>6.602</v>
      </c>
      <c r="E287" s="26">
        <f>E140+E202</f>
        <v/>
      </c>
      <c r="F287" s="26">
        <f>F140+F202</f>
        <v/>
      </c>
      <c r="G287" s="26">
        <f>G140+G202</f>
        <v/>
      </c>
      <c r="H287" s="26">
        <f>H140+H202</f>
        <v/>
      </c>
      <c r="I287" s="26">
        <f>I140+I202</f>
        <v/>
      </c>
      <c r="J287" s="26">
        <f>J140+J202</f>
        <v/>
      </c>
      <c r="K287" s="26">
        <f>K140+K202</f>
        <v/>
      </c>
      <c r="M287" s="3" t="inlineStr">
        <is>
          <t>Computed</t>
        </is>
      </c>
      <c r="N287" s="13" t="inlineStr">
        <is>
          <t>Medium</t>
        </is>
      </c>
      <c r="O287" s="3" t="inlineStr">
        <is>
          <t>Derived as the import driver plus net exports, which guarantees the trade block reconciles to the supply balance in S7 and cannot drift from it.</t>
        </is>
      </c>
    </row>
    <row r="288">
      <c r="B288" s="18" t="inlineStr">
        <is>
          <t>Net trade position</t>
        </is>
      </c>
      <c r="C288" s="16" t="inlineStr">
        <is>
          <t>Mt</t>
        </is>
      </c>
      <c r="D288" s="20" t="n">
        <v>0.07800000000000029</v>
      </c>
      <c r="E288" s="20">
        <f>E287-E286</f>
        <v/>
      </c>
      <c r="F288" s="20">
        <f>F287-F286</f>
        <v/>
      </c>
      <c r="G288" s="20">
        <f>G287-G286</f>
        <v/>
      </c>
      <c r="H288" s="20">
        <f>H287-H286</f>
        <v/>
      </c>
      <c r="I288" s="20">
        <f>I287-I286</f>
        <v/>
      </c>
      <c r="J288" s="20">
        <f>J287-J286</f>
        <v/>
      </c>
      <c r="K288" s="20">
        <f>K287-K286</f>
        <v/>
      </c>
      <c r="M288" s="3" t="inlineStr">
        <is>
          <t>Computed</t>
        </is>
      </c>
      <c r="N288" s="13" t="inlineStr">
        <is>
          <t>Medium</t>
        </is>
      </c>
      <c r="O288" s="3" t="inlineStr">
        <is>
          <t>Positive = net exporter. Determines whether domestic price sets at IMPORT parity or EXPORT parity, which drives the whole price deck.</t>
        </is>
      </c>
    </row>
    <row r="289">
      <c r="B289" s="18" t="inlineStr">
        <is>
          <t>Import penetration</t>
        </is>
      </c>
      <c r="C289" s="16" t="inlineStr">
        <is>
          <t>%</t>
        </is>
      </c>
      <c r="D289" s="17" t="n">
        <v>0.03984365457432515</v>
      </c>
      <c r="E289" s="17">
        <f>E286/E184</f>
        <v/>
      </c>
      <c r="F289" s="17">
        <f>F286/F184</f>
        <v/>
      </c>
      <c r="G289" s="17">
        <f>G286/G184</f>
        <v/>
      </c>
      <c r="H289" s="17">
        <f>H286/H184</f>
        <v/>
      </c>
      <c r="I289" s="17">
        <f>I286/I184</f>
        <v/>
      </c>
      <c r="J289" s="17">
        <f>J286/J184</f>
        <v/>
      </c>
      <c r="K289" s="17">
        <f>K286/K184</f>
        <v/>
      </c>
      <c r="M289" s="3" t="inlineStr">
        <is>
          <t>Computed</t>
        </is>
      </c>
      <c r="N289" s="13" t="inlineStr">
        <is>
          <t>Medium</t>
        </is>
      </c>
      <c r="O289" s="3" t="inlineStr">
        <is>
          <t>FY2026A 4.0%, down from 6.3% in FY2025. Below ~5% is consistent with domestic producers retaining pricing power.</t>
        </is>
      </c>
    </row>
    <row r="290">
      <c r="B290" s="18" t="inlineStr">
        <is>
          <t>Export intensity</t>
        </is>
      </c>
      <c r="C290" s="16" t="inlineStr">
        <is>
          <t>%</t>
        </is>
      </c>
      <c r="D290" s="17" t="n">
        <v>0.0410214986951659</v>
      </c>
      <c r="E290" s="17">
        <f>E287/E209</f>
        <v/>
      </c>
      <c r="F290" s="17">
        <f>F287/F209</f>
        <v/>
      </c>
      <c r="G290" s="17">
        <f>G287/G209</f>
        <v/>
      </c>
      <c r="H290" s="17">
        <f>H287/H209</f>
        <v/>
      </c>
      <c r="I290" s="17">
        <f>I287/I209</f>
        <v/>
      </c>
      <c r="J290" s="17">
        <f>J287/J209</f>
        <v/>
      </c>
      <c r="K290" s="17">
        <f>K287/K209</f>
        <v/>
      </c>
      <c r="M290" s="3" t="inlineStr">
        <is>
          <t>Computed</t>
        </is>
      </c>
      <c r="N290" s="13" t="inlineStr">
        <is>
          <t>Medium</t>
        </is>
      </c>
      <c r="O290" s="3" t="inlineStr">
        <is>
          <t>~4%. India is fundamentally a DOMESTIC market, so world prices matter through the IMPORT channel, not the export channel.</t>
        </is>
      </c>
    </row>
    <row r="292">
      <c r="A292" s="5" t="inlineStr">
        <is>
          <t>S16</t>
        </is>
      </c>
      <c r="B292" s="6" t="inlineStr">
        <is>
          <t>ESG - GREEN STEEL TAXONOMY AND CBAM EXPOSURE</t>
        </is>
      </c>
    </row>
    <row r="293" ht="30" customHeight="1">
      <c r="A293" s="12" t="inlineStr"/>
      <c r="B293" s="11" t="inlineStr">
        <is>
          <t>Line item</t>
        </is>
      </c>
      <c r="C293" s="11" t="inlineStr">
        <is>
          <t>Unit</t>
        </is>
      </c>
      <c r="D293" s="12" t="inlineStr">
        <is>
          <t>FY2026A</t>
        </is>
      </c>
      <c r="E293" s="12" t="inlineStr">
        <is>
          <t>FY2027E</t>
        </is>
      </c>
      <c r="F293" s="12" t="inlineStr">
        <is>
          <t>FY2028E</t>
        </is>
      </c>
      <c r="G293" s="12" t="inlineStr">
        <is>
          <t>FY2029E</t>
        </is>
      </c>
      <c r="H293" s="12" t="inlineStr">
        <is>
          <t>FY2030E</t>
        </is>
      </c>
      <c r="I293" s="12" t="inlineStr">
        <is>
          <t>FY2031E</t>
        </is>
      </c>
      <c r="J293" s="12" t="inlineStr">
        <is>
          <t>FY2032E</t>
        </is>
      </c>
      <c r="K293" s="12" t="inlineStr">
        <is>
          <t>FY2033E</t>
        </is>
      </c>
      <c r="L293" s="12" t="inlineStr">
        <is>
          <t>CAGR</t>
        </is>
      </c>
      <c r="M293" s="11" t="inlineStr">
        <is>
          <t>Source</t>
        </is>
      </c>
      <c r="N293" s="12" t="inlineStr">
        <is>
          <t>Conf.</t>
        </is>
      </c>
      <c r="O293" s="34" t="inlineStr">
        <is>
          <t>Taxonomy notified 23-Dec-2024: green steel &lt; 2.2 tCO2e/tfs; 5-star &lt;1.6, 4-star 1.6-2.0, 3-star 2.0-2.2. Tata Steel's Ludhiana EAF is designed for &lt;0.3 tCO2e/t and qualifies 5-star.</t>
        </is>
      </c>
    </row>
    <row r="294">
      <c r="B294" s="35" t="inlineStr">
        <is>
          <t>Indian average emission intensity</t>
        </is>
      </c>
      <c r="C294" s="36" t="inlineStr">
        <is>
          <t>tCO2e/tfs</t>
        </is>
      </c>
      <c r="D294" s="37" t="n">
        <v>2.55</v>
      </c>
      <c r="E294" s="37" t="n">
        <v>2.55</v>
      </c>
      <c r="F294" s="37" t="n">
        <v>2.55</v>
      </c>
      <c r="G294" s="37" t="n">
        <v>2.55</v>
      </c>
      <c r="H294" s="37" t="n">
        <v>2.55</v>
      </c>
      <c r="I294" s="37" t="n">
        <v>2.55</v>
      </c>
      <c r="J294" s="37" t="n">
        <v>2.55</v>
      </c>
      <c r="K294" s="37" t="n">
        <v>2.55</v>
      </c>
      <c r="M294" s="3" t="inlineStr">
        <is>
          <t>NOT SOURCED</t>
        </is>
      </c>
      <c r="N294" s="13" t="inlineStr">
        <is>
          <t>Low</t>
        </is>
      </c>
      <c r="O294" s="3" t="inlineStr">
        <is>
          <t>USER INPUT - shaded. Not sourced; the database records no company-level emission intensity. Replace from BRSR disclosures.</t>
        </is>
      </c>
    </row>
    <row r="295">
      <c r="B295" s="35" t="inlineStr">
        <is>
          <t>EU benchmark emission intensity</t>
        </is>
      </c>
      <c r="C295" s="36" t="inlineStr">
        <is>
          <t>tCO2e/tfs</t>
        </is>
      </c>
      <c r="D295" s="37" t="n">
        <v>1.85</v>
      </c>
      <c r="E295" s="37" t="n">
        <v>1.85</v>
      </c>
      <c r="F295" s="37" t="n">
        <v>1.85</v>
      </c>
      <c r="G295" s="37" t="n">
        <v>1.85</v>
      </c>
      <c r="H295" s="37" t="n">
        <v>1.85</v>
      </c>
      <c r="I295" s="37" t="n">
        <v>1.85</v>
      </c>
      <c r="J295" s="37" t="n">
        <v>1.85</v>
      </c>
      <c r="K295" s="37" t="n">
        <v>1.85</v>
      </c>
      <c r="M295" s="3" t="inlineStr">
        <is>
          <t>NOT SOURCED</t>
        </is>
      </c>
      <c r="N295" s="13" t="inlineStr">
        <is>
          <t>Low</t>
        </is>
      </c>
      <c r="O295" s="3" t="inlineStr">
        <is>
          <t>USER INPUT - shaded.</t>
        </is>
      </c>
    </row>
    <row r="296">
      <c r="B296" s="35" t="inlineStr">
        <is>
          <t>EU carbon price</t>
        </is>
      </c>
      <c r="C296" s="36" t="inlineStr">
        <is>
          <t>EUR/tCO2</t>
        </is>
      </c>
      <c r="D296" s="37" t="n">
        <v>85</v>
      </c>
      <c r="E296" s="37" t="n">
        <v>85</v>
      </c>
      <c r="F296" s="37" t="n">
        <v>85</v>
      </c>
      <c r="G296" s="37" t="n">
        <v>85</v>
      </c>
      <c r="H296" s="37" t="n">
        <v>85</v>
      </c>
      <c r="I296" s="37" t="n">
        <v>85</v>
      </c>
      <c r="J296" s="37" t="n">
        <v>85</v>
      </c>
      <c r="K296" s="37" t="n">
        <v>85</v>
      </c>
      <c r="M296" s="3" t="inlineStr">
        <is>
          <t>NOT SOURCED</t>
        </is>
      </c>
      <c r="N296" s="13" t="inlineStr">
        <is>
          <t>Low</t>
        </is>
      </c>
      <c r="O296" s="3" t="inlineStr">
        <is>
          <t>USER INPUT - shaded. EU ETS is observable; substitute a real print.</t>
        </is>
      </c>
    </row>
    <row r="297">
      <c r="B297" s="35" t="inlineStr">
        <is>
          <t>EUR/INR</t>
        </is>
      </c>
      <c r="C297" s="36" t="inlineStr">
        <is>
          <t>Rs/EUR</t>
        </is>
      </c>
      <c r="D297" s="38" t="n">
        <v>103</v>
      </c>
      <c r="E297" s="38" t="n">
        <v>103</v>
      </c>
      <c r="F297" s="38" t="n">
        <v>103</v>
      </c>
      <c r="G297" s="38" t="n">
        <v>103</v>
      </c>
      <c r="H297" s="38" t="n">
        <v>103</v>
      </c>
      <c r="I297" s="38" t="n">
        <v>103</v>
      </c>
      <c r="J297" s="38" t="n">
        <v>103</v>
      </c>
      <c r="K297" s="38" t="n">
        <v>103</v>
      </c>
      <c r="M297" s="3" t="inlineStr">
        <is>
          <t>NOT SOURCED</t>
        </is>
      </c>
      <c r="N297" s="13" t="inlineStr">
        <is>
          <t>Low</t>
        </is>
      </c>
      <c r="O297" s="3" t="inlineStr">
        <is>
          <t>USER INPUT - shaded.</t>
        </is>
      </c>
    </row>
    <row r="298">
      <c r="B298" s="18" t="inlineStr">
        <is>
          <t>EU share of Indian exports</t>
        </is>
      </c>
      <c r="C298" s="16" t="inlineStr">
        <is>
          <t>%</t>
        </is>
      </c>
      <c r="D298" s="17" t="n">
        <v>0.344</v>
      </c>
      <c r="E298" s="17" t="n">
        <v>0.344</v>
      </c>
      <c r="F298" s="17" t="n">
        <v>0.344</v>
      </c>
      <c r="G298" s="17" t="n">
        <v>0.344</v>
      </c>
      <c r="H298" s="17" t="n">
        <v>0.344</v>
      </c>
      <c r="I298" s="17" t="n">
        <v>0.344</v>
      </c>
      <c r="J298" s="17" t="n">
        <v>0.344</v>
      </c>
      <c r="K298" s="17" t="n">
        <v>0.344</v>
      </c>
      <c r="M298" s="3" t="inlineStr">
        <is>
          <t>Master DB</t>
        </is>
      </c>
      <c r="N298" s="13" t="inlineStr">
        <is>
          <t>High</t>
        </is>
      </c>
      <c r="O298" s="3" t="inlineStr">
        <is>
          <t>Italy 16.2% + Belgium 10.9% + Spain 7.3% of FY2026 exports. This is the scale of India's CBAM exposure; the definitive regime began 01-Jan-2026.</t>
        </is>
      </c>
    </row>
    <row r="299">
      <c r="B299" s="25" t="inlineStr">
        <is>
          <t>CBAM cost</t>
        </is>
      </c>
      <c r="C299" s="16" t="inlineStr">
        <is>
          <t>Rs cr</t>
        </is>
      </c>
      <c r="E299" s="30">
        <f>E287*E298*MAX(0,E294-E295)*E296*E297/10</f>
        <v/>
      </c>
      <c r="F299" s="30">
        <f>F287*F298*MAX(0,F294-F295)*F296*F297/10</f>
        <v/>
      </c>
      <c r="G299" s="30">
        <f>G287*G298*MAX(0,G294-G295)*G296*G297/10</f>
        <v/>
      </c>
      <c r="H299" s="30">
        <f>H287*H298*MAX(0,H294-H295)*H296*H297/10</f>
        <v/>
      </c>
      <c r="I299" s="30">
        <f>I287*I298*MAX(0,I294-I295)*I296*I297/10</f>
        <v/>
      </c>
      <c r="J299" s="30">
        <f>J287*J298*MAX(0,J294-J295)*J296*J297/10</f>
        <v/>
      </c>
      <c r="K299" s="30">
        <f>K287*K298*MAX(0,K294-K295)*K296*K297/10</f>
        <v/>
      </c>
      <c r="M299" s="3" t="inlineStr">
        <is>
          <t>Computed</t>
        </is>
      </c>
      <c r="N299" s="13" t="inlineStr">
        <is>
          <t>Low</t>
        </is>
      </c>
      <c r="O299" s="3" t="inlineStr">
        <is>
          <t>Live on the shaded inputs above. ~1% of FY2033E EBITDA at these inputs - immaterial today, but it scales with the EU export share and the carbon price.</t>
        </is>
      </c>
    </row>
    <row r="301">
      <c r="A301" s="5" t="inlineStr">
        <is>
          <t>S17</t>
        </is>
      </c>
      <c r="B301" s="6" t="inlineStr">
        <is>
          <t>COMPANY BUILD - volumes, revenue and EBITDA</t>
        </is>
      </c>
    </row>
    <row r="302" ht="40" customHeight="1">
      <c r="B302" s="9" t="inlineStr">
        <is>
          <t>Company volumes grow from FY2026 actuals by that company's own tracked capacity additions x industry utilisation, so a company only gets volume if the industry can absorb it. Realisation and EBITDA/t hold each producer's observed FY2026 spread to the industry constant. NOT additive to the industry totals: Jindal Stainless is stainless, AM/NS is a 100% JV basis, RINL turnover is on an unspecified basis.</t>
        </is>
      </c>
    </row>
    <row r="303" ht="30" customHeight="1">
      <c r="A303" s="12" t="inlineStr"/>
      <c r="B303" s="11" t="inlineStr">
        <is>
          <t>Company line</t>
        </is>
      </c>
      <c r="C303" s="11" t="inlineStr">
        <is>
          <t>Unit</t>
        </is>
      </c>
      <c r="D303" s="12" t="inlineStr">
        <is>
          <t>FY2026A</t>
        </is>
      </c>
      <c r="E303" s="12" t="inlineStr">
        <is>
          <t>FY2027E</t>
        </is>
      </c>
      <c r="F303" s="12" t="inlineStr">
        <is>
          <t>FY2028E</t>
        </is>
      </c>
      <c r="G303" s="12" t="inlineStr">
        <is>
          <t>FY2029E</t>
        </is>
      </c>
      <c r="H303" s="12" t="inlineStr">
        <is>
          <t>FY2030E</t>
        </is>
      </c>
      <c r="I303" s="12" t="inlineStr">
        <is>
          <t>FY2031E</t>
        </is>
      </c>
      <c r="J303" s="12" t="inlineStr">
        <is>
          <t>FY2032E</t>
        </is>
      </c>
      <c r="K303" s="12" t="inlineStr">
        <is>
          <t>FY2033E</t>
        </is>
      </c>
      <c r="L303" s="12" t="inlineStr">
        <is>
          <t>CAGR</t>
        </is>
      </c>
      <c r="M303" s="11" t="inlineStr">
        <is>
          <t>Source</t>
        </is>
      </c>
      <c r="N303" s="12" t="inlineStr">
        <is>
          <t>Conf.</t>
        </is>
      </c>
      <c r="O303" s="11" t="inlineStr">
        <is>
          <t>Notes</t>
        </is>
      </c>
    </row>
    <row r="304">
      <c r="B304" s="18" t="inlineStr">
        <is>
          <t>Tata Steel - volume</t>
        </is>
      </c>
      <c r="C304" s="16" t="inlineStr">
        <is>
          <t>Mt</t>
        </is>
      </c>
      <c r="D304" s="20" t="n">
        <v>22.53</v>
      </c>
      <c r="E304" s="20">
        <f>D304</f>
        <v/>
      </c>
      <c r="F304" s="20">
        <f>E304</f>
        <v/>
      </c>
      <c r="G304" s="20">
        <f>F304</f>
        <v/>
      </c>
      <c r="H304" s="20">
        <f>G304+4.8*H214</f>
        <v/>
      </c>
      <c r="I304" s="20">
        <f>H304</f>
        <v/>
      </c>
      <c r="J304" s="20">
        <f>I304</f>
        <v/>
      </c>
      <c r="K304" s="20">
        <f>J304+5.0*K214</f>
        <v/>
      </c>
      <c r="L304" s="17">
        <f>IFERROR(IF(AND(ISNUMBER(D304),ISNUMBER(K304),D304&gt;0),(K304/D304)^(1/7)-1,""),"")</f>
        <v/>
      </c>
      <c r="M304" s="3" t="inlineStr">
        <is>
          <t>S08</t>
        </is>
      </c>
      <c r="N304" s="13" t="inlineStr">
        <is>
          <t>Medium</t>
        </is>
      </c>
      <c r="O304" s="3" t="inlineStr">
        <is>
          <t>Basis: India deliveries. India segment used for volume and margin. Netherlands carries a disclosed material uncertainty related to going concern (Master DB, policy P18) - the single largest identifiable downside in the universe and NOT captured in this industry model, which forecasts India only. Tracked additions: FY2030 +4.80, FY2033 +5.00</t>
        </is>
      </c>
    </row>
    <row r="305">
      <c r="B305" s="18" t="inlineStr">
        <is>
          <t>JSW Steel - volume</t>
        </is>
      </c>
      <c r="C305" s="16" t="inlineStr">
        <is>
          <t>Mt</t>
        </is>
      </c>
      <c r="D305" s="20" t="n">
        <v>28.76</v>
      </c>
      <c r="E305" s="20">
        <f>D305+2.4*E214</f>
        <v/>
      </c>
      <c r="F305" s="20">
        <f>E305</f>
        <v/>
      </c>
      <c r="G305" s="20">
        <f>F305</f>
        <v/>
      </c>
      <c r="H305" s="20">
        <f>G305+5.0*H214</f>
        <v/>
      </c>
      <c r="I305" s="20">
        <f>H305+6.0*I214</f>
        <v/>
      </c>
      <c r="J305" s="20">
        <f>I305</f>
        <v/>
      </c>
      <c r="K305" s="20">
        <f>J305</f>
        <v/>
      </c>
      <c r="L305" s="17">
        <f>IFERROR(IF(AND(ISNUMBER(D305),ISNUMBER(K305),D305&gt;0),(K305/D305)^(1/7)-1,""),"")</f>
        <v/>
      </c>
      <c r="M305" s="3" t="inlineStr">
        <is>
          <t>S09</t>
        </is>
      </c>
      <c r="N305" s="13" t="inlineStr">
        <is>
          <t>Medium</t>
        </is>
      </c>
      <c r="O305" s="3" t="inlineStr">
        <is>
          <t>Basis: India steel sales. FY2027 additions include BMM Ispat (0.90 Mtpa), an acquisition of existing capacity: it adds to JSW but NOT to national capacity. BPSL was deconsolidated from 27-Mar-2026, so FY2026 to FY2027 company volumes are not like-for-like. Tracked additions: FY2027 +2.40, FY2030 +5.00, FY2031 +6.00</t>
        </is>
      </c>
    </row>
    <row r="306">
      <c r="B306" s="18" t="inlineStr">
        <is>
          <t>SAIL - volume</t>
        </is>
      </c>
      <c r="C306" s="16" t="inlineStr">
        <is>
          <t>Mt</t>
        </is>
      </c>
      <c r="D306" s="20" t="n">
        <v>19.93</v>
      </c>
      <c r="E306" s="20">
        <f>D306</f>
        <v/>
      </c>
      <c r="F306" s="20">
        <f>E306</f>
        <v/>
      </c>
      <c r="G306" s="20">
        <f>F306+0.89*G214</f>
        <v/>
      </c>
      <c r="H306" s="20">
        <f>G306+2.65*H214</f>
        <v/>
      </c>
      <c r="I306" s="20">
        <f>H306+4.08*I214</f>
        <v/>
      </c>
      <c r="J306" s="20">
        <f>I306</f>
        <v/>
      </c>
      <c r="K306" s="20">
        <f>J306+8.0*K214</f>
        <v/>
      </c>
      <c r="L306" s="17">
        <f>IFERROR(IF(AND(ISNUMBER(D306),ISNUMBER(K306),D306&gt;0),(K306/D306)^(1/7)-1,""),"")</f>
        <v/>
      </c>
      <c r="M306" s="3" t="inlineStr">
        <is>
          <t>S10</t>
        </is>
      </c>
      <c r="N306" s="13" t="inlineStr">
        <is>
          <t>Medium</t>
        </is>
      </c>
      <c r="O306" s="3" t="inlineStr">
        <is>
          <t>Basis: Standalone sales volume. EBITDA per tonne is struck on the STANDALONE EBITDA headline over standalone sales volume. Do not pair a consolidated enterprise value with this EBITDA - see Master DB Conflict C09. Tracked additions: FY2029 +0.89, FY2030 +2.65, FY2031 +4.08, FY2033 +8.00</t>
        </is>
      </c>
    </row>
    <row r="307">
      <c r="B307" s="18" t="inlineStr">
        <is>
          <t>Jindal Steel - volume</t>
        </is>
      </c>
      <c r="C307" s="16" t="inlineStr">
        <is>
          <t>Mt</t>
        </is>
      </c>
      <c r="D307" s="20" t="n">
        <v>8.68</v>
      </c>
      <c r="E307" s="20">
        <f>D307</f>
        <v/>
      </c>
      <c r="F307" s="20">
        <f>E307</f>
        <v/>
      </c>
      <c r="G307" s="20">
        <f>F307</f>
        <v/>
      </c>
      <c r="H307" s="20">
        <f>G307</f>
        <v/>
      </c>
      <c r="I307" s="20">
        <f>H307</f>
        <v/>
      </c>
      <c r="J307" s="20">
        <f>I307</f>
        <v/>
      </c>
      <c r="K307" s="20">
        <f>J307</f>
        <v/>
      </c>
      <c r="L307" s="17">
        <f>IFERROR(IF(AND(ISNUMBER(D307),ISNUMBER(K307),D307&gt;0),(K307/D307)^(1/7)-1,""),"")</f>
        <v/>
      </c>
      <c r="M307" s="3" t="inlineStr">
        <is>
          <t>S11</t>
        </is>
      </c>
      <c r="N307" s="13" t="inlineStr">
        <is>
          <t>Medium</t>
        </is>
      </c>
      <c r="O307" s="3" t="inlineStr">
        <is>
          <t>Basis: Consolidated steel sales. Capacity rose from 9.6 to 15.6 Mtpa in FY2026, so FY2027 volume growth comes from utilising capacity already built rather than from new additions. Company guidance for FY2027 is 11.0-11.5 Mt of production against 9.25 Mt in FY2026. No tracked additions.</t>
        </is>
      </c>
    </row>
    <row r="308">
      <c r="B308" s="18" t="inlineStr">
        <is>
          <t>Jindal Stainless - volume</t>
        </is>
      </c>
      <c r="C308" s="16" t="inlineStr">
        <is>
          <t>Mt</t>
        </is>
      </c>
      <c r="D308" s="20" t="n">
        <v>2.57</v>
      </c>
      <c r="E308" s="20">
        <f>D308</f>
        <v/>
      </c>
      <c r="F308" s="20">
        <f>E308</f>
        <v/>
      </c>
      <c r="G308" s="20">
        <f>F308</f>
        <v/>
      </c>
      <c r="H308" s="20">
        <f>G308</f>
        <v/>
      </c>
      <c r="I308" s="20">
        <f>H308</f>
        <v/>
      </c>
      <c r="J308" s="20">
        <f>I308</f>
        <v/>
      </c>
      <c r="K308" s="20">
        <f>J308</f>
        <v/>
      </c>
      <c r="L308" s="17">
        <f>IFERROR(IF(AND(ISNUMBER(D308),ISNUMBER(K308),D308&gt;0),(K308/D308)^(1/7)-1,""),"")</f>
        <v/>
      </c>
      <c r="M308" s="3" t="inlineStr">
        <is>
          <t>S12</t>
        </is>
      </c>
      <c r="N308" s="13" t="inlineStr">
        <is>
          <t>Medium</t>
        </is>
      </c>
      <c r="O308" s="3" t="inlineStr">
        <is>
          <t>Basis: Consolidated deliveries. STAINLESS. Realisation of roughly Rs 1,67,000/t and EBITDA per tonne of Rs 21,634 are not comparable with carbon steel and this company is EXCLUDED from the blended industry realisation anchor. Management guided FY2027 EBITDA per tonne to Rs 18,000-20,000, i.e. BELOW the FY2026 outcome. No tracked additions.</t>
        </is>
      </c>
    </row>
    <row r="309">
      <c r="B309" s="18" t="inlineStr">
        <is>
          <t>AM/NS India - volume</t>
        </is>
      </c>
      <c r="C309" s="16" t="inlineStr">
        <is>
          <t>Mt</t>
        </is>
      </c>
      <c r="D309" s="20" t="n">
        <v>7.975</v>
      </c>
      <c r="E309" s="20">
        <f>D309</f>
        <v/>
      </c>
      <c r="F309" s="20">
        <f>E309</f>
        <v/>
      </c>
      <c r="G309" s="20">
        <f>F309+6.0*G214</f>
        <v/>
      </c>
      <c r="H309" s="20">
        <f>G309</f>
        <v/>
      </c>
      <c r="I309" s="20">
        <f>H309</f>
        <v/>
      </c>
      <c r="J309" s="20">
        <f>I309+8.2*J214</f>
        <v/>
      </c>
      <c r="K309" s="20">
        <f>J309</f>
        <v/>
      </c>
      <c r="L309" s="17">
        <f>IFERROR(IF(AND(ISNUMBER(D309),ISNUMBER(K309),D309&gt;0),(K309/D309)^(1/7)-1,""),"")</f>
        <v/>
      </c>
      <c r="M309" s="3" t="inlineStr">
        <is>
          <t>S13/S14</t>
        </is>
      </c>
      <c r="N309" s="13" t="inlineStr">
        <is>
          <t>Medium</t>
        </is>
      </c>
      <c r="O309" s="3" t="inlineStr">
        <is>
          <t>Basis: Derived FY2026 shipments (sum of calendar quarters). Unlisted 60:40 joint venture. All figures are 100% basis, USD, calendar quarters, converted at the derived FY2026 average USD/INR of 88.4. The fiscal-year figures are themselves derived by summing calendar quarters - Master DB Conflict C16. Tracked additions: FY2029 +6.00, FY2032 +8.20</t>
        </is>
      </c>
    </row>
    <row r="310">
      <c r="B310" s="18" t="inlineStr">
        <is>
          <t>RINL - volume</t>
        </is>
      </c>
      <c r="C310" s="16" t="inlineStr">
        <is>
          <t>Mt</t>
        </is>
      </c>
      <c r="D310" s="20" t="n">
        <v>4.4</v>
      </c>
      <c r="E310" s="20">
        <f>D310</f>
        <v/>
      </c>
      <c r="F310" s="20">
        <f>E310</f>
        <v/>
      </c>
      <c r="G310" s="20">
        <f>F310</f>
        <v/>
      </c>
      <c r="H310" s="20">
        <f>G310</f>
        <v/>
      </c>
      <c r="I310" s="20">
        <f>H310</f>
        <v/>
      </c>
      <c r="J310" s="20">
        <f>I310</f>
        <v/>
      </c>
      <c r="K310" s="20">
        <f>J310</f>
        <v/>
      </c>
      <c r="L310" s="17">
        <f>IFERROR(IF(AND(ISNUMBER(D310),ISNUMBER(K310),D310&gt;0),(K310/D310)^(1/7)-1,""),"")</f>
        <v/>
      </c>
      <c r="M310" s="3" t="inlineStr">
        <is>
          <t>S16</t>
        </is>
      </c>
      <c r="N310" s="13" t="inlineStr">
        <is>
          <t>Medium</t>
        </is>
      </c>
      <c r="O310" s="3" t="inlineStr">
        <is>
          <t>Basis: Standalone sales volume (issuer rounded). Unlisted and wholly Government-owned. No EBITDA, balance sheet or valuation data is publicly available, so RINL appears in the volume build only. No tracked additions.</t>
        </is>
      </c>
    </row>
    <row r="311">
      <c r="B311" s="18" t="inlineStr">
        <is>
          <t>Tata Steel - revenue</t>
        </is>
      </c>
      <c r="C311" s="16" t="inlineStr">
        <is>
          <t>Rs cr</t>
        </is>
      </c>
      <c r="D311" s="21" t="n">
        <v>140302</v>
      </c>
      <c r="E311" s="21">
        <f>E304*E225*1.038340/10</f>
        <v/>
      </c>
      <c r="F311" s="21">
        <f>F304*F225*1.038340/10</f>
        <v/>
      </c>
      <c r="G311" s="21">
        <f>G304*G225*1.038340/10</f>
        <v/>
      </c>
      <c r="H311" s="21">
        <f>H304*H225*1.038340/10</f>
        <v/>
      </c>
      <c r="I311" s="21">
        <f>I304*I225*1.038340/10</f>
        <v/>
      </c>
      <c r="J311" s="21">
        <f>J304*J225*1.038340/10</f>
        <v/>
      </c>
      <c r="K311" s="21">
        <f>K304*K225*1.038340/10</f>
        <v/>
      </c>
      <c r="L311" s="17">
        <f>IFERROR(IF(AND(ISNUMBER(D311),ISNUMBER(K311),D311&gt;0),(K311/D311)^(1/7)-1,""),"")</f>
        <v/>
      </c>
      <c r="M311" s="3" t="inlineStr">
        <is>
          <t>S08</t>
        </is>
      </c>
      <c r="N311" s="13" t="inlineStr">
        <is>
          <t>Medium</t>
        </is>
      </c>
      <c r="O311" s="3" t="inlineStr">
        <is>
          <t>FY2026 realisation Rs 62,273/t = 1.04x the industry blend, held constant.</t>
        </is>
      </c>
    </row>
    <row r="312">
      <c r="B312" s="18" t="inlineStr">
        <is>
          <t>JSW Steel - revenue</t>
        </is>
      </c>
      <c r="C312" s="16" t="inlineStr">
        <is>
          <t>Rs cr</t>
        </is>
      </c>
      <c r="D312" s="21" t="n">
        <v>174854</v>
      </c>
      <c r="E312" s="21">
        <f>E305*E225*1.013733/10</f>
        <v/>
      </c>
      <c r="F312" s="21">
        <f>F305*F225*1.013733/10</f>
        <v/>
      </c>
      <c r="G312" s="21">
        <f>G305*G225*1.013733/10</f>
        <v/>
      </c>
      <c r="H312" s="21">
        <f>H305*H225*1.013733/10</f>
        <v/>
      </c>
      <c r="I312" s="21">
        <f>I305*I225*1.013733/10</f>
        <v/>
      </c>
      <c r="J312" s="21">
        <f>J305*J225*1.013733/10</f>
        <v/>
      </c>
      <c r="K312" s="21">
        <f>K305*K225*1.013733/10</f>
        <v/>
      </c>
      <c r="L312" s="17">
        <f>IFERROR(IF(AND(ISNUMBER(D312),ISNUMBER(K312),D312&gt;0),(K312/D312)^(1/7)-1,""),"")</f>
        <v/>
      </c>
      <c r="M312" s="3" t="inlineStr">
        <is>
          <t>S09</t>
        </is>
      </c>
      <c r="N312" s="13" t="inlineStr">
        <is>
          <t>Medium</t>
        </is>
      </c>
      <c r="O312" s="3" t="inlineStr">
        <is>
          <t>FY2026 realisation Rs 60,797/t = 1.01x the industry blend, held constant.</t>
        </is>
      </c>
    </row>
    <row r="313">
      <c r="B313" s="18" t="inlineStr">
        <is>
          <t>SAIL - revenue</t>
        </is>
      </c>
      <c r="C313" s="16" t="inlineStr">
        <is>
          <t>Rs cr</t>
        </is>
      </c>
      <c r="D313" s="21" t="n">
        <v>110811</v>
      </c>
      <c r="E313" s="21">
        <f>E306*E225*0.927070/10</f>
        <v/>
      </c>
      <c r="F313" s="21">
        <f>F306*F225*0.927070/10</f>
        <v/>
      </c>
      <c r="G313" s="21">
        <f>G306*G225*0.927070/10</f>
        <v/>
      </c>
      <c r="H313" s="21">
        <f>H306*H225*0.927070/10</f>
        <v/>
      </c>
      <c r="I313" s="21">
        <f>I306*I225*0.927070/10</f>
        <v/>
      </c>
      <c r="J313" s="21">
        <f>J306*J225*0.927070/10</f>
        <v/>
      </c>
      <c r="K313" s="21">
        <f>K306*K225*0.927070/10</f>
        <v/>
      </c>
      <c r="L313" s="17">
        <f>IFERROR(IF(AND(ISNUMBER(D313),ISNUMBER(K313),D313&gt;0),(K313/D313)^(1/7)-1,""),"")</f>
        <v/>
      </c>
      <c r="M313" s="3" t="inlineStr">
        <is>
          <t>S10</t>
        </is>
      </c>
      <c r="N313" s="13" t="inlineStr">
        <is>
          <t>Medium</t>
        </is>
      </c>
      <c r="O313" s="3" t="inlineStr">
        <is>
          <t>FY2026 realisation Rs 55,600/t = 0.93x the industry blend, held constant.</t>
        </is>
      </c>
    </row>
    <row r="314">
      <c r="B314" s="18" t="inlineStr">
        <is>
          <t>Jindal Steel - revenue</t>
        </is>
      </c>
      <c r="C314" s="16" t="inlineStr">
        <is>
          <t>Rs cr</t>
        </is>
      </c>
      <c r="D314" s="21" t="n">
        <v>53225</v>
      </c>
      <c r="E314" s="21">
        <f>E307*E225*1.022428/10</f>
        <v/>
      </c>
      <c r="F314" s="21">
        <f>F307*F225*1.022428/10</f>
        <v/>
      </c>
      <c r="G314" s="21">
        <f>G307*G225*1.022428/10</f>
        <v/>
      </c>
      <c r="H314" s="21">
        <f>H307*H225*1.022428/10</f>
        <v/>
      </c>
      <c r="I314" s="21">
        <f>I307*I225*1.022428/10</f>
        <v/>
      </c>
      <c r="J314" s="21">
        <f>J307*J225*1.022428/10</f>
        <v/>
      </c>
      <c r="K314" s="21">
        <f>K307*K225*1.022428/10</f>
        <v/>
      </c>
      <c r="L314" s="17">
        <f>IFERROR(IF(AND(ISNUMBER(D314),ISNUMBER(K314),D314&gt;0),(K314/D314)^(1/7)-1,""),"")</f>
        <v/>
      </c>
      <c r="M314" s="3" t="inlineStr">
        <is>
          <t>S11</t>
        </is>
      </c>
      <c r="N314" s="13" t="inlineStr">
        <is>
          <t>Medium</t>
        </is>
      </c>
      <c r="O314" s="3" t="inlineStr">
        <is>
          <t>FY2026 realisation Rs 61,319/t = 1.02x the industry blend, held constant.</t>
        </is>
      </c>
    </row>
    <row r="315">
      <c r="B315" s="18" t="inlineStr">
        <is>
          <t>Jindal Stainless - revenue</t>
        </is>
      </c>
      <c r="C315" s="16" t="inlineStr">
        <is>
          <t>Rs cr</t>
        </is>
      </c>
      <c r="D315" s="21" t="n">
        <v>42955</v>
      </c>
      <c r="E315" s="21">
        <f>E308*E225*2.786876/10</f>
        <v/>
      </c>
      <c r="F315" s="21">
        <f>F308*F225*2.786876/10</f>
        <v/>
      </c>
      <c r="G315" s="21">
        <f>G308*G225*2.786876/10</f>
        <v/>
      </c>
      <c r="H315" s="21">
        <f>H308*H225*2.786876/10</f>
        <v/>
      </c>
      <c r="I315" s="21">
        <f>I308*I225*2.786876/10</f>
        <v/>
      </c>
      <c r="J315" s="21">
        <f>J308*J225*2.786876/10</f>
        <v/>
      </c>
      <c r="K315" s="21">
        <f>K308*K225*2.786876/10</f>
        <v/>
      </c>
      <c r="L315" s="17">
        <f>IFERROR(IF(AND(ISNUMBER(D315),ISNUMBER(K315),D315&gt;0),(K315/D315)^(1/7)-1,""),"")</f>
        <v/>
      </c>
      <c r="M315" s="3" t="inlineStr">
        <is>
          <t>S12</t>
        </is>
      </c>
      <c r="N315" s="13" t="inlineStr">
        <is>
          <t>Medium</t>
        </is>
      </c>
      <c r="O315" s="3" t="inlineStr">
        <is>
          <t>FY2026 realisation Rs 167,140/t = 2.79x the industry blend, held constant.</t>
        </is>
      </c>
    </row>
    <row r="316">
      <c r="B316" s="18" t="inlineStr">
        <is>
          <t>AM/NS India - revenue</t>
        </is>
      </c>
      <c r="C316" s="16" t="inlineStr">
        <is>
          <t>Rs cr</t>
        </is>
      </c>
      <c r="D316" s="21" t="n">
        <v>548</v>
      </c>
      <c r="E316" s="21">
        <f>E309*E225*0.011457/10</f>
        <v/>
      </c>
      <c r="F316" s="21">
        <f>F309*F225*0.011457/10</f>
        <v/>
      </c>
      <c r="G316" s="21">
        <f>G309*G225*0.011457/10</f>
        <v/>
      </c>
      <c r="H316" s="21">
        <f>H309*H225*0.011457/10</f>
        <v/>
      </c>
      <c r="I316" s="21">
        <f>I309*I225*0.011457/10</f>
        <v/>
      </c>
      <c r="J316" s="21">
        <f>J309*J225*0.011457/10</f>
        <v/>
      </c>
      <c r="K316" s="21">
        <f>K309*K225*0.011457/10</f>
        <v/>
      </c>
      <c r="L316" s="17">
        <f>IFERROR(IF(AND(ISNUMBER(D316),ISNUMBER(K316),D316&gt;0),(K316/D316)^(1/7)-1,""),"")</f>
        <v/>
      </c>
      <c r="M316" s="3" t="inlineStr">
        <is>
          <t>S13/S14</t>
        </is>
      </c>
      <c r="N316" s="13" t="inlineStr">
        <is>
          <t>Medium</t>
        </is>
      </c>
      <c r="O316" s="3" t="inlineStr">
        <is>
          <t>FY2026 realisation Rs 687/t = 0.01x the industry blend, held constant.</t>
        </is>
      </c>
    </row>
    <row r="317">
      <c r="B317" s="18" t="inlineStr">
        <is>
          <t>RINL - revenue</t>
        </is>
      </c>
      <c r="C317" s="16" t="inlineStr">
        <is>
          <t>Rs cr</t>
        </is>
      </c>
      <c r="D317" s="21" t="n">
        <v>22300</v>
      </c>
      <c r="E317" s="21">
        <f>E310*E225*0.845063/10</f>
        <v/>
      </c>
      <c r="F317" s="21">
        <f>F310*F225*0.845063/10</f>
        <v/>
      </c>
      <c r="G317" s="21">
        <f>G310*G225*0.845063/10</f>
        <v/>
      </c>
      <c r="H317" s="21">
        <f>H310*H225*0.845063/10</f>
        <v/>
      </c>
      <c r="I317" s="21">
        <f>I310*I225*0.845063/10</f>
        <v/>
      </c>
      <c r="J317" s="21">
        <f>J310*J225*0.845063/10</f>
        <v/>
      </c>
      <c r="K317" s="21">
        <f>K310*K225*0.845063/10</f>
        <v/>
      </c>
      <c r="L317" s="17">
        <f>IFERROR(IF(AND(ISNUMBER(D317),ISNUMBER(K317),D317&gt;0),(K317/D317)^(1/7)-1,""),"")</f>
        <v/>
      </c>
      <c r="M317" s="3" t="inlineStr">
        <is>
          <t>S16</t>
        </is>
      </c>
      <c r="N317" s="13" t="inlineStr">
        <is>
          <t>Medium</t>
        </is>
      </c>
      <c r="O317" s="3" t="inlineStr">
        <is>
          <t>FY2026 realisation Rs 50,681/t = 0.85x the industry blend, held constant.</t>
        </is>
      </c>
    </row>
    <row r="318">
      <c r="B318" s="18" t="inlineStr">
        <is>
          <t>Tata Steel - EBITDA/t</t>
        </is>
      </c>
      <c r="C318" s="16" t="inlineStr">
        <is>
          <t>Rs/t</t>
        </is>
      </c>
      <c r="D318" s="21" t="n">
        <v>15213</v>
      </c>
      <c r="E318" s="21">
        <f>E251+(4480)</f>
        <v/>
      </c>
      <c r="F318" s="21">
        <f>F251+(4480)</f>
        <v/>
      </c>
      <c r="G318" s="21">
        <f>G251+(4480)</f>
        <v/>
      </c>
      <c r="H318" s="21">
        <f>H251+(4480)</f>
        <v/>
      </c>
      <c r="I318" s="21">
        <f>I251+(4480)</f>
        <v/>
      </c>
      <c r="J318" s="21">
        <f>J251+(4480)</f>
        <v/>
      </c>
      <c r="K318" s="21">
        <f>K251+(4480)</f>
        <v/>
      </c>
      <c r="M318" s="3" t="inlineStr">
        <is>
          <t>S08</t>
        </is>
      </c>
      <c r="N318" s="13" t="inlineStr">
        <is>
          <t>Medium</t>
        </is>
      </c>
      <c r="O318" s="3" t="inlineStr">
        <is>
          <t>FY2026 actual Rs 15,213/t; spread to industry +4480 Rs/t held constant. Basis: India reported.</t>
        </is>
      </c>
    </row>
    <row r="319">
      <c r="B319" s="18" t="inlineStr">
        <is>
          <t>Tata Steel - EBITDA</t>
        </is>
      </c>
      <c r="C319" s="16" t="inlineStr">
        <is>
          <t>Rs cr</t>
        </is>
      </c>
      <c r="D319" s="21" t="n">
        <v>34272</v>
      </c>
      <c r="E319" s="21">
        <f>E304*E318/10</f>
        <v/>
      </c>
      <c r="F319" s="21">
        <f>F304*F318/10</f>
        <v/>
      </c>
      <c r="G319" s="21">
        <f>G304*G318/10</f>
        <v/>
      </c>
      <c r="H319" s="21">
        <f>H304*H318/10</f>
        <v/>
      </c>
      <c r="I319" s="21">
        <f>I304*I318/10</f>
        <v/>
      </c>
      <c r="J319" s="21">
        <f>J304*J318/10</f>
        <v/>
      </c>
      <c r="K319" s="21">
        <f>K304*K318/10</f>
        <v/>
      </c>
      <c r="L319" s="17">
        <f>IFERROR(IF(AND(ISNUMBER(D319),ISNUMBER(K319),D319&gt;0),(K319/D319)^(1/7)-1,""),"")</f>
        <v/>
      </c>
      <c r="M319" s="3" t="inlineStr">
        <is>
          <t>S08</t>
        </is>
      </c>
      <c r="N319" s="13" t="inlineStr">
        <is>
          <t>Medium</t>
        </is>
      </c>
    </row>
    <row r="320">
      <c r="B320" s="18" t="inlineStr">
        <is>
          <t>JSW Steel - EBITDA/t</t>
        </is>
      </c>
      <c r="C320" s="16" t="inlineStr">
        <is>
          <t>Rs/t</t>
        </is>
      </c>
      <c r="D320" s="21" t="n">
        <v>10167</v>
      </c>
      <c r="E320" s="21">
        <f>E251+(-566)</f>
        <v/>
      </c>
      <c r="F320" s="21">
        <f>F251+(-566)</f>
        <v/>
      </c>
      <c r="G320" s="21">
        <f>G251+(-566)</f>
        <v/>
      </c>
      <c r="H320" s="21">
        <f>H251+(-566)</f>
        <v/>
      </c>
      <c r="I320" s="21">
        <f>I251+(-566)</f>
        <v/>
      </c>
      <c r="J320" s="21">
        <f>J251+(-566)</f>
        <v/>
      </c>
      <c r="K320" s="21">
        <f>K251+(-566)</f>
        <v/>
      </c>
      <c r="M320" s="3" t="inlineStr">
        <is>
          <t>S09</t>
        </is>
      </c>
      <c r="N320" s="13" t="inlineStr">
        <is>
          <t>Medium</t>
        </is>
      </c>
      <c r="O320" s="3" t="inlineStr">
        <is>
          <t>FY2026 actual Rs 10,167/t; spread to industry -566 Rs/t held constant. Basis: India reported.</t>
        </is>
      </c>
    </row>
    <row r="321">
      <c r="B321" s="18" t="inlineStr">
        <is>
          <t>JSW Steel - EBITDA</t>
        </is>
      </c>
      <c r="C321" s="16" t="inlineStr">
        <is>
          <t>Rs cr</t>
        </is>
      </c>
      <c r="D321" s="21" t="n">
        <v>29240</v>
      </c>
      <c r="E321" s="21">
        <f>E305*E320/10</f>
        <v/>
      </c>
      <c r="F321" s="21">
        <f>F305*F320/10</f>
        <v/>
      </c>
      <c r="G321" s="21">
        <f>G305*G320/10</f>
        <v/>
      </c>
      <c r="H321" s="21">
        <f>H305*H320/10</f>
        <v/>
      </c>
      <c r="I321" s="21">
        <f>I305*I320/10</f>
        <v/>
      </c>
      <c r="J321" s="21">
        <f>J305*J320/10</f>
        <v/>
      </c>
      <c r="K321" s="21">
        <f>K305*K320/10</f>
        <v/>
      </c>
      <c r="L321" s="17">
        <f>IFERROR(IF(AND(ISNUMBER(D321),ISNUMBER(K321),D321&gt;0),(K321/D321)^(1/7)-1,""),"")</f>
        <v/>
      </c>
      <c r="M321" s="3" t="inlineStr">
        <is>
          <t>S09</t>
        </is>
      </c>
      <c r="N321" s="13" t="inlineStr">
        <is>
          <t>Medium</t>
        </is>
      </c>
    </row>
    <row r="322">
      <c r="B322" s="18" t="inlineStr">
        <is>
          <t>SAIL - EBITDA/t</t>
        </is>
      </c>
      <c r="C322" s="16" t="inlineStr">
        <is>
          <t>Rs/t</t>
        </is>
      </c>
      <c r="D322" s="21" t="n">
        <v>6596</v>
      </c>
      <c r="E322" s="21">
        <f>E251+(-4137)</f>
        <v/>
      </c>
      <c r="F322" s="21">
        <f>F251+(-4137)</f>
        <v/>
      </c>
      <c r="G322" s="21">
        <f>G251+(-4137)</f>
        <v/>
      </c>
      <c r="H322" s="21">
        <f>H251+(-4137)</f>
        <v/>
      </c>
      <c r="I322" s="21">
        <f>I251+(-4137)</f>
        <v/>
      </c>
      <c r="J322" s="21">
        <f>J251+(-4137)</f>
        <v/>
      </c>
      <c r="K322" s="21">
        <f>K251+(-4137)</f>
        <v/>
      </c>
      <c r="M322" s="3" t="inlineStr">
        <is>
          <t>S10</t>
        </is>
      </c>
      <c r="N322" s="13" t="inlineStr">
        <is>
          <t>Medium</t>
        </is>
      </c>
      <c r="O322" s="3" t="inlineStr">
        <is>
          <t>FY2026 actual Rs 6,596/t; spread to industry -4137 Rs/t held constant. Basis: STANDALONE reported.</t>
        </is>
      </c>
    </row>
    <row r="323">
      <c r="B323" s="18" t="inlineStr">
        <is>
          <t>SAIL - EBITDA</t>
        </is>
      </c>
      <c r="C323" s="16" t="inlineStr">
        <is>
          <t>Rs cr</t>
        </is>
      </c>
      <c r="D323" s="21" t="n">
        <v>13146</v>
      </c>
      <c r="E323" s="21">
        <f>E306*E322/10</f>
        <v/>
      </c>
      <c r="F323" s="21">
        <f>F306*F322/10</f>
        <v/>
      </c>
      <c r="G323" s="21">
        <f>G306*G322/10</f>
        <v/>
      </c>
      <c r="H323" s="21">
        <f>H306*H322/10</f>
        <v/>
      </c>
      <c r="I323" s="21">
        <f>I306*I322/10</f>
        <v/>
      </c>
      <c r="J323" s="21">
        <f>J306*J322/10</f>
        <v/>
      </c>
      <c r="K323" s="21">
        <f>K306*K322/10</f>
        <v/>
      </c>
      <c r="L323" s="17">
        <f>IFERROR(IF(AND(ISNUMBER(D323),ISNUMBER(K323),D323&gt;0),(K323/D323)^(1/7)-1,""),"")</f>
        <v/>
      </c>
      <c r="M323" s="3" t="inlineStr">
        <is>
          <t>S10</t>
        </is>
      </c>
      <c r="N323" s="13" t="inlineStr">
        <is>
          <t>Medium</t>
        </is>
      </c>
    </row>
    <row r="324">
      <c r="B324" s="18" t="inlineStr">
        <is>
          <t>Jindal Steel - EBITDA/t</t>
        </is>
      </c>
      <c r="C324" s="16" t="inlineStr">
        <is>
          <t>Rs/t</t>
        </is>
      </c>
      <c r="D324" s="21" t="n">
        <v>10482</v>
      </c>
      <c r="E324" s="21">
        <f>E251+(-251)</f>
        <v/>
      </c>
      <c r="F324" s="21">
        <f>F251+(-251)</f>
        <v/>
      </c>
      <c r="G324" s="21">
        <f>G251+(-251)</f>
        <v/>
      </c>
      <c r="H324" s="21">
        <f>H251+(-251)</f>
        <v/>
      </c>
      <c r="I324" s="21">
        <f>I251+(-251)</f>
        <v/>
      </c>
      <c r="J324" s="21">
        <f>J251+(-251)</f>
        <v/>
      </c>
      <c r="K324" s="21">
        <f>K251+(-251)</f>
        <v/>
      </c>
      <c r="M324" s="3" t="inlineStr">
        <is>
          <t>S11</t>
        </is>
      </c>
      <c r="N324" s="13" t="inlineStr">
        <is>
          <t>Medium</t>
        </is>
      </c>
      <c r="O324" s="3" t="inlineStr">
        <is>
          <t>FY2026 actual Rs 10,482/t; spread to industry -251 Rs/t held constant. Basis: Consolidated reported (adj 9,099 plus 561 FX).</t>
        </is>
      </c>
    </row>
    <row r="325">
      <c r="B325" s="18" t="inlineStr">
        <is>
          <t>Jindal Steel - EBITDA</t>
        </is>
      </c>
      <c r="C325" s="16" t="inlineStr">
        <is>
          <t>Rs cr</t>
        </is>
      </c>
      <c r="D325" s="21" t="n">
        <v>9660</v>
      </c>
      <c r="E325" s="21">
        <f>E307*E324/10</f>
        <v/>
      </c>
      <c r="F325" s="21">
        <f>F307*F324/10</f>
        <v/>
      </c>
      <c r="G325" s="21">
        <f>G307*G324/10</f>
        <v/>
      </c>
      <c r="H325" s="21">
        <f>H307*H324/10</f>
        <v/>
      </c>
      <c r="I325" s="21">
        <f>I307*I324/10</f>
        <v/>
      </c>
      <c r="J325" s="21">
        <f>J307*J324/10</f>
        <v/>
      </c>
      <c r="K325" s="21">
        <f>K307*K324/10</f>
        <v/>
      </c>
      <c r="L325" s="17">
        <f>IFERROR(IF(AND(ISNUMBER(D325),ISNUMBER(K325),D325&gt;0),(K325/D325)^(1/7)-1,""),"")</f>
        <v/>
      </c>
      <c r="M325" s="3" t="inlineStr">
        <is>
          <t>S11</t>
        </is>
      </c>
      <c r="N325" s="13" t="inlineStr">
        <is>
          <t>Medium</t>
        </is>
      </c>
    </row>
    <row r="326">
      <c r="B326" s="18" t="inlineStr">
        <is>
          <t>Jindal Stainless - EBITDA/t</t>
        </is>
      </c>
      <c r="C326" s="16" t="inlineStr">
        <is>
          <t>Rs/t</t>
        </is>
      </c>
      <c r="D326" s="21" t="n">
        <v>21634</v>
      </c>
      <c r="E326" s="21">
        <f>E251+(10901)</f>
        <v/>
      </c>
      <c r="F326" s="21">
        <f>F251+(10901)</f>
        <v/>
      </c>
      <c r="G326" s="21">
        <f>G251+(10901)</f>
        <v/>
      </c>
      <c r="H326" s="21">
        <f>H251+(10901)</f>
        <v/>
      </c>
      <c r="I326" s="21">
        <f>I251+(10901)</f>
        <v/>
      </c>
      <c r="J326" s="21">
        <f>J251+(10901)</f>
        <v/>
      </c>
      <c r="K326" s="21">
        <f>K251+(10901)</f>
        <v/>
      </c>
      <c r="M326" s="3" t="inlineStr">
        <is>
          <t>S12</t>
        </is>
      </c>
      <c r="N326" s="13" t="inlineStr">
        <is>
          <t>Medium</t>
        </is>
      </c>
      <c r="O326" s="3" t="inlineStr">
        <is>
          <t>FY2026 actual Rs 21,634/t; spread to industry +10901 Rs/t held constant. Basis: Consolidated reported.</t>
        </is>
      </c>
    </row>
    <row r="327">
      <c r="B327" s="18" t="inlineStr">
        <is>
          <t>Jindal Stainless - EBITDA</t>
        </is>
      </c>
      <c r="C327" s="16" t="inlineStr">
        <is>
          <t>Rs cr</t>
        </is>
      </c>
      <c r="D327" s="21" t="n">
        <v>5560</v>
      </c>
      <c r="E327" s="21">
        <f>E308*E326/10</f>
        <v/>
      </c>
      <c r="F327" s="21">
        <f>F308*F326/10</f>
        <v/>
      </c>
      <c r="G327" s="21">
        <f>G308*G326/10</f>
        <v/>
      </c>
      <c r="H327" s="21">
        <f>H308*H326/10</f>
        <v/>
      </c>
      <c r="I327" s="21">
        <f>I308*I326/10</f>
        <v/>
      </c>
      <c r="J327" s="21">
        <f>J308*J326/10</f>
        <v/>
      </c>
      <c r="K327" s="21">
        <f>K308*K326/10</f>
        <v/>
      </c>
      <c r="L327" s="17">
        <f>IFERROR(IF(AND(ISNUMBER(D327),ISNUMBER(K327),D327&gt;0),(K327/D327)^(1/7)-1,""),"")</f>
        <v/>
      </c>
      <c r="M327" s="3" t="inlineStr">
        <is>
          <t>S12</t>
        </is>
      </c>
      <c r="N327" s="13" t="inlineStr">
        <is>
          <t>Medium</t>
        </is>
      </c>
    </row>
    <row r="328">
      <c r="B328" s="18" t="inlineStr">
        <is>
          <t>AM/NS India - EBITDA/t</t>
        </is>
      </c>
      <c r="C328" s="16" t="inlineStr">
        <is>
          <t>Rs/t</t>
        </is>
      </c>
      <c r="D328" s="21" t="n">
        <v>86</v>
      </c>
      <c r="E328" s="21">
        <f>E251+(-10647)</f>
        <v/>
      </c>
      <c r="F328" s="21">
        <f>F251+(-10647)</f>
        <v/>
      </c>
      <c r="G328" s="21">
        <f>G251+(-10647)</f>
        <v/>
      </c>
      <c r="H328" s="21">
        <f>H251+(-10647)</f>
        <v/>
      </c>
      <c r="I328" s="21">
        <f>I251+(-10647)</f>
        <v/>
      </c>
      <c r="J328" s="21">
        <f>J251+(-10647)</f>
        <v/>
      </c>
      <c r="K328" s="21">
        <f>K251+(-10647)</f>
        <v/>
      </c>
      <c r="M328" s="3" t="inlineStr">
        <is>
          <t>S13/S14</t>
        </is>
      </c>
      <c r="N328" s="13" t="inlineStr">
        <is>
          <t>Medium</t>
        </is>
      </c>
      <c r="O328" s="3" t="inlineStr">
        <is>
          <t>FY2026 actual Rs 86/t; spread to industry -10647 Rs/t held constant. Basis: 100% basis, USD converted.</t>
        </is>
      </c>
    </row>
    <row r="329">
      <c r="B329" s="18" t="inlineStr">
        <is>
          <t>AM/NS India - EBITDA</t>
        </is>
      </c>
      <c r="C329" s="16" t="inlineStr">
        <is>
          <t>Rs cr</t>
        </is>
      </c>
      <c r="D329" s="21" t="n">
        <v>69</v>
      </c>
      <c r="E329" s="21">
        <f>E309*E328/10</f>
        <v/>
      </c>
      <c r="F329" s="21">
        <f>F309*F328/10</f>
        <v/>
      </c>
      <c r="G329" s="21">
        <f>G309*G328/10</f>
        <v/>
      </c>
      <c r="H329" s="21">
        <f>H309*H328/10</f>
        <v/>
      </c>
      <c r="I329" s="21">
        <f>I309*I328/10</f>
        <v/>
      </c>
      <c r="J329" s="21">
        <f>J309*J328/10</f>
        <v/>
      </c>
      <c r="K329" s="21">
        <f>K309*K328/10</f>
        <v/>
      </c>
      <c r="L329" s="17">
        <f>IFERROR(IF(AND(ISNUMBER(D329),ISNUMBER(K329),D329&gt;0),(K329/D329)^(1/7)-1,""),"")</f>
        <v/>
      </c>
      <c r="M329" s="3" t="inlineStr">
        <is>
          <t>S13/S14</t>
        </is>
      </c>
      <c r="N329" s="13" t="inlineStr">
        <is>
          <t>Medium</t>
        </is>
      </c>
    </row>
    <row r="331">
      <c r="A331" s="5" t="inlineStr">
        <is>
          <t>S18</t>
        </is>
      </c>
      <c r="B331" s="6" t="inlineStr">
        <is>
          <t>INDUSTRY DCF (unlevered)</t>
        </is>
      </c>
    </row>
    <row r="332" ht="30" customHeight="1">
      <c r="A332" s="12" t="inlineStr"/>
      <c r="B332" s="11" t="inlineStr">
        <is>
          <t>Line item</t>
        </is>
      </c>
      <c r="C332" s="11" t="inlineStr">
        <is>
          <t>Unit</t>
        </is>
      </c>
      <c r="D332" s="12" t="inlineStr">
        <is>
          <t>FY2026A</t>
        </is>
      </c>
      <c r="E332" s="12" t="inlineStr">
        <is>
          <t>FY2027E</t>
        </is>
      </c>
      <c r="F332" s="12" t="inlineStr">
        <is>
          <t>FY2028E</t>
        </is>
      </c>
      <c r="G332" s="12" t="inlineStr">
        <is>
          <t>FY2029E</t>
        </is>
      </c>
      <c r="H332" s="12" t="inlineStr">
        <is>
          <t>FY2030E</t>
        </is>
      </c>
      <c r="I332" s="12" t="inlineStr">
        <is>
          <t>FY2031E</t>
        </is>
      </c>
      <c r="J332" s="12" t="inlineStr">
        <is>
          <t>FY2032E</t>
        </is>
      </c>
      <c r="K332" s="12" t="inlineStr">
        <is>
          <t>FY2033E</t>
        </is>
      </c>
      <c r="L332" s="12" t="inlineStr">
        <is>
          <t>CAGR</t>
        </is>
      </c>
      <c r="M332" s="11" t="inlineStr">
        <is>
          <t>Source</t>
        </is>
      </c>
      <c r="N332" s="12" t="inlineStr">
        <is>
          <t>Conf.</t>
        </is>
      </c>
      <c r="O332" s="11" t="inlineStr">
        <is>
          <t>Notes</t>
        </is>
      </c>
    </row>
    <row r="333">
      <c r="B333" s="18" t="inlineStr">
        <is>
          <t>Discount period (mid-year convention)</t>
        </is>
      </c>
      <c r="C333" s="16" t="inlineStr">
        <is>
          <t>years</t>
        </is>
      </c>
      <c r="E333" s="27" t="n">
        <v>0.5</v>
      </c>
      <c r="F333" s="27" t="n">
        <v>1.5</v>
      </c>
      <c r="G333" s="27" t="n">
        <v>2.5</v>
      </c>
      <c r="H333" s="27" t="n">
        <v>3.5</v>
      </c>
      <c r="I333" s="27" t="n">
        <v>4.5</v>
      </c>
      <c r="J333" s="27" t="n">
        <v>5.5</v>
      </c>
      <c r="K333" s="27" t="n">
        <v>6.5</v>
      </c>
      <c r="M333" s="3" t="inlineStr">
        <is>
          <t>Convention</t>
        </is>
      </c>
      <c r="N333" s="13" t="inlineStr">
        <is>
          <t>High</t>
        </is>
      </c>
      <c r="O333" s="3" t="inlineStr">
        <is>
          <t>Cash flows arise evenly through the year, so they are discounted from the mid-point. Year-end discounting would understate value by ~5-6% at a 12% WACC.</t>
        </is>
      </c>
    </row>
    <row r="334">
      <c r="B334" s="18" t="inlineStr">
        <is>
          <t>Discount factor</t>
        </is>
      </c>
      <c r="C334" s="16" t="inlineStr">
        <is>
          <t>x</t>
        </is>
      </c>
      <c r="E334" s="28">
        <f>1/(1+E178)^E333</f>
        <v/>
      </c>
      <c r="F334" s="28">
        <f>1/(1+F178)^F333</f>
        <v/>
      </c>
      <c r="G334" s="28">
        <f>1/(1+G178)^G333</f>
        <v/>
      </c>
      <c r="H334" s="28">
        <f>1/(1+H178)^H333</f>
        <v/>
      </c>
      <c r="I334" s="28">
        <f>1/(1+I178)^I333</f>
        <v/>
      </c>
      <c r="J334" s="28">
        <f>1/(1+J178)^J333</f>
        <v/>
      </c>
      <c r="K334" s="28">
        <f>1/(1+K178)^K333</f>
        <v/>
      </c>
      <c r="M334" s="3" t="inlineStr">
        <is>
          <t>Computed</t>
        </is>
      </c>
      <c r="N334" s="13" t="inlineStr">
        <is>
          <t>Medium</t>
        </is>
      </c>
    </row>
    <row r="335">
      <c r="B335" s="18" t="inlineStr">
        <is>
          <t>PV of free cash flow</t>
        </is>
      </c>
      <c r="C335" s="16" t="inlineStr">
        <is>
          <t>Rs cr</t>
        </is>
      </c>
      <c r="E335" s="21">
        <f>E271*E334</f>
        <v/>
      </c>
      <c r="F335" s="21">
        <f>F271*F334</f>
        <v/>
      </c>
      <c r="G335" s="21">
        <f>G271*G334</f>
        <v/>
      </c>
      <c r="H335" s="21">
        <f>H271*H334</f>
        <v/>
      </c>
      <c r="I335" s="21">
        <f>I271*I334</f>
        <v/>
      </c>
      <c r="J335" s="21">
        <f>J271*J334</f>
        <v/>
      </c>
      <c r="K335" s="21">
        <f>K271*K334</f>
        <v/>
      </c>
      <c r="M335" s="3" t="inlineStr">
        <is>
          <t>Computed</t>
        </is>
      </c>
      <c r="N335" s="13" t="inlineStr">
        <is>
          <t>Medium</t>
        </is>
      </c>
    </row>
    <row r="336">
      <c r="B336" s="14" t="inlineStr">
        <is>
          <t>Sum of PV, explicit forecast</t>
        </is>
      </c>
      <c r="D336" s="30">
        <f>SUM(E335:K335)</f>
        <v/>
      </c>
      <c r="O336" s="3" t="inlineStr">
        <is>
          <t>Seven years, FY2027E-FY2033E.</t>
        </is>
      </c>
    </row>
    <row r="337">
      <c r="B337" s="14" t="inlineStr">
        <is>
          <t>Terminal EBITDA (FY2033E)</t>
        </is>
      </c>
      <c r="D337" s="30">
        <f>K252</f>
        <v/>
      </c>
      <c r="O337" s="3" t="inlineStr">
        <is>
          <t>FY2033 is a NORMALISED year - the FY2030-FY2031 capacity cohort has reached steady-state utilisation. That is the whole reason the horizon is 7 years, not 5. Check the cycle position in S15 before treating it as mid-cycle.</t>
        </is>
      </c>
    </row>
    <row r="338">
      <c r="B338" s="14" t="inlineStr">
        <is>
          <t>Exit EV/EBITDA multiple</t>
        </is>
      </c>
      <c r="D338" s="32">
        <f>K138</f>
        <v/>
      </c>
      <c r="O338" s="3" t="inlineStr">
        <is>
          <t>6.0x. NOT SOURCED - re-base on the observed median on the Comps sheet once share prices are entered.</t>
        </is>
      </c>
    </row>
    <row r="339">
      <c r="B339" s="14" t="inlineStr">
        <is>
          <t>Terminal value</t>
        </is>
      </c>
      <c r="D339" s="30">
        <f>D337*D338</f>
        <v/>
      </c>
    </row>
    <row r="340">
      <c r="B340" s="14" t="inlineStr">
        <is>
          <t>PV of terminal value</t>
        </is>
      </c>
      <c r="D340" s="30">
        <f>D339*K334</f>
        <v/>
      </c>
    </row>
    <row r="341">
      <c r="B341" s="14" t="inlineStr">
        <is>
          <t>ENTERPRISE VALUE</t>
        </is>
      </c>
      <c r="D341" s="39">
        <f>D336+D340</f>
        <v/>
      </c>
    </row>
    <row r="342">
      <c r="B342" s="14" t="inlineStr">
        <is>
          <t>Terminal value as % of EV</t>
        </is>
      </c>
      <c r="D342" s="40">
        <f>IFERROR(D340/D341,"")</f>
        <v/>
      </c>
      <c r="O342" s="3" t="inlineStr">
        <is>
          <t>IF THIS EXCEEDS ~75% the valuation is essentially an assertion about the exit multiple - which is unsourced - rather than a forecast. Watch it.</t>
        </is>
      </c>
    </row>
    <row r="344">
      <c r="A344" s="5" t="inlineStr">
        <is>
          <t>S19</t>
        </is>
      </c>
      <c r="B344" s="6" t="inlineStr">
        <is>
          <t>AUDIT CHECKS - all live, all intra-sheet</t>
        </is>
      </c>
    </row>
    <row r="345" ht="30" customHeight="1">
      <c r="A345" s="11" t="inlineStr">
        <is>
          <t>ID</t>
        </is>
      </c>
      <c r="B345" s="11" t="inlineStr">
        <is>
          <t>Validation</t>
        </is>
      </c>
      <c r="C345" s="12" t="inlineStr"/>
      <c r="D345" s="12" t="inlineStr">
        <is>
          <t>Result</t>
        </is>
      </c>
      <c r="E345" s="12" t="inlineStr"/>
      <c r="F345" s="12" t="inlineStr"/>
      <c r="G345" s="12" t="inlineStr"/>
      <c r="H345" s="12" t="inlineStr"/>
      <c r="I345" s="12" t="inlineStr"/>
      <c r="J345" s="12" t="inlineStr"/>
      <c r="K345" s="12" t="inlineStr"/>
      <c r="L345" s="12" t="inlineStr"/>
      <c r="M345" s="12" t="inlineStr"/>
      <c r="N345" s="12" t="inlineStr"/>
      <c r="O345" s="11" t="inlineStr">
        <is>
          <t>What it proves</t>
        </is>
      </c>
    </row>
    <row r="346">
      <c r="A346" s="13" t="inlineStr">
        <is>
          <t>K01</t>
        </is>
      </c>
      <c r="B346" s="18" t="inlineStr">
        <is>
          <t>Capacity strictly positive</t>
        </is>
      </c>
      <c r="D346" s="24">
        <f>IF(MIN(E197:K197)&gt;0,"PASS","FAIL")</f>
        <v/>
      </c>
      <c r="O346" s="3" t="inlineStr">
        <is>
          <t>A failure means the delivery factor or secondary additions driver is impossible.</t>
        </is>
      </c>
    </row>
    <row r="347">
      <c r="A347" s="13" t="inlineStr">
        <is>
          <t>K02</t>
        </is>
      </c>
      <c r="B347" s="18" t="inlineStr">
        <is>
          <t>Utilisation never above 100%</t>
        </is>
      </c>
      <c r="D347" s="24">
        <f>IF(MAX(E214:K214)&lt;=1,"PASS","FAIL")</f>
        <v/>
      </c>
      <c r="O347" s="3" t="inlineStr">
        <is>
          <t>Physically impossible above 100%. Guarded by the MIN() ceiling in S7.</t>
        </is>
      </c>
    </row>
    <row r="348">
      <c r="A348" s="13" t="inlineStr">
        <is>
          <t>K03</t>
        </is>
      </c>
      <c r="B348" s="18" t="inlineStr">
        <is>
          <t>Utilisation never above the practical maximum</t>
        </is>
      </c>
      <c r="D348" s="24">
        <f>IF(MAX(E214:K214)&lt;=MAX(E207:K207)+0.0001,"PASS","FAIL")</f>
        <v/>
      </c>
      <c r="O348" s="3" t="inlineStr">
        <is>
          <t>Confirms the ceiling in S7 actually binds where it should.</t>
        </is>
      </c>
    </row>
    <row r="349">
      <c r="A349" s="13" t="inlineStr">
        <is>
          <t>K04</t>
        </is>
      </c>
      <c r="B349" s="18" t="inlineStr">
        <is>
          <t>Utilisation above a 55% plausibility floor</t>
        </is>
      </c>
      <c r="D349" s="24">
        <f>IF(MIN(E214:K214)&gt;=0.55,"PASS","WARN")</f>
        <v/>
      </c>
      <c r="O349" s="3" t="inlineStr">
        <is>
          <t>Below 55% implies mass idling the model does not represent.</t>
        </is>
      </c>
    </row>
    <row r="350">
      <c r="A350" s="13" t="inlineStr">
        <is>
          <t>K05</t>
        </is>
      </c>
      <c r="B350" s="18" t="inlineStr">
        <is>
          <t>SUPPLY IDENTITY closes in every year</t>
        </is>
      </c>
      <c r="D350" s="24">
        <f>IF(SUMPRODUCT(ABS(E204:K204-(E184:K184+E202:K202+E203:K203)))&lt;0.05,"PASS","FAIL")</f>
        <v/>
      </c>
      <c r="O350" s="3" t="inlineStr">
        <is>
          <t>THE MOST IMPORTANT CHECK. This is the JPC's own identity. A failure means the demand and trade blocks have drifted apart and everything downstream is wrong.</t>
        </is>
      </c>
    </row>
    <row r="351">
      <c r="A351" s="13" t="inlineStr">
        <is>
          <t>K06</t>
        </is>
      </c>
      <c r="B351" s="18" t="inlineStr">
        <is>
          <t>FY2026A identity ties to reported actuals</t>
        </is>
      </c>
      <c r="D351" s="24">
        <f>IF(ABS(D204-(D184+D202+D203))&lt;0.01,"PASS","FAIL")</f>
        <v/>
      </c>
      <c r="O351" s="3" t="inlineStr">
        <is>
          <t>163.74 + 0.078 - 2.88 = 160.94 = reported FY2026 finished production. Proves the base year is consistent before any forecasting.</t>
        </is>
      </c>
    </row>
    <row r="352">
      <c r="A352" s="13" t="inlineStr">
        <is>
          <t>K07</t>
        </is>
      </c>
      <c r="B352" s="18" t="inlineStr">
        <is>
          <t>Crude production at least finished production</t>
        </is>
      </c>
      <c r="D352" s="24">
        <f>IF(SUMPRODUCT(--(E208:K208&lt;E209:K209))=0,"PASS","FAIL")</f>
        <v/>
      </c>
      <c r="O352" s="3" t="inlineStr">
        <is>
          <t>Yield loss means crude must exceed finished.</t>
        </is>
      </c>
    </row>
    <row r="353">
      <c r="A353" s="13" t="inlineStr">
        <is>
          <t>K08</t>
        </is>
      </c>
      <c r="B353" s="18" t="inlineStr">
        <is>
          <t>MARGIN BRIDGE complete (no residual)</t>
        </is>
      </c>
      <c r="D353" s="24">
        <f>IF(SUMPRODUCT(ABS(E256:K256-(E251:K251-$D$251)))&lt;5,"PASS","FAIL")</f>
        <v/>
      </c>
      <c r="O353" s="3" t="inlineStr">
        <is>
          <t>Proves the price and cost effects fully explain the EBITDA/t change.</t>
        </is>
      </c>
    </row>
    <row r="354">
      <c r="A354" s="13" t="inlineStr">
        <is>
          <t>K09</t>
        </is>
      </c>
      <c r="B354" s="18" t="inlineStr">
        <is>
          <t>EBITDA = production x EBITDA/t / 10 (unit bridge)</t>
        </is>
      </c>
      <c r="D354" s="24">
        <f>IF(SUMPRODUCT(ABS(E252:K252-E209:K209*E251:K251/10))&lt;1,"PASS","FAIL")</f>
        <v/>
      </c>
      <c r="O354" s="3" t="inlineStr">
        <is>
          <t>Unit-consistency on the Rs/t to Rs crore bridge. Factor-of-ten errors hide here.</t>
        </is>
      </c>
    </row>
    <row r="355">
      <c r="A355" s="13" t="inlineStr">
        <is>
          <t>K10</t>
        </is>
      </c>
      <c r="B355" s="18" t="inlineStr">
        <is>
          <t>Revenue = production x realisation / 10</t>
        </is>
      </c>
      <c r="D355" s="24">
        <f>IF(SUMPRODUCT(ABS(E250:K250-E209:K209*E225:K225/10))&lt;1,"PASS","FAIL")</f>
        <v/>
      </c>
      <c r="O355" s="3" t="inlineStr">
        <is>
          <t>Same unit bridge on revenue.</t>
        </is>
      </c>
    </row>
    <row r="356">
      <c r="A356" s="13" t="inlineStr">
        <is>
          <t>K11</t>
        </is>
      </c>
      <c r="B356" s="18" t="inlineStr">
        <is>
          <t>EBITDA/t = realisation less cash cost</t>
        </is>
      </c>
      <c r="D356" s="24">
        <f>IF(SUMPRODUCT(ABS(E251:K251-(E225:K225-E242:K242)))&lt;1,"PASS","FAIL")</f>
        <v/>
      </c>
      <c r="O356" s="3" t="inlineStr">
        <is>
          <t>Confirms EBITDA is a spread, not a margin applied to revenue.</t>
        </is>
      </c>
    </row>
    <row r="357">
      <c r="A357" s="13" t="inlineStr">
        <is>
          <t>K12</t>
        </is>
      </c>
      <c r="B357" s="18" t="inlineStr">
        <is>
          <t>Margin within the observed -7% to +26% envelope</t>
        </is>
      </c>
      <c r="D357" s="24">
        <f>IF(AND(MIN(E253:K253)&gt;=-0.07,MAX(E253:K253)&lt;=0.26),"PASS","WARN")</f>
        <v/>
      </c>
      <c r="O357" s="3" t="inlineStr">
        <is>
          <t>FY2022 peak and SAIL's FY2016 worst observation. A WARN is EXPECTED in the Stress Case, which deliberately breaches the floor at -9.2%.</t>
        </is>
      </c>
    </row>
    <row r="358">
      <c r="A358" s="13" t="inlineStr">
        <is>
          <t>K13</t>
        </is>
      </c>
      <c r="B358" s="18" t="inlineStr">
        <is>
          <t>Cash cost and realisation both positive</t>
        </is>
      </c>
      <c r="D358" s="24">
        <f>IF(AND(MIN(E242:K242)&gt;0,MIN(E225:K225)&gt;0),"PASS","FAIL")</f>
        <v/>
      </c>
      <c r="O358" s="3" t="inlineStr">
        <is>
          <t>Guards against the price adjustment factor driving realisation to zero.</t>
        </is>
      </c>
    </row>
    <row r="359">
      <c r="A359" s="13" t="inlineStr">
        <is>
          <t>K14</t>
        </is>
      </c>
      <c r="B359" s="18" t="inlineStr">
        <is>
          <t>Price adjustment factor within 0.85x-1.15x</t>
        </is>
      </c>
      <c r="D359" s="24">
        <f>IF(AND(MIN(E224:K224)&gt;=0.85,MAX(E224:K224)&lt;=1.15),"PASS","WARN")</f>
        <v/>
      </c>
      <c r="O359" s="3" t="inlineStr">
        <is>
          <t>The utilisation feedback should modulate price, not dominate it.</t>
        </is>
      </c>
    </row>
    <row r="360">
      <c r="A360" s="13" t="inlineStr">
        <is>
          <t>K15</t>
        </is>
      </c>
      <c r="B360" s="18" t="inlineStr">
        <is>
          <t>Cash tax never negative</t>
        </is>
      </c>
      <c r="D360" s="24">
        <f>IF(MIN(E266:K266)&gt;=0,"PASS","FAIL")</f>
        <v/>
      </c>
      <c r="O360" s="3" t="inlineStr">
        <is>
          <t>Floored at zero.</t>
        </is>
      </c>
    </row>
    <row r="361">
      <c r="A361" s="13" t="inlineStr">
        <is>
          <t>K16</t>
        </is>
      </c>
      <c r="B361" s="18" t="inlineStr">
        <is>
          <t>Net working capital positive</t>
        </is>
      </c>
      <c r="D361" s="24">
        <f>IF(MIN(E261:K261)&gt;0,"PASS","FAIL")</f>
        <v/>
      </c>
      <c r="O361" s="3" t="inlineStr">
        <is>
          <t>Negative would be a sign error.</t>
        </is>
      </c>
    </row>
    <row r="362">
      <c r="A362" s="13" t="inlineStr">
        <is>
          <t>K17</t>
        </is>
      </c>
      <c r="B362" s="18" t="inlineStr">
        <is>
          <t>Imports and exports non-negative</t>
        </is>
      </c>
      <c r="D362" s="24">
        <f>IF(AND(MIN(E286:K286)&gt;=0,MIN(E287:K287)&gt;=0),"PASS","FAIL")</f>
        <v/>
      </c>
      <c r="O362" s="3" t="inlineStr">
        <is>
          <t>A negative export volume means the net-export driver has overwhelmed imports.</t>
        </is>
      </c>
    </row>
    <row r="363">
      <c r="A363" s="13" t="inlineStr">
        <is>
          <t>K18</t>
        </is>
      </c>
      <c r="B363" s="18" t="inlineStr">
        <is>
          <t>Trade reconciles to the supply balance</t>
        </is>
      </c>
      <c r="D363" s="24">
        <f>IF(SUMPRODUCT(ABS((E287:K287-E286:K286)-E202:K202))&lt;0.05,"PASS","FAIL")</f>
        <v/>
      </c>
      <c r="O363" s="3" t="inlineStr">
        <is>
          <t>Exports less imports must equal net exports (before any ceiling shortfall).</t>
        </is>
      </c>
    </row>
    <row r="364">
      <c r="A364" s="13" t="inlineStr">
        <is>
          <t>K19</t>
        </is>
      </c>
      <c r="B364" s="18" t="inlineStr">
        <is>
          <t>Import penetration below 20%</t>
        </is>
      </c>
      <c r="D364" s="24">
        <f>IF(MAX(E289:K289)&lt;0.20,"PASS","WARN")</f>
        <v/>
      </c>
      <c r="O364" s="3" t="inlineStr">
        <is>
          <t>Historical maximum in the database is 6.3% (FY2025).</t>
        </is>
      </c>
    </row>
    <row r="365">
      <c r="A365" s="13" t="inlineStr">
        <is>
          <t>K20</t>
        </is>
      </c>
      <c r="B365" s="18" t="inlineStr">
        <is>
          <t>FY2031E capacity within 10% of the 300 Mtpa policy target</t>
        </is>
      </c>
      <c r="D365" s="24">
        <f>IF(ABS(I198-1)&lt;0.10,"PASS","WARN")</f>
        <v/>
      </c>
      <c r="O365" s="3" t="inlineStr">
        <is>
          <t>An external validation, not a constraint. A WARN in Bear or Stress is expected.</t>
        </is>
      </c>
    </row>
    <row r="366">
      <c r="A366" s="13" t="inlineStr">
        <is>
          <t>K21</t>
        </is>
      </c>
      <c r="B366" s="18" t="inlineStr">
        <is>
          <t>Terminal value below 75% of EV</t>
        </is>
      </c>
      <c r="D366" s="24">
        <f>IF(IFERROR(D342,0)&lt;0.75,"PASS","WARN")</f>
        <v/>
      </c>
      <c r="O366" s="3" t="inlineStr">
        <is>
          <t>Above 75% the valuation is an exit-multiple assertion, not a forecast.</t>
        </is>
      </c>
    </row>
    <row r="367">
      <c r="A367" s="13" t="inlineStr">
        <is>
          <t>K22</t>
        </is>
      </c>
      <c r="B367" s="18" t="inlineStr">
        <is>
          <t>Discount factors strictly decreasing</t>
        </is>
      </c>
      <c r="D367" s="24">
        <f>IF(SUMPRODUCT(--(E334:J334&gt;F334:K334))=6,"PASS","FAIL")</f>
        <v/>
      </c>
      <c r="O367" s="3" t="inlineStr">
        <is>
          <t>Confirms mid-year discounting is applied consistently.</t>
        </is>
      </c>
    </row>
    <row r="368">
      <c r="A368" s="13" t="inlineStr">
        <is>
          <t>K23</t>
        </is>
      </c>
      <c r="B368" s="18" t="inlineStr">
        <is>
          <t>Every active driver resolved to a number</t>
        </is>
      </c>
      <c r="D368" s="24">
        <f>IF(COUNT(E120:K145)=182,"PASS","FAIL")</f>
        <v/>
      </c>
      <c r="O368" s="3" t="inlineStr">
        <is>
          <t>Confirms every INDEX lookup resolved. A failure means a driver row is missing a scenario or the scenario number is out of range.</t>
        </is>
      </c>
    </row>
    <row r="369">
      <c r="A369" s="13" t="inlineStr">
        <is>
          <t>K24</t>
        </is>
      </c>
      <c r="B369" s="18" t="inlineStr">
        <is>
          <t>Scenario number is 1-4</t>
        </is>
      </c>
      <c r="D369" s="24">
        <f>IF(AND($D$8&gt;=1,$D$8&lt;=4),"PASS","FAIL")</f>
        <v/>
      </c>
      <c r="O369" s="3" t="inlineStr">
        <is>
          <t>Data validation prevents this, but the check is a backstop.</t>
        </is>
      </c>
    </row>
    <row r="370">
      <c r="A370" s="13" t="inlineStr">
        <is>
          <t>K25</t>
        </is>
      </c>
      <c r="B370" s="18" t="inlineStr">
        <is>
          <t>No forecast year blank in the core EBITDA line</t>
        </is>
      </c>
      <c r="D370" s="24">
        <f>IF(COUNT(E252:K252)=7,"PASS","FAIL")</f>
        <v/>
      </c>
      <c r="O370" s="3" t="inlineStr">
        <is>
          <t>Catches a deleted column or a broken reference.</t>
        </is>
      </c>
    </row>
    <row r="371">
      <c r="A371" s="13" t="inlineStr">
        <is>
          <t>K26</t>
        </is>
      </c>
      <c r="B371" s="18" t="inlineStr">
        <is>
          <t>NO CROSS-SHEET REFERENCES ANYWHERE ON THIS SHEET</t>
        </is>
      </c>
      <c r="D371" s="24">
        <f>"PASS - by construction"</f>
        <v/>
      </c>
      <c r="O371" s="3" t="inlineStr">
        <is>
          <t>Verified at build time by qc_model.py, which scans every formula and fails if any contains a '!' sheet reference. This is what makes the sheet safe to copy-paste.</t>
        </is>
      </c>
    </row>
    <row r="372">
      <c r="B372" s="6" t="inlineStr">
        <is>
          <t>OVERALL</t>
        </is>
      </c>
      <c r="D372" s="10">
        <f>IF(COUNTIF(D346:D371,"FAIL")&gt;0,"FAIL",IF(COUNTIF(D346:D371,"*WARN*")&gt;0,"PASS WITH WARNINGS","ALL PASS"))</f>
        <v/>
      </c>
      <c r="O372" s="3" t="inlineStr">
        <is>
          <t>WARN is expected in Bear and Stress: K12 and K20 are deliberately breached by design in those scenarios. Any FAIL must be investigated.</t>
        </is>
      </c>
    </row>
  </sheetData>
  <dataValidations count="1">
    <dataValidation sqref="D8" showDropDown="0" showInputMessage="0" showErrorMessage="0" allowBlank="0" errorTitle="Invalid scenario" error="Enter 1, 2, 3 or 4." type="list">
      <formula1>"1,2,3,4"</formula1>
    </dataValidation>
  </dataValidations>
  <printOptions horizontalCentered="1"/>
  <pageMargins left="0.75" right="0.75" top="1" bottom="1" header="0.5" footer="0.5"/>
  <pageSetup orientation="landscape" fitToHeight="0" fitToWidth="1"/>
</worksheet>
</file>

<file path=xl/worksheets/sheet3.xml><?xml version="1.0" encoding="utf-8"?>
<worksheet xmlns="http://schemas.openxmlformats.org/spreadsheetml/2006/main">
  <sheetPr>
    <tabColor rgb="001F3864"/>
    <outlinePr summaryBelow="1" summaryRight="1"/>
    <pageSetUpPr fitToPage="1"/>
  </sheetPr>
  <dimension ref="A2:H28"/>
  <sheetViews>
    <sheetView showGridLines="0" workbookViewId="0">
      <selection activeCell="A1" sqref="A1"/>
    </sheetView>
  </sheetViews>
  <sheetFormatPr baseColWidth="8" defaultRowHeight="15"/>
  <cols>
    <col width="3" customWidth="1" min="1" max="1"/>
    <col width="46" customWidth="1" min="2" max="2"/>
    <col width="14" customWidth="1" min="3" max="3"/>
    <col width="16" customWidth="1" min="4" max="4"/>
    <col width="16" customWidth="1" min="5" max="5"/>
    <col width="16" customWidth="1" min="6" max="6"/>
    <col width="16" customWidth="1" min="7" max="7"/>
    <col width="108" customWidth="1" min="8" max="8"/>
  </cols>
  <sheetData>
    <row r="2" ht="19" customHeight="1">
      <c r="B2" s="1" t="inlineStr">
        <is>
          <t>SCENARIO COMPARISON</t>
        </is>
      </c>
    </row>
    <row r="3">
      <c r="B3" s="2" t="inlineStr">
        <is>
          <t>FY2033E outcomes on all four scenarios. STATIC VALUES - computed at build time by the same arithmetic the Model sheet implements.</t>
        </is>
      </c>
    </row>
    <row r="4">
      <c r="B4" s="3" t="inlineStr">
        <is>
          <t>Excel can only display one scenario at a time, so this table is values, not formulas. To reproduce any column, set the scenario cell on the Model sheet and read the FY2033E column. This sheet is deliberately formula-free so it is completely safe to paste.</t>
        </is>
      </c>
    </row>
    <row r="5">
      <c r="B5" s="3" t="inlineStr"/>
    </row>
    <row r="6" ht="30" customHeight="1">
      <c r="A6" s="12" t="inlineStr"/>
      <c r="B6" s="11" t="inlineStr">
        <is>
          <t>FY2033E metric</t>
        </is>
      </c>
      <c r="C6" s="12" t="inlineStr">
        <is>
          <t>Unit</t>
        </is>
      </c>
      <c r="D6" s="12" t="inlineStr">
        <is>
          <t>Base Case</t>
        </is>
      </c>
      <c r="E6" s="12" t="inlineStr">
        <is>
          <t>Bull Case</t>
        </is>
      </c>
      <c r="F6" s="12" t="inlineStr">
        <is>
          <t>Bear Case</t>
        </is>
      </c>
      <c r="G6" s="12" t="inlineStr">
        <is>
          <t>Stress Case</t>
        </is>
      </c>
      <c r="H6" s="11" t="inlineStr">
        <is>
          <t>Commentary</t>
        </is>
      </c>
    </row>
    <row r="7">
      <c r="B7" s="14" t="inlineStr">
        <is>
          <t>Apparent consumption</t>
        </is>
      </c>
      <c r="C7" s="16" t="inlineStr">
        <is>
          <t>Mt</t>
        </is>
      </c>
      <c r="D7" s="27" t="n">
        <v>268.7425318626867</v>
      </c>
      <c r="E7" s="27" t="n">
        <v>299.4510608127819</v>
      </c>
      <c r="F7" s="27" t="n">
        <v>243.7266569324859</v>
      </c>
      <c r="G7" s="27" t="n">
        <v>229.4387110031682</v>
      </c>
      <c r="H7" s="3" t="inlineStr">
        <is>
          <t>Demand is the least contested part of the model: even Stress grows consumption, because Indian demand has contracted only once (FY2021) in twelve years.</t>
        </is>
      </c>
    </row>
    <row r="8">
      <c r="B8" s="14" t="inlineStr">
        <is>
          <t>Crude steel production</t>
        </is>
      </c>
      <c r="C8" s="16" t="inlineStr">
        <is>
          <t>Mt</t>
        </is>
      </c>
      <c r="D8" s="27" t="n">
        <v>285.4250595943017</v>
      </c>
      <c r="E8" s="27" t="n">
        <v>314.4134564277314</v>
      </c>
      <c r="F8" s="27" t="n">
        <v>263.7879897791101</v>
      </c>
      <c r="G8" s="27" t="n">
        <v>237.3869626863361</v>
      </c>
      <c r="H8" s="3" t="inlineStr"/>
    </row>
    <row r="9">
      <c r="B9" s="14" t="inlineStr">
        <is>
          <t>Crude steel capacity</t>
        </is>
      </c>
      <c r="C9" s="16" t="inlineStr">
        <is>
          <t>Mtpa</t>
        </is>
      </c>
      <c r="D9" s="27" t="n">
        <v>339.977</v>
      </c>
      <c r="E9" s="27" t="n">
        <v>357.8390000000001</v>
      </c>
      <c r="F9" s="27" t="n">
        <v>308.434</v>
      </c>
      <c r="G9" s="27" t="n">
        <v>275.891</v>
      </c>
      <c r="H9" s="3" t="inlineStr">
        <is>
          <t>Scenario-dependent through the delivery factor and secondary residual, but the range is narrow relative to the price range.</t>
        </is>
      </c>
    </row>
    <row r="10">
      <c r="B10" s="14" t="inlineStr">
        <is>
          <t>Capacity utilisation</t>
        </is>
      </c>
      <c r="C10" s="16" t="inlineStr">
        <is>
          <t>%</t>
        </is>
      </c>
      <c r="D10" s="17" t="n">
        <v>0.8395422619597844</v>
      </c>
      <c r="E10" s="17" t="n">
        <v>0.8786450231185852</v>
      </c>
      <c r="F10" s="17" t="n">
        <v>0.8552493881320157</v>
      </c>
      <c r="G10" s="17" t="n">
        <v>0.8604375013550138</v>
      </c>
      <c r="H10" s="3" t="inlineStr">
        <is>
          <t>Counter-intuitively HIGHEST in Stress, because capacity additions are cut harder than demand falls.</t>
        </is>
      </c>
    </row>
    <row r="11">
      <c r="B11" s="14" t="inlineStr">
        <is>
          <t>Blended realisation</t>
        </is>
      </c>
      <c r="C11" s="16" t="inlineStr">
        <is>
          <t>Rs/t</t>
        </is>
      </c>
      <c r="D11" s="21" t="n">
        <v>69005.69014246373</v>
      </c>
      <c r="E11" s="21" t="n">
        <v>70422.29357485895</v>
      </c>
      <c r="F11" s="21" t="n">
        <v>60699.69175990533</v>
      </c>
      <c r="G11" s="21" t="n">
        <v>70221.98630476248</v>
      </c>
      <c r="H11" s="3" t="inlineStr">
        <is>
          <t>Note Stress sits ABOVE Bear: a rupee collapse to 113/US$ lifts the rupee landed cost of imports ~28% and supports domestic prices.</t>
        </is>
      </c>
    </row>
    <row r="12">
      <c r="B12" s="14" t="inlineStr">
        <is>
          <t>Cash cost per tonne</t>
        </is>
      </c>
      <c r="C12" s="16" t="inlineStr">
        <is>
          <t>Rs/t</t>
        </is>
      </c>
      <c r="D12" s="21" t="n">
        <v>57427.43830410502</v>
      </c>
      <c r="E12" s="21" t="n">
        <v>52672.57298002663</v>
      </c>
      <c r="F12" s="21" t="n">
        <v>55826.57615631484</v>
      </c>
      <c r="G12" s="21" t="n">
        <v>63253.10635298373</v>
      </c>
      <c r="H12" s="3" t="inlineStr"/>
    </row>
    <row r="13">
      <c r="B13" s="14" t="inlineStr">
        <is>
          <t>EBITDA per tonne</t>
        </is>
      </c>
      <c r="C13" s="16" t="inlineStr">
        <is>
          <t>Rs/t</t>
        </is>
      </c>
      <c r="D13" s="21" t="n">
        <v>11578.25183835872</v>
      </c>
      <c r="E13" s="21" t="n">
        <v>17749.72059483232</v>
      </c>
      <c r="F13" s="21" t="n">
        <v>4873.115603590486</v>
      </c>
      <c r="G13" s="21" t="n">
        <v>6968.879951778748</v>
      </c>
      <c r="H13" s="3" t="inlineStr"/>
    </row>
    <row r="14">
      <c r="B14" s="14" t="inlineStr">
        <is>
          <t>Industry EBITDA margin</t>
        </is>
      </c>
      <c r="C14" s="16" t="inlineStr">
        <is>
          <t>%</t>
        </is>
      </c>
      <c r="D14" s="17" t="n">
        <v>0.1677869145929149</v>
      </c>
      <c r="E14" s="17" t="n">
        <v>0.2520468972792594</v>
      </c>
      <c r="F14" s="17" t="n">
        <v>0.08028237808629832</v>
      </c>
      <c r="G14" s="17" t="n">
        <v>0.09924071246765796</v>
      </c>
      <c r="H14" s="3" t="inlineStr">
        <is>
          <t>Envelope check: Bull 25.2% against the FY2022 observed peak of ~26%; Stress 9.9% in the terminal year having troughed at -9.2% in FY2028.</t>
        </is>
      </c>
    </row>
    <row r="15">
      <c r="B15" s="14" t="inlineStr">
        <is>
          <t>Industry revenue</t>
        </is>
      </c>
      <c r="C15" s="16" t="inlineStr">
        <is>
          <t>Rs cr</t>
        </is>
      </c>
      <c r="D15" s="21" t="n">
        <v>1882078.66423876</v>
      </c>
      <c r="E15" s="21" t="n">
        <v>2122887.510301038</v>
      </c>
      <c r="F15" s="21" t="n">
        <v>1524938.063767337</v>
      </c>
      <c r="G15" s="21" t="n">
        <v>1583075.407662778</v>
      </c>
      <c r="H15" s="3" t="inlineStr"/>
    </row>
    <row r="16">
      <c r="B16" s="14" t="inlineStr">
        <is>
          <t>Industry EBITDA</t>
        </is>
      </c>
      <c r="C16" s="16" t="inlineStr">
        <is>
          <t>Rs cr</t>
        </is>
      </c>
      <c r="D16" s="21" t="n">
        <v>315788.1720937763</v>
      </c>
      <c r="E16" s="21" t="n">
        <v>535067.2102442685</v>
      </c>
      <c r="F16" s="21" t="n">
        <v>122425.6541935571</v>
      </c>
      <c r="G16" s="21" t="n">
        <v>157105.5313464822</v>
      </c>
      <c r="H16" s="3" t="inlineStr">
        <is>
          <t>The spread from Stress to Bull is ~4.4x, which is the honest measure of uncertainty in an Indian steel forecast seven years out.</t>
        </is>
      </c>
    </row>
    <row r="17">
      <c r="B17" s="14" t="inlineStr">
        <is>
          <t>Unlevered free cash flow</t>
        </is>
      </c>
      <c r="C17" s="16" t="inlineStr">
        <is>
          <t>Rs cr</t>
        </is>
      </c>
      <c r="D17" s="21" t="n">
        <v>66854.32105727059</v>
      </c>
      <c r="E17" s="21" t="n">
        <v>223085.7465614432</v>
      </c>
      <c r="F17" s="21" t="n">
        <v>-49522.09145698386</v>
      </c>
      <c r="G17" s="21" t="n">
        <v>-5039.8635435943</v>
      </c>
      <c r="H17" s="3" t="inlineStr">
        <is>
          <t>Negative in Bear and Stress: the industry cannot fund ~Rs 1.1 lakh crore a year of growth capex from a compressed margin.</t>
        </is>
      </c>
    </row>
    <row r="19">
      <c r="B19" s="4" t="inlineStr">
        <is>
          <t>MARGIN PATH BY SCENARIO (FY2027E to FY2033E)</t>
        </is>
      </c>
    </row>
    <row r="20">
      <c r="B20" s="41" t="inlineStr">
        <is>
          <t>Base Case</t>
        </is>
      </c>
      <c r="C20" s="16" t="inlineStr">
        <is>
          <t>%</t>
        </is>
      </c>
      <c r="H20" s="16" t="inlineStr">
        <is>
          <t>15.7%  15.4%  15.2%  16.7%  17.1%  17.0%  16.8%</t>
        </is>
      </c>
    </row>
    <row r="21">
      <c r="B21" s="41" t="inlineStr">
        <is>
          <t>Bull Case</t>
        </is>
      </c>
      <c r="C21" s="16" t="inlineStr">
        <is>
          <t>%</t>
        </is>
      </c>
      <c r="H21" s="16" t="inlineStr">
        <is>
          <t>19.5%  22.5%  24.2%  26.0%  25.9%  25.8%  25.2%</t>
        </is>
      </c>
    </row>
    <row r="22">
      <c r="B22" s="41" t="inlineStr">
        <is>
          <t>Bear Case</t>
        </is>
      </c>
      <c r="C22" s="16" t="inlineStr">
        <is>
          <t>%</t>
        </is>
      </c>
      <c r="H22" s="16" t="inlineStr">
        <is>
          <t>10.8%  8.4%  7.1%  8.1%  8.3%  8.4%  8.0%</t>
        </is>
      </c>
    </row>
    <row r="23">
      <c r="B23" s="41" t="inlineStr">
        <is>
          <t>Stress Case</t>
        </is>
      </c>
      <c r="C23" s="16" t="inlineStr">
        <is>
          <t>%</t>
        </is>
      </c>
      <c r="H23" s="16" t="inlineStr">
        <is>
          <t>-6.6%  -9.2%  -2.5%  3.4%  7.0%  8.9%  9.9%</t>
        </is>
      </c>
    </row>
    <row r="25" ht="39" customHeight="1">
      <c r="B25" s="4" t="inlineStr">
        <is>
          <t>Base Case</t>
        </is>
      </c>
      <c r="H25" s="3" t="inlineStr">
        <is>
          <t>RBI's FY2027 GDP of 6.6% converging to 6.5%; elasticity 1.15x tapering to 1.05x; realisation grows ~2.0% a year, BELOW inflation, reflecting structural surplus capacity. Terminal margin 16.8% against 17.9% in FY2026 - the base case assumes mild erosion, not expansion.</t>
        </is>
      </c>
    </row>
    <row r="26" ht="26" customHeight="1">
      <c r="B26" s="4" t="inlineStr">
        <is>
          <t>Bull Case</t>
        </is>
      </c>
      <c r="H26" s="3" t="inlineStr">
        <is>
          <t>GDP ~80bps above base; elasticity 1.30x tapering to 1.15x; iron ore and coking coal at the low end; INR stable at 96. Calibrated to peak at 26.0% in FY2030, matching the observed FY2022 cycle peak.</t>
        </is>
      </c>
    </row>
    <row r="27" ht="39" customHeight="1">
      <c r="B27" s="4" t="inlineStr">
        <is>
          <t>Bear Case</t>
        </is>
      </c>
      <c r="H27" s="3" t="inlineStr">
        <is>
          <t>A DEMAND-LED downturn. GDP ~100bps below base, elasticity 1.00x, and critically iron ore and coking coal FALL WITH demand to US$83/dmt and US$170/t, because a global demand shortfall is disinflationary for raw materials. A bear case with demand down AND raw materials up would be internally contradictory.</t>
        </is>
      </c>
    </row>
    <row r="28" ht="39" customHeight="1">
      <c r="B28" s="4" t="inlineStr">
        <is>
          <t>Stress Case</t>
        </is>
      </c>
      <c r="H28" s="3" t="inlineStr">
        <is>
          <t>A STAGFLATIONARY supply shock plus demand shock. Coking coal to US$300/t (~85% of the Oct-2023 peak of US$354/t), rupee to 113/US$, GDP 4.4% in FY2027, conversion inflation 7.5%. Troughs at -9.2% in FY2028. LIMITATION: no endogenous supply response, so read this as a lower bound on margin, not a central expectation.</t>
        </is>
      </c>
    </row>
  </sheetData>
  <printOptions horizontalCentered="1"/>
  <pageMargins left="0.75" right="0.75" top="1" bottom="1" header="0.5" footer="0.5"/>
  <pageSetup orientation="landscape" fitToHeight="0" fitToWidth="1"/>
</worksheet>
</file>

<file path=xl/worksheets/sheet4.xml><?xml version="1.0" encoding="utf-8"?>
<worksheet xmlns="http://schemas.openxmlformats.org/spreadsheetml/2006/main">
  <sheetPr>
    <tabColor rgb="001F3864"/>
    <outlinePr summaryBelow="1" summaryRight="1"/>
    <pageSetUpPr fitToPage="1"/>
  </sheetPr>
  <dimension ref="A2:M67"/>
  <sheetViews>
    <sheetView showGridLines="0" workbookViewId="0">
      <selection activeCell="A1" sqref="A1"/>
    </sheetView>
  </sheetViews>
  <sheetFormatPr baseColWidth="8" defaultRowHeight="15"/>
  <cols>
    <col width="3" customWidth="1" min="1" max="1"/>
    <col width="40" customWidth="1" min="2" max="2"/>
    <col width="10"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00" customWidth="1" min="13" max="13"/>
  </cols>
  <sheetData>
    <row r="2" ht="19" customHeight="1">
      <c r="B2" s="1" t="inlineStr">
        <is>
          <t>SENSITIVITY ANALYSIS</t>
        </is>
      </c>
    </row>
    <row r="3">
      <c r="B3" s="2" t="inlineStr">
        <is>
          <t>Self-contained. The two grids are LIVE intra-sheet formulas driven by the constants in section B. The tornado is static values, because each entry requires a full re-run of the chain.</t>
        </is>
      </c>
    </row>
    <row r="4">
      <c r="B4" s="3" t="inlineStr"/>
    </row>
    <row r="5">
      <c r="B5" s="6" t="inlineStr">
        <is>
          <t>A - TORNADO: FY2033E INDUSTRY EBITDA, 10% ADVERSE MOVE (Base Case)</t>
        </is>
      </c>
    </row>
    <row r="6" ht="30" customHeight="1">
      <c r="A6" s="12" t="inlineStr"/>
      <c r="B6" s="11" t="inlineStr">
        <is>
          <t>Driver</t>
        </is>
      </c>
      <c r="C6" s="12" t="inlineStr">
        <is>
          <t>ID</t>
        </is>
      </c>
      <c r="D6" s="12" t="inlineStr">
        <is>
          <t>Adverse</t>
        </is>
      </c>
      <c r="E6" s="12" t="inlineStr">
        <is>
          <t>FY2033E EBITDA (Rs cr)</t>
        </is>
      </c>
      <c r="F6" s="12" t="inlineStr">
        <is>
          <t>Change (Rs cr)</t>
        </is>
      </c>
      <c r="G6" s="12" t="inlineStr">
        <is>
          <t>Change (%)</t>
        </is>
      </c>
      <c r="H6" s="12" t="inlineStr"/>
      <c r="I6" s="12" t="inlineStr"/>
      <c r="J6" s="12" t="inlineStr"/>
      <c r="K6" s="12" t="inlineStr"/>
      <c r="L6" s="12" t="inlineStr"/>
      <c r="M6" s="11" t="inlineStr">
        <is>
          <t>Interpretation</t>
        </is>
      </c>
    </row>
    <row r="7">
      <c r="B7" s="14" t="inlineStr">
        <is>
          <t>Blended realisation</t>
        </is>
      </c>
      <c r="C7" s="13" t="inlineStr">
        <is>
          <t>D09</t>
        </is>
      </c>
      <c r="D7" s="23" t="inlineStr">
        <is>
          <t>-10%</t>
        </is>
      </c>
      <c r="E7" s="21" t="n">
        <v>127580.3056699005</v>
      </c>
      <c r="F7" s="21" t="n">
        <v>-188207.8664238758</v>
      </c>
      <c r="G7" s="17" t="n">
        <v>-0.5959940335193608</v>
      </c>
      <c r="M7" s="3" t="inlineStr">
        <is>
          <t>Dominant. A 10% realisation move is worth ~60% of industry EBITDA - the arithmetic of a 17.9% margin. Any valuation of this sector is primarily a price call.</t>
        </is>
      </c>
    </row>
    <row r="8">
      <c r="B8" s="14" t="inlineStr">
        <is>
          <t>USD/INR</t>
        </is>
      </c>
      <c r="C8" s="13" t="inlineStr">
        <is>
          <t>D03</t>
        </is>
      </c>
      <c r="D8" s="23" t="inlineStr">
        <is>
          <t>+10%</t>
        </is>
      </c>
      <c r="E8" s="21" t="n">
        <v>241003.3909986167</v>
      </c>
      <c r="F8" s="21" t="n">
        <v>-74784.78109515962</v>
      </c>
      <c r="G8" s="17" t="n">
        <v>-0.236819449567451</v>
      </c>
      <c r="M8" s="3" t="inlineStr">
        <is>
          <t>Second largest and often underestimated. Iron ore and coking coal are dollar-priced, so a 10% rupee fall lifts the whole rupee input basket at once. NOTE this isolated flex does NOT credit the offsetting import-parity support to realisation - that interaction is captured in the Stress scenario, which is why Stress is not the sum of these individual flexes.</t>
        </is>
      </c>
    </row>
    <row r="9">
      <c r="B9" s="14" t="inlineStr">
        <is>
          <t>Real GDP growth</t>
        </is>
      </c>
      <c r="C9" s="13" t="inlineStr">
        <is>
          <t>D01</t>
        </is>
      </c>
      <c r="D9" s="23" t="inlineStr">
        <is>
          <t>-10%</t>
        </is>
      </c>
      <c r="E9" s="21" t="n">
        <v>277413.618443138</v>
      </c>
      <c r="F9" s="21" t="n">
        <v>-38374.55365063832</v>
      </c>
      <c r="G9" s="17" t="n">
        <v>-0.121519920762715</v>
      </c>
      <c r="M9" s="3" t="inlineStr">
        <is>
          <t>Works through volume AND, via utilisation, price. Identical to elasticity because demand growth is their product - as intended.</t>
        </is>
      </c>
    </row>
    <row r="10">
      <c r="B10" s="14" t="inlineStr">
        <is>
          <t>Demand elasticity</t>
        </is>
      </c>
      <c r="C10" s="13" t="inlineStr">
        <is>
          <t>D02</t>
        </is>
      </c>
      <c r="D10" s="23" t="inlineStr">
        <is>
          <t>-10%</t>
        </is>
      </c>
      <c r="E10" s="21" t="n">
        <v>277413.618443138</v>
      </c>
      <c r="F10" s="21" t="n">
        <v>-38374.55365063832</v>
      </c>
      <c r="G10" s="17" t="n">
        <v>-0.121519920762715</v>
      </c>
      <c r="M10" s="3" t="inlineStr">
        <is>
          <t>Identical to GDP by construction.</t>
        </is>
      </c>
    </row>
    <row r="11">
      <c r="B11" s="14" t="inlineStr">
        <is>
          <t>Iron ore price</t>
        </is>
      </c>
      <c r="C11" s="13" t="inlineStr">
        <is>
          <t>D10</t>
        </is>
      </c>
      <c r="D11" s="23" t="inlineStr">
        <is>
          <t>+10%</t>
        </is>
      </c>
      <c r="E11" s="21" t="n">
        <v>277647.5509619861</v>
      </c>
      <c r="F11" s="21" t="n">
        <v>-38140.62113179022</v>
      </c>
      <c r="G11" s="17" t="n">
        <v>-0.1207791313997156</v>
      </c>
      <c r="M11" s="3" t="inlineStr">
        <is>
          <t>Iron ore at 45% of the raw material basket, which is 60% of cash cost.</t>
        </is>
      </c>
    </row>
    <row r="12">
      <c r="B12" s="14" t="inlineStr">
        <is>
          <t>Coking coal price</t>
        </is>
      </c>
      <c r="C12" s="13" t="inlineStr">
        <is>
          <t>D11</t>
        </is>
      </c>
      <c r="D12" s="23" t="inlineStr">
        <is>
          <t>+10%</t>
        </is>
      </c>
      <c r="E12" s="21" t="n">
        <v>279144.0121304067</v>
      </c>
      <c r="F12" s="21" t="n">
        <v>-36644.1599633696</v>
      </c>
      <c r="G12" s="17" t="n">
        <v>-0.1160403181677361</v>
      </c>
      <c r="M12" s="3" t="inlineStr">
        <is>
          <t>Coking coal, same basket weight. Ranks below iron ore only because its FY2033 level sits closer to its FY2026 reference; in Stress it dominates.</t>
        </is>
      </c>
    </row>
    <row r="13">
      <c r="B13" s="14" t="inlineStr">
        <is>
          <t>Conversion cost inflation</t>
        </is>
      </c>
      <c r="C13" s="13" t="inlineStr">
        <is>
          <t>D12</t>
        </is>
      </c>
      <c r="D13" s="23" t="inlineStr">
        <is>
          <t>+10%</t>
        </is>
      </c>
      <c r="E13" s="21" t="n">
        <v>292957.3405803083</v>
      </c>
      <c r="F13" s="21" t="n">
        <v>-22830.83151346806</v>
      </c>
      <c r="G13" s="17" t="n">
        <v>-0.07229793111658477</v>
      </c>
      <c r="M13" s="3" t="inlineStr">
        <is>
          <t>Conversion inflation on the 40% of cash cost not indexed to raw materials.</t>
        </is>
      </c>
    </row>
    <row r="14">
      <c r="B14" s="14" t="inlineStr">
        <is>
          <t>Raw material share of cash cost</t>
        </is>
      </c>
      <c r="C14" s="13" t="inlineStr">
        <is>
          <t>D13</t>
        </is>
      </c>
      <c r="D14" s="23" t="inlineStr">
        <is>
          <t>+10%</t>
        </is>
      </c>
      <c r="E14" s="21" t="n">
        <v>337081.4448778402</v>
      </c>
      <c r="F14" s="21" t="n">
        <v>21293.27278406388</v>
      </c>
      <c r="G14" s="17" t="n">
        <v>0.06742897507174728</v>
      </c>
      <c r="M14" s="3" t="inlineStr">
        <is>
          <t>POSITIVE, because raising the raw-material share shifts weight away from conversion cost, which compounds faster in the Base Case. A genuine insight: the direction of this UNSOURCED parameter's effect depends on relative escalation.</t>
        </is>
      </c>
    </row>
    <row r="15">
      <c r="B15" s="14" t="inlineStr">
        <is>
          <t>Secondary capacity additions</t>
        </is>
      </c>
      <c r="C15" s="13" t="inlineStr">
        <is>
          <t>D22</t>
        </is>
      </c>
      <c r="D15" s="23" t="inlineStr">
        <is>
          <t>+10%</t>
        </is>
      </c>
      <c r="E15" s="21" t="n">
        <v>303573.1697724306</v>
      </c>
      <c r="F15" s="21" t="n">
        <v>-12215.00232134573</v>
      </c>
      <c r="G15" s="17" t="n">
        <v>-0.03868100011585731</v>
      </c>
      <c r="M15" s="3" t="inlineStr">
        <is>
          <t>NEGATIVE - more capacity depresses utilisation, which feeds back into price. The economically correct result, and the opposite of the naive intuition.</t>
        </is>
      </c>
    </row>
    <row r="16">
      <c r="B16" s="14" t="inlineStr">
        <is>
          <t>Pipeline delivery factor</t>
        </is>
      </c>
      <c r="C16" s="13" t="inlineStr">
        <is>
          <t>D05</t>
        </is>
      </c>
      <c r="D16" s="23" t="inlineStr">
        <is>
          <t>+10%</t>
        </is>
      </c>
      <c r="E16" s="21" t="n">
        <v>309138.1230809003</v>
      </c>
      <c r="F16" s="21" t="n">
        <v>-6650.049012875999</v>
      </c>
      <c r="G16" s="17" t="n">
        <v>-0.02105857533796802</v>
      </c>
      <c r="M16" s="3" t="inlineStr">
        <is>
          <t>Same mechanism, smaller, because announced additions are a minority of total additions.</t>
        </is>
      </c>
    </row>
    <row r="17">
      <c r="B17" s="7" t="inlineStr">
        <is>
          <t>Base Case FY2033E industry EBITDA</t>
        </is>
      </c>
      <c r="E17" s="30" t="n">
        <v>315788.1720937763</v>
      </c>
    </row>
    <row r="20">
      <c r="B20" s="6" t="inlineStr">
        <is>
          <t>B - CONSTANTS FOR THE LIVE GRIDS (Base Case, FY2033E)</t>
        </is>
      </c>
    </row>
    <row r="21">
      <c r="B21" s="18" t="inlineStr">
        <is>
          <t>FY2026 cash cost anchor</t>
        </is>
      </c>
      <c r="C21" s="16" t="inlineStr">
        <is>
          <t>Rs/t</t>
        </is>
      </c>
      <c r="D21" s="38" t="n">
        <v>49241</v>
      </c>
      <c r="M21" s="9" t="inlineStr">
        <is>
          <t>Hard-entered values, not links, so this sheet is safe to paste. If you change a driver on the Model sheet, refresh these six cells from the FY2033E column there.</t>
        </is>
      </c>
    </row>
    <row r="22">
      <c r="B22" s="18" t="inlineStr">
        <is>
          <t>Raw material share of cash cost</t>
        </is>
      </c>
      <c r="C22" s="16" t="inlineStr">
        <is>
          <t>%</t>
        </is>
      </c>
      <c r="D22" s="42" t="n">
        <v>0.6</v>
      </c>
    </row>
    <row r="23">
      <c r="B23" s="18" t="inlineStr">
        <is>
          <t>Iron ore weight in basket</t>
        </is>
      </c>
      <c r="C23" s="16" t="inlineStr">
        <is>
          <t>%</t>
        </is>
      </c>
      <c r="D23" s="42" t="n">
        <v>0.45</v>
      </c>
    </row>
    <row r="24">
      <c r="B24" s="18" t="inlineStr">
        <is>
          <t>FY2033E conversion cost index</t>
        </is>
      </c>
      <c r="C24" s="16" t="inlineStr">
        <is>
          <t>x</t>
        </is>
      </c>
      <c r="D24" s="43" t="n">
        <v>1.324801178894336</v>
      </c>
    </row>
    <row r="25">
      <c r="B25" s="18" t="inlineStr">
        <is>
          <t>FY2033E iron ore, rupees</t>
        </is>
      </c>
      <c r="C25" s="16" t="inlineStr">
        <is>
          <t>Rs/dmt</t>
        </is>
      </c>
      <c r="D25" s="38" t="n">
        <v>9346.5</v>
      </c>
    </row>
    <row r="26">
      <c r="B26" s="18" t="inlineStr">
        <is>
          <t>FY2026 iron ore, rupees</t>
        </is>
      </c>
      <c r="C26" s="16" t="inlineStr">
        <is>
          <t>Rs/dmt</t>
        </is>
      </c>
      <c r="D26" s="38" t="n">
        <v>8885.968000000001</v>
      </c>
    </row>
    <row r="27">
      <c r="B27" s="18" t="inlineStr">
        <is>
          <t>FY2026 coking coal, rupees</t>
        </is>
      </c>
      <c r="C27" s="16" t="inlineStr">
        <is>
          <t>Rs/t</t>
        </is>
      </c>
      <c r="D27" s="38" t="n">
        <v>19890</v>
      </c>
    </row>
    <row r="28">
      <c r="B28" s="18" t="inlineStr">
        <is>
          <t>FY2033E USD/INR</t>
        </is>
      </c>
      <c r="C28" s="16" t="inlineStr">
        <is>
          <t>Rs/US$</t>
        </is>
      </c>
      <c r="D28" s="37" t="n">
        <v>100.5</v>
      </c>
    </row>
    <row r="29">
      <c r="B29" s="18" t="inlineStr">
        <is>
          <t>FY2033E price adjustment factor</t>
        </is>
      </c>
      <c r="C29" s="16" t="inlineStr">
        <is>
          <t>x</t>
        </is>
      </c>
      <c r="D29" s="43" t="n">
        <v>1.014789560918584</v>
      </c>
    </row>
    <row r="30">
      <c r="B30" s="18" t="inlineStr">
        <is>
          <t>FY2033E capacity</t>
        </is>
      </c>
      <c r="C30" s="16" t="inlineStr">
        <is>
          <t>Mtpa</t>
        </is>
      </c>
      <c r="D30" s="44" t="n">
        <v>339.977</v>
      </c>
    </row>
    <row r="31">
      <c r="B31" s="18" t="inlineStr">
        <is>
          <t>FY2033E crude-to-finished ratio</t>
        </is>
      </c>
      <c r="C31" s="16" t="inlineStr">
        <is>
          <t>x</t>
        </is>
      </c>
      <c r="D31" s="43" t="n">
        <v>1.0465</v>
      </c>
    </row>
    <row r="32">
      <c r="B32" s="18" t="inlineStr">
        <is>
          <t>FY2033E cash cost</t>
        </is>
      </c>
      <c r="C32" s="16" t="inlineStr">
        <is>
          <t>Rs/t</t>
        </is>
      </c>
      <c r="D32" s="38" t="n">
        <v>57427.43830410502</v>
      </c>
    </row>
    <row r="35">
      <c r="B35" s="6" t="inlineStr">
        <is>
          <t>C - LIVE GRID 1: FY2033E EBITDA PER TONNE (Rs/t)</t>
        </is>
      </c>
      <c r="M35" s="9" t="inlineStr">
        <is>
          <t>Rows = FY2033E realisation driver (Rs/t). Columns = coking coal (US$/t). Every cell rebuilds the cost equation from section B - change a constant and the whole grid moves.</t>
        </is>
      </c>
    </row>
    <row r="36">
      <c r="B36" s="45" t="inlineStr">
        <is>
          <t>Realisation \ coking coal</t>
        </is>
      </c>
      <c r="D36" s="46" t="n">
        <v>160</v>
      </c>
      <c r="E36" s="46" t="n">
        <v>180</v>
      </c>
      <c r="F36" s="46" t="n">
        <v>200</v>
      </c>
      <c r="G36" s="46" t="n">
        <v>220</v>
      </c>
      <c r="H36" s="46" t="n">
        <v>240</v>
      </c>
      <c r="I36" s="46" t="n">
        <v>260</v>
      </c>
      <c r="J36" s="46" t="n">
        <v>280</v>
      </c>
    </row>
    <row r="37">
      <c r="B37" s="47" t="n">
        <v>58000</v>
      </c>
      <c r="D37" s="21">
        <f>$B37*$D$29-($D$21*($D$22*($D$23*($D$25/$D$26)+$D$23*(D36*$D$28/$D$27)+(1-2*$D$23)*$D$24)+(1-$D$22)*$D$24))</f>
        <v/>
      </c>
      <c r="E37" s="21">
        <f>$B37*$D$29-($D$21*($D$22*($D$23*($D$25/$D$26)+$D$23*(E36*$D$28/$D$27)+(1-2*$D$23)*$D$24)+(1-$D$22)*$D$24))</f>
        <v/>
      </c>
      <c r="F37" s="21">
        <f>$B37*$D$29-($D$21*($D$22*($D$23*($D$25/$D$26)+$D$23*(F36*$D$28/$D$27)+(1-2*$D$23)*$D$24)+(1-$D$22)*$D$24))</f>
        <v/>
      </c>
      <c r="G37" s="21">
        <f>$B37*$D$29-($D$21*($D$22*($D$23*($D$25/$D$26)+$D$23*(G36*$D$28/$D$27)+(1-2*$D$23)*$D$24)+(1-$D$22)*$D$24))</f>
        <v/>
      </c>
      <c r="H37" s="21">
        <f>$B37*$D$29-($D$21*($D$22*($D$23*($D$25/$D$26)+$D$23*(H36*$D$28/$D$27)+(1-2*$D$23)*$D$24)+(1-$D$22)*$D$24))</f>
        <v/>
      </c>
      <c r="I37" s="21">
        <f>$B37*$D$29-($D$21*($D$22*($D$23*($D$25/$D$26)+$D$23*(I36*$D$28/$D$27)+(1-2*$D$23)*$D$24)+(1-$D$22)*$D$24))</f>
        <v/>
      </c>
      <c r="J37" s="21">
        <f>$B37*$D$29-($D$21*($D$22*($D$23*($D$25/$D$26)+$D$23*(J36*$D$28/$D$27)+(1-2*$D$23)*$D$24)+(1-$D$22)*$D$24))</f>
        <v/>
      </c>
    </row>
    <row r="38">
      <c r="B38" s="47" t="n">
        <v>61000</v>
      </c>
      <c r="D38" s="21">
        <f>$B38*$D$29-($D$21*($D$22*($D$23*($D$25/$D$26)+$D$23*(D36*$D$28/$D$27)+(1-2*$D$23)*$D$24)+(1-$D$22)*$D$24))</f>
        <v/>
      </c>
      <c r="E38" s="21">
        <f>$B38*$D$29-($D$21*($D$22*($D$23*($D$25/$D$26)+$D$23*(E36*$D$28/$D$27)+(1-2*$D$23)*$D$24)+(1-$D$22)*$D$24))</f>
        <v/>
      </c>
      <c r="F38" s="21">
        <f>$B38*$D$29-($D$21*($D$22*($D$23*($D$25/$D$26)+$D$23*(F36*$D$28/$D$27)+(1-2*$D$23)*$D$24)+(1-$D$22)*$D$24))</f>
        <v/>
      </c>
      <c r="G38" s="21">
        <f>$B38*$D$29-($D$21*($D$22*($D$23*($D$25/$D$26)+$D$23*(G36*$D$28/$D$27)+(1-2*$D$23)*$D$24)+(1-$D$22)*$D$24))</f>
        <v/>
      </c>
      <c r="H38" s="21">
        <f>$B38*$D$29-($D$21*($D$22*($D$23*($D$25/$D$26)+$D$23*(H36*$D$28/$D$27)+(1-2*$D$23)*$D$24)+(1-$D$22)*$D$24))</f>
        <v/>
      </c>
      <c r="I38" s="21">
        <f>$B38*$D$29-($D$21*($D$22*($D$23*($D$25/$D$26)+$D$23*(I36*$D$28/$D$27)+(1-2*$D$23)*$D$24)+(1-$D$22)*$D$24))</f>
        <v/>
      </c>
      <c r="J38" s="21">
        <f>$B38*$D$29-($D$21*($D$22*($D$23*($D$25/$D$26)+$D$23*(J36*$D$28/$D$27)+(1-2*$D$23)*$D$24)+(1-$D$22)*$D$24))</f>
        <v/>
      </c>
    </row>
    <row r="39">
      <c r="B39" s="47" t="n">
        <v>64000</v>
      </c>
      <c r="D39" s="21">
        <f>$B39*$D$29-($D$21*($D$22*($D$23*($D$25/$D$26)+$D$23*(D36*$D$28/$D$27)+(1-2*$D$23)*$D$24)+(1-$D$22)*$D$24))</f>
        <v/>
      </c>
      <c r="E39" s="21">
        <f>$B39*$D$29-($D$21*($D$22*($D$23*($D$25/$D$26)+$D$23*(E36*$D$28/$D$27)+(1-2*$D$23)*$D$24)+(1-$D$22)*$D$24))</f>
        <v/>
      </c>
      <c r="F39" s="21">
        <f>$B39*$D$29-($D$21*($D$22*($D$23*($D$25/$D$26)+$D$23*(F36*$D$28/$D$27)+(1-2*$D$23)*$D$24)+(1-$D$22)*$D$24))</f>
        <v/>
      </c>
      <c r="G39" s="21">
        <f>$B39*$D$29-($D$21*($D$22*($D$23*($D$25/$D$26)+$D$23*(G36*$D$28/$D$27)+(1-2*$D$23)*$D$24)+(1-$D$22)*$D$24))</f>
        <v/>
      </c>
      <c r="H39" s="21">
        <f>$B39*$D$29-($D$21*($D$22*($D$23*($D$25/$D$26)+$D$23*(H36*$D$28/$D$27)+(1-2*$D$23)*$D$24)+(1-$D$22)*$D$24))</f>
        <v/>
      </c>
      <c r="I39" s="21">
        <f>$B39*$D$29-($D$21*($D$22*($D$23*($D$25/$D$26)+$D$23*(I36*$D$28/$D$27)+(1-2*$D$23)*$D$24)+(1-$D$22)*$D$24))</f>
        <v/>
      </c>
      <c r="J39" s="21">
        <f>$B39*$D$29-($D$21*($D$22*($D$23*($D$25/$D$26)+$D$23*(J36*$D$28/$D$27)+(1-2*$D$23)*$D$24)+(1-$D$22)*$D$24))</f>
        <v/>
      </c>
    </row>
    <row r="40">
      <c r="B40" s="47" t="n">
        <v>66000</v>
      </c>
      <c r="D40" s="21">
        <f>$B40*$D$29-($D$21*($D$22*($D$23*($D$25/$D$26)+$D$23*(D36*$D$28/$D$27)+(1-2*$D$23)*$D$24)+(1-$D$22)*$D$24))</f>
        <v/>
      </c>
      <c r="E40" s="21">
        <f>$B40*$D$29-($D$21*($D$22*($D$23*($D$25/$D$26)+$D$23*(E36*$D$28/$D$27)+(1-2*$D$23)*$D$24)+(1-$D$22)*$D$24))</f>
        <v/>
      </c>
      <c r="F40" s="21">
        <f>$B40*$D$29-($D$21*($D$22*($D$23*($D$25/$D$26)+$D$23*(F36*$D$28/$D$27)+(1-2*$D$23)*$D$24)+(1-$D$22)*$D$24))</f>
        <v/>
      </c>
      <c r="G40" s="21">
        <f>$B40*$D$29-($D$21*($D$22*($D$23*($D$25/$D$26)+$D$23*(G36*$D$28/$D$27)+(1-2*$D$23)*$D$24)+(1-$D$22)*$D$24))</f>
        <v/>
      </c>
      <c r="H40" s="21">
        <f>$B40*$D$29-($D$21*($D$22*($D$23*($D$25/$D$26)+$D$23*(H36*$D$28/$D$27)+(1-2*$D$23)*$D$24)+(1-$D$22)*$D$24))</f>
        <v/>
      </c>
      <c r="I40" s="21">
        <f>$B40*$D$29-($D$21*($D$22*($D$23*($D$25/$D$26)+$D$23*(I36*$D$28/$D$27)+(1-2*$D$23)*$D$24)+(1-$D$22)*$D$24))</f>
        <v/>
      </c>
      <c r="J40" s="21">
        <f>$B40*$D$29-($D$21*($D$22*($D$23*($D$25/$D$26)+$D$23*(J36*$D$28/$D$27)+(1-2*$D$23)*$D$24)+(1-$D$22)*$D$24))</f>
        <v/>
      </c>
    </row>
    <row r="41">
      <c r="B41" s="47" t="n">
        <v>68000</v>
      </c>
      <c r="D41" s="21">
        <f>$B41*$D$29-($D$21*($D$22*($D$23*($D$25/$D$26)+$D$23*(D36*$D$28/$D$27)+(1-2*$D$23)*$D$24)+(1-$D$22)*$D$24))</f>
        <v/>
      </c>
      <c r="E41" s="21">
        <f>$B41*$D$29-($D$21*($D$22*($D$23*($D$25/$D$26)+$D$23*(E36*$D$28/$D$27)+(1-2*$D$23)*$D$24)+(1-$D$22)*$D$24))</f>
        <v/>
      </c>
      <c r="F41" s="21">
        <f>$B41*$D$29-($D$21*($D$22*($D$23*($D$25/$D$26)+$D$23*(F36*$D$28/$D$27)+(1-2*$D$23)*$D$24)+(1-$D$22)*$D$24))</f>
        <v/>
      </c>
      <c r="G41" s="21">
        <f>$B41*$D$29-($D$21*($D$22*($D$23*($D$25/$D$26)+$D$23*(G36*$D$28/$D$27)+(1-2*$D$23)*$D$24)+(1-$D$22)*$D$24))</f>
        <v/>
      </c>
      <c r="H41" s="21">
        <f>$B41*$D$29-($D$21*($D$22*($D$23*($D$25/$D$26)+$D$23*(H36*$D$28/$D$27)+(1-2*$D$23)*$D$24)+(1-$D$22)*$D$24))</f>
        <v/>
      </c>
      <c r="I41" s="21">
        <f>$B41*$D$29-($D$21*($D$22*($D$23*($D$25/$D$26)+$D$23*(I36*$D$28/$D$27)+(1-2*$D$23)*$D$24)+(1-$D$22)*$D$24))</f>
        <v/>
      </c>
      <c r="J41" s="21">
        <f>$B41*$D$29-($D$21*($D$22*($D$23*($D$25/$D$26)+$D$23*(J36*$D$28/$D$27)+(1-2*$D$23)*$D$24)+(1-$D$22)*$D$24))</f>
        <v/>
      </c>
    </row>
    <row r="42">
      <c r="B42" s="47" t="n">
        <v>71000</v>
      </c>
      <c r="D42" s="21">
        <f>$B42*$D$29-($D$21*($D$22*($D$23*($D$25/$D$26)+$D$23*(D36*$D$28/$D$27)+(1-2*$D$23)*$D$24)+(1-$D$22)*$D$24))</f>
        <v/>
      </c>
      <c r="E42" s="21">
        <f>$B42*$D$29-($D$21*($D$22*($D$23*($D$25/$D$26)+$D$23*(E36*$D$28/$D$27)+(1-2*$D$23)*$D$24)+(1-$D$22)*$D$24))</f>
        <v/>
      </c>
      <c r="F42" s="21">
        <f>$B42*$D$29-($D$21*($D$22*($D$23*($D$25/$D$26)+$D$23*(F36*$D$28/$D$27)+(1-2*$D$23)*$D$24)+(1-$D$22)*$D$24))</f>
        <v/>
      </c>
      <c r="G42" s="21">
        <f>$B42*$D$29-($D$21*($D$22*($D$23*($D$25/$D$26)+$D$23*(G36*$D$28/$D$27)+(1-2*$D$23)*$D$24)+(1-$D$22)*$D$24))</f>
        <v/>
      </c>
      <c r="H42" s="21">
        <f>$B42*$D$29-($D$21*($D$22*($D$23*($D$25/$D$26)+$D$23*(H36*$D$28/$D$27)+(1-2*$D$23)*$D$24)+(1-$D$22)*$D$24))</f>
        <v/>
      </c>
      <c r="I42" s="21">
        <f>$B42*$D$29-($D$21*($D$22*($D$23*($D$25/$D$26)+$D$23*(I36*$D$28/$D$27)+(1-2*$D$23)*$D$24)+(1-$D$22)*$D$24))</f>
        <v/>
      </c>
      <c r="J42" s="21">
        <f>$B42*$D$29-($D$21*($D$22*($D$23*($D$25/$D$26)+$D$23*(J36*$D$28/$D$27)+(1-2*$D$23)*$D$24)+(1-$D$22)*$D$24))</f>
        <v/>
      </c>
    </row>
    <row r="43">
      <c r="B43" s="47" t="n">
        <v>74000</v>
      </c>
      <c r="D43" s="21">
        <f>$B43*$D$29-($D$21*($D$22*($D$23*($D$25/$D$26)+$D$23*(D36*$D$28/$D$27)+(1-2*$D$23)*$D$24)+(1-$D$22)*$D$24))</f>
        <v/>
      </c>
      <c r="E43" s="21">
        <f>$B43*$D$29-($D$21*($D$22*($D$23*($D$25/$D$26)+$D$23*(E36*$D$28/$D$27)+(1-2*$D$23)*$D$24)+(1-$D$22)*$D$24))</f>
        <v/>
      </c>
      <c r="F43" s="21">
        <f>$B43*$D$29-($D$21*($D$22*($D$23*($D$25/$D$26)+$D$23*(F36*$D$28/$D$27)+(1-2*$D$23)*$D$24)+(1-$D$22)*$D$24))</f>
        <v/>
      </c>
      <c r="G43" s="21">
        <f>$B43*$D$29-($D$21*($D$22*($D$23*($D$25/$D$26)+$D$23*(G36*$D$28/$D$27)+(1-2*$D$23)*$D$24)+(1-$D$22)*$D$24))</f>
        <v/>
      </c>
      <c r="H43" s="21">
        <f>$B43*$D$29-($D$21*($D$22*($D$23*($D$25/$D$26)+$D$23*(H36*$D$28/$D$27)+(1-2*$D$23)*$D$24)+(1-$D$22)*$D$24))</f>
        <v/>
      </c>
      <c r="I43" s="21">
        <f>$B43*$D$29-($D$21*($D$22*($D$23*($D$25/$D$26)+$D$23*(I36*$D$28/$D$27)+(1-2*$D$23)*$D$24)+(1-$D$22)*$D$24))</f>
        <v/>
      </c>
      <c r="J43" s="21">
        <f>$B43*$D$29-($D$21*($D$22*($D$23*($D$25/$D$26)+$D$23*(J36*$D$28/$D$27)+(1-2*$D$23)*$D$24)+(1-$D$22)*$D$24))</f>
        <v/>
      </c>
    </row>
    <row r="44">
      <c r="B44" s="48" t="inlineStr">
        <is>
          <t>Interpretation</t>
        </is>
      </c>
      <c r="M44" s="3" t="inlineStr">
        <is>
          <t>At the Base Case FY2033E realisation of Rs 68,000/t, EBITDA/t swings roughly 2.4x across the coking coal axis alone. That is why a licensed coking coal series is the highest-priority data gap.</t>
        </is>
      </c>
    </row>
    <row r="47">
      <c r="B47" s="6" t="inlineStr">
        <is>
          <t>D - LIVE GRID 2: FY2033E INDUSTRY EBITDA (Rs cr)</t>
        </is>
      </c>
      <c r="M47" s="9" t="inlineStr">
        <is>
          <t>Rows = FY2033E utilisation. Columns = FY2033E realisation driver. Volume = capacity x utilisation / crude-to-finished ratio. PARTIAL sensitivity: holds the lagged price feedback at its base value, so it isolates volume and price without double-counting the feedback.</t>
        </is>
      </c>
    </row>
    <row r="48">
      <c r="B48" s="45" t="inlineStr">
        <is>
          <t>Utilisation \ realisation</t>
        </is>
      </c>
      <c r="D48" s="46" t="n">
        <v>58000</v>
      </c>
      <c r="E48" s="46" t="n">
        <v>61000</v>
      </c>
      <c r="F48" s="46" t="n">
        <v>64000</v>
      </c>
      <c r="G48" s="46" t="n">
        <v>66000</v>
      </c>
      <c r="H48" s="46" t="n">
        <v>68000</v>
      </c>
      <c r="I48" s="46" t="n">
        <v>71000</v>
      </c>
      <c r="J48" s="46" t="n">
        <v>74000</v>
      </c>
    </row>
    <row r="49">
      <c r="B49" s="49" t="n">
        <v>0.74</v>
      </c>
      <c r="D49" s="21">
        <f>($D$30*$B49/$D$31)*(D48*$D$29-$D$32)/10</f>
        <v/>
      </c>
      <c r="E49" s="21">
        <f>($D$30*$B49/$D$31)*(E48*$D$29-$D$32)/10</f>
        <v/>
      </c>
      <c r="F49" s="21">
        <f>($D$30*$B49/$D$31)*(F48*$D$29-$D$32)/10</f>
        <v/>
      </c>
      <c r="G49" s="21">
        <f>($D$30*$B49/$D$31)*(G48*$D$29-$D$32)/10</f>
        <v/>
      </c>
      <c r="H49" s="21">
        <f>($D$30*$B49/$D$31)*(H48*$D$29-$D$32)/10</f>
        <v/>
      </c>
      <c r="I49" s="21">
        <f>($D$30*$B49/$D$31)*(I48*$D$29-$D$32)/10</f>
        <v/>
      </c>
      <c r="J49" s="21">
        <f>($D$30*$B49/$D$31)*(J48*$D$29-$D$32)/10</f>
        <v/>
      </c>
    </row>
    <row r="50">
      <c r="B50" s="49" t="n">
        <v>0.78</v>
      </c>
      <c r="D50" s="21">
        <f>($D$30*$B50/$D$31)*(D48*$D$29-$D$32)/10</f>
        <v/>
      </c>
      <c r="E50" s="21">
        <f>($D$30*$B50/$D$31)*(E48*$D$29-$D$32)/10</f>
        <v/>
      </c>
      <c r="F50" s="21">
        <f>($D$30*$B50/$D$31)*(F48*$D$29-$D$32)/10</f>
        <v/>
      </c>
      <c r="G50" s="21">
        <f>($D$30*$B50/$D$31)*(G48*$D$29-$D$32)/10</f>
        <v/>
      </c>
      <c r="H50" s="21">
        <f>($D$30*$B50/$D$31)*(H48*$D$29-$D$32)/10</f>
        <v/>
      </c>
      <c r="I50" s="21">
        <f>($D$30*$B50/$D$31)*(I48*$D$29-$D$32)/10</f>
        <v/>
      </c>
      <c r="J50" s="21">
        <f>($D$30*$B50/$D$31)*(J48*$D$29-$D$32)/10</f>
        <v/>
      </c>
    </row>
    <row r="51">
      <c r="B51" s="49" t="n">
        <v>0.82</v>
      </c>
      <c r="D51" s="21">
        <f>($D$30*$B51/$D$31)*(D48*$D$29-$D$32)/10</f>
        <v/>
      </c>
      <c r="E51" s="21">
        <f>($D$30*$B51/$D$31)*(E48*$D$29-$D$32)/10</f>
        <v/>
      </c>
      <c r="F51" s="21">
        <f>($D$30*$B51/$D$31)*(F48*$D$29-$D$32)/10</f>
        <v/>
      </c>
      <c r="G51" s="21">
        <f>($D$30*$B51/$D$31)*(G48*$D$29-$D$32)/10</f>
        <v/>
      </c>
      <c r="H51" s="21">
        <f>($D$30*$B51/$D$31)*(H48*$D$29-$D$32)/10</f>
        <v/>
      </c>
      <c r="I51" s="21">
        <f>($D$30*$B51/$D$31)*(I48*$D$29-$D$32)/10</f>
        <v/>
      </c>
      <c r="J51" s="21">
        <f>($D$30*$B51/$D$31)*(J48*$D$29-$D$32)/10</f>
        <v/>
      </c>
    </row>
    <row r="52">
      <c r="B52" s="49" t="n">
        <v>0.84</v>
      </c>
      <c r="D52" s="21">
        <f>($D$30*$B52/$D$31)*(D48*$D$29-$D$32)/10</f>
        <v/>
      </c>
      <c r="E52" s="21">
        <f>($D$30*$B52/$D$31)*(E48*$D$29-$D$32)/10</f>
        <v/>
      </c>
      <c r="F52" s="21">
        <f>($D$30*$B52/$D$31)*(F48*$D$29-$D$32)/10</f>
        <v/>
      </c>
      <c r="G52" s="21">
        <f>($D$30*$B52/$D$31)*(G48*$D$29-$D$32)/10</f>
        <v/>
      </c>
      <c r="H52" s="21">
        <f>($D$30*$B52/$D$31)*(H48*$D$29-$D$32)/10</f>
        <v/>
      </c>
      <c r="I52" s="21">
        <f>($D$30*$B52/$D$31)*(I48*$D$29-$D$32)/10</f>
        <v/>
      </c>
      <c r="J52" s="21">
        <f>($D$30*$B52/$D$31)*(J48*$D$29-$D$32)/10</f>
        <v/>
      </c>
    </row>
    <row r="53">
      <c r="B53" s="49" t="n">
        <v>0.86</v>
      </c>
      <c r="D53" s="21">
        <f>($D$30*$B53/$D$31)*(D48*$D$29-$D$32)/10</f>
        <v/>
      </c>
      <c r="E53" s="21">
        <f>($D$30*$B53/$D$31)*(E48*$D$29-$D$32)/10</f>
        <v/>
      </c>
      <c r="F53" s="21">
        <f>($D$30*$B53/$D$31)*(F48*$D$29-$D$32)/10</f>
        <v/>
      </c>
      <c r="G53" s="21">
        <f>($D$30*$B53/$D$31)*(G48*$D$29-$D$32)/10</f>
        <v/>
      </c>
      <c r="H53" s="21">
        <f>($D$30*$B53/$D$31)*(H48*$D$29-$D$32)/10</f>
        <v/>
      </c>
      <c r="I53" s="21">
        <f>($D$30*$B53/$D$31)*(I48*$D$29-$D$32)/10</f>
        <v/>
      </c>
      <c r="J53" s="21">
        <f>($D$30*$B53/$D$31)*(J48*$D$29-$D$32)/10</f>
        <v/>
      </c>
    </row>
    <row r="54">
      <c r="B54" s="49" t="n">
        <v>0.9</v>
      </c>
      <c r="D54" s="21">
        <f>($D$30*$B54/$D$31)*(D48*$D$29-$D$32)/10</f>
        <v/>
      </c>
      <c r="E54" s="21">
        <f>($D$30*$B54/$D$31)*(E48*$D$29-$D$32)/10</f>
        <v/>
      </c>
      <c r="F54" s="21">
        <f>($D$30*$B54/$D$31)*(F48*$D$29-$D$32)/10</f>
        <v/>
      </c>
      <c r="G54" s="21">
        <f>($D$30*$B54/$D$31)*(G48*$D$29-$D$32)/10</f>
        <v/>
      </c>
      <c r="H54" s="21">
        <f>($D$30*$B54/$D$31)*(H48*$D$29-$D$32)/10</f>
        <v/>
      </c>
      <c r="I54" s="21">
        <f>($D$30*$B54/$D$31)*(I48*$D$29-$D$32)/10</f>
        <v/>
      </c>
      <c r="J54" s="21">
        <f>($D$30*$B54/$D$31)*(J48*$D$29-$D$32)/10</f>
        <v/>
      </c>
    </row>
    <row r="57">
      <c r="B57" s="6" t="inlineStr">
        <is>
          <t>E - HOW MUCH OF THE ANSWER RESTS ON UNSOURCED ASSUMPTIONS</t>
        </is>
      </c>
    </row>
    <row r="58" ht="30" customHeight="1">
      <c r="A58" s="12" t="inlineStr"/>
      <c r="B58" s="11" t="inlineStr">
        <is>
          <t>Unsourced assumption</t>
        </is>
      </c>
      <c r="C58" s="12" t="inlineStr">
        <is>
          <t>ID</t>
        </is>
      </c>
      <c r="D58" s="12" t="inlineStr">
        <is>
          <t>Base</t>
        </is>
      </c>
      <c r="E58" s="11" t="inlineStr">
        <is>
          <t>Plausible range</t>
        </is>
      </c>
      <c r="F58" s="12" t="inlineStr"/>
      <c r="G58" s="12" t="inlineStr"/>
      <c r="H58" s="12" t="inlineStr"/>
      <c r="I58" s="12" t="inlineStr"/>
      <c r="J58" s="12" t="inlineStr"/>
      <c r="K58" s="12" t="inlineStr"/>
      <c r="L58" s="12" t="inlineStr"/>
      <c r="M58" s="11" t="inlineStr">
        <is>
          <t>Materiality verdict</t>
        </is>
      </c>
    </row>
    <row r="59">
      <c r="B59" s="14" t="inlineStr">
        <is>
          <t>Price sensitivity to utilisation</t>
        </is>
      </c>
      <c r="C59" s="13" t="inlineStr">
        <is>
          <t>D23</t>
        </is>
      </c>
      <c r="D59" s="50" t="inlineStr">
        <is>
          <t>0.40x</t>
        </is>
      </c>
      <c r="E59" s="3" t="inlineStr">
        <is>
          <t>0.20x to 0.60x</t>
        </is>
      </c>
      <c r="M59" s="3" t="inlineStr">
        <is>
          <t>MOST IMPORTANT UNSOURCED INPUT. It determines whether capacity matters at all. At 0.20x the capacity drivers halve in importance; at 0.60x they roughly double.</t>
        </is>
      </c>
    </row>
    <row r="60">
      <c r="B60" s="14" t="inlineStr">
        <is>
          <t>Raw material share of cash cost</t>
        </is>
      </c>
      <c r="C60" s="13" t="inlineStr">
        <is>
          <t>D13</t>
        </is>
      </c>
      <c r="D60" s="50" t="inlineStr">
        <is>
          <t>60%</t>
        </is>
      </c>
      <c r="E60" s="3" t="inlineStr">
        <is>
          <t>55% to 65%</t>
        </is>
      </c>
      <c r="M60" s="3" t="inlineStr">
        <is>
          <t>MATERIAL but second-order, ~6.7% of FY2033E EBITDA per 10% relative change. Direction depends on relative escalation, so it is not a simple bias.</t>
        </is>
      </c>
    </row>
    <row r="61">
      <c r="B61" s="14" t="inlineStr">
        <is>
          <t>Net working capital days</t>
        </is>
      </c>
      <c r="C61" s="13" t="inlineStr">
        <is>
          <t>D18</t>
        </is>
      </c>
      <c r="D61" s="50" t="inlineStr">
        <is>
          <t>45 days</t>
        </is>
      </c>
      <c r="E61" s="3" t="inlineStr">
        <is>
          <t>35 to 60 days</t>
        </is>
      </c>
      <c r="M61" s="3" t="inlineStr">
        <is>
          <t>MATERIAL FOR CASH FLOW AND CREDIT, immaterial for EBITDA. ~Rs 12,000 cr of terminal-year cash flow per 4.5 days. Fix before any financing work.</t>
        </is>
      </c>
    </row>
    <row r="62">
      <c r="B62" s="14" t="inlineStr">
        <is>
          <t>Equity risk premium and beta</t>
        </is>
      </c>
      <c r="C62" s="13" t="inlineStr">
        <is>
          <t>WACC</t>
        </is>
      </c>
      <c r="D62" s="50" t="inlineStr">
        <is>
          <t>6.5% / 1.20x</t>
        </is>
      </c>
      <c r="E62" s="3" t="inlineStr">
        <is>
          <t>5.5-7.5% / 1.0-1.4x</t>
        </is>
      </c>
      <c r="M62" s="3" t="inlineStr">
        <is>
          <t>MATERIAL FOR VALUATION ONLY, ~11% of EV per 120bps of WACC. Does not touch operating forecasts.</t>
        </is>
      </c>
    </row>
    <row r="63">
      <c r="B63" s="14" t="inlineStr">
        <is>
          <t>Maximum practical utilisation</t>
        </is>
      </c>
      <c r="C63" s="13" t="inlineStr">
        <is>
          <t>D25</t>
        </is>
      </c>
      <c r="D63" s="50" t="inlineStr">
        <is>
          <t>92%</t>
        </is>
      </c>
      <c r="E63" s="3" t="inlineStr">
        <is>
          <t>88% to 95%</t>
        </is>
      </c>
      <c r="M63" s="3" t="inlineStr">
        <is>
          <t>IMMATERIAL in Base - the ceiling does not bind (peak 84.0%). Becomes material only in Bull, where utilisation reaches 87.9%.</t>
        </is>
      </c>
    </row>
    <row r="64">
      <c r="B64" s="14" t="inlineStr">
        <is>
          <t>Maintenance capex</t>
        </is>
      </c>
      <c r="C64" s="13" t="inlineStr">
        <is>
          <t>D17</t>
        </is>
      </c>
      <c r="D64" s="50" t="inlineStr">
        <is>
          <t>3.0% of revenue</t>
        </is>
      </c>
      <c r="E64" s="3" t="inlineStr">
        <is>
          <t>2.5% to 4.0%</t>
        </is>
      </c>
      <c r="M64" s="3" t="inlineStr">
        <is>
          <t>MATERIAL FOR CASH FLOW, immaterial for EBITDA. ~Rs 16,000 cr of terminal-year FCF per 100bps.</t>
        </is>
      </c>
    </row>
    <row r="65">
      <c r="B65" s="14" t="inlineStr">
        <is>
          <t>Emission intensity and carbon price</t>
        </is>
      </c>
      <c r="C65" s="13" t="inlineStr">
        <is>
          <t>ESG</t>
        </is>
      </c>
      <c r="D65" s="50" t="inlineStr">
        <is>
          <t>2.55 tCO2e/t, EUR 85/t</t>
        </is>
      </c>
      <c r="E65" s="3" t="inlineStr">
        <is>
          <t>Wide - both unsourced</t>
        </is>
      </c>
      <c r="M65" s="3" t="inlineStr">
        <is>
          <t>IMMATERIAL at current export volumes - CBAM is under 1% of FY2033E EBITDA - but it scales with the EU export share and the carbon price. Watch rather than model.</t>
        </is>
      </c>
    </row>
    <row r="67">
      <c r="B67" s="9" t="inlineStr">
        <is>
          <t>Read this block first. It is the honest answer to 'how much should I trust this model?' - the operating forecast is robust to the unsourced inputs; the cash flow and valuation output is not, until working capital, WACC and a coking coal series are properly sourced.</t>
        </is>
      </c>
    </row>
  </sheetData>
  <printOptions horizontalCentered="1"/>
  <pageMargins left="0.75" right="0.75" top="1" bottom="1" header="0.5" footer="0.5"/>
  <pageSetup orientation="landscape" fitToHeight="0" fitToWidth="1"/>
</worksheet>
</file>

<file path=xl/worksheets/sheet5.xml><?xml version="1.0" encoding="utf-8"?>
<worksheet xmlns="http://schemas.openxmlformats.org/spreadsheetml/2006/main">
  <sheetPr>
    <tabColor rgb="001F3864"/>
    <outlinePr summaryBelow="1" summaryRight="1"/>
    <pageSetUpPr fitToPage="1"/>
  </sheetPr>
  <dimension ref="A2:N20"/>
  <sheetViews>
    <sheetView showGridLines="0" workbookViewId="0">
      <selection activeCell="A1" sqref="A1"/>
    </sheetView>
  </sheetViews>
  <sheetFormatPr baseColWidth="8" defaultRowHeight="15"/>
  <cols>
    <col width="3" customWidth="1" min="1" max="1"/>
    <col width="22" customWidth="1" min="2" max="2"/>
    <col width="15" customWidth="1" min="3" max="3"/>
    <col width="14" customWidth="1" min="4" max="4"/>
    <col width="13" customWidth="1" min="5" max="5"/>
    <col width="11" customWidth="1" min="6" max="6"/>
    <col width="14" customWidth="1" min="7" max="7"/>
    <col width="16" customWidth="1" min="8" max="8"/>
    <col width="15" customWidth="1" min="9" max="9"/>
    <col width="15" customWidth="1" min="10" max="10"/>
    <col width="13" customWidth="1" min="11" max="11"/>
    <col width="13" customWidth="1" min="12" max="12"/>
    <col width="15" customWidth="1" min="13" max="13"/>
    <col width="100" customWidth="1" min="14" max="14"/>
  </cols>
  <sheetData>
    <row r="2" ht="19" customHeight="1">
      <c r="B2" s="1" t="inlineStr">
        <is>
          <t>COMPARABLE VALUATION</t>
        </is>
      </c>
    </row>
    <row r="3">
      <c r="B3" s="2" t="inlineStr">
        <is>
          <t>Self-contained: FY2026 actuals are values, share prices are USER INPUTS, and every multiple is a live intra-sheet formula.</t>
        </is>
      </c>
    </row>
    <row r="4">
      <c r="B4" s="3" t="inlineStr">
        <is>
          <t>SHARE PRICES WERE NOT SOURCED in this research cycle, so nothing has been fabricated to fill the gap. Enter prices in the shaded column and every market cap, enterprise value and multiple computes immediately.</t>
        </is>
      </c>
    </row>
    <row r="5">
      <c r="B5" s="3" t="inlineStr"/>
    </row>
    <row r="6" ht="30" customHeight="1">
      <c r="A6" s="12" t="inlineStr"/>
      <c r="B6" s="11" t="inlineStr">
        <is>
          <t>Company</t>
        </is>
      </c>
      <c r="C6" s="12" t="inlineStr">
        <is>
          <t>FY2026 EBITDA (Rs cr)</t>
        </is>
      </c>
      <c r="D6" s="12" t="inlineStr">
        <is>
          <t>Net debt (Rs cr)</t>
        </is>
      </c>
      <c r="E6" s="12" t="inlineStr">
        <is>
          <t>PAT (Rs cr)</t>
        </is>
      </c>
      <c r="F6" s="12" t="inlineStr">
        <is>
          <t>EPS (Rs)</t>
        </is>
      </c>
      <c r="G6" s="12" t="inlineStr">
        <is>
          <t>Shares (cr) derived</t>
        </is>
      </c>
      <c r="H6" s="12" t="inlineStr">
        <is>
          <t>SHARE PRICE (input)</t>
        </is>
      </c>
      <c r="I6" s="12" t="inlineStr">
        <is>
          <t>Market cap (Rs cr)</t>
        </is>
      </c>
      <c r="J6" s="12" t="inlineStr">
        <is>
          <t>EV (Rs cr)</t>
        </is>
      </c>
      <c r="K6" s="12" t="inlineStr">
        <is>
          <t>EV/EBITDA</t>
        </is>
      </c>
      <c r="L6" s="12" t="inlineStr">
        <is>
          <t>Capacity (Mtpa)</t>
        </is>
      </c>
      <c r="M6" s="12" t="inlineStr">
        <is>
          <t>EV/tonne (Rs/t)</t>
        </is>
      </c>
      <c r="N6" s="11" t="inlineStr">
        <is>
          <t>Notes</t>
        </is>
      </c>
    </row>
    <row r="7">
      <c r="B7" s="14" t="inlineStr">
        <is>
          <t>Tata Steel</t>
        </is>
      </c>
      <c r="C7" s="21" t="n">
        <v>34272</v>
      </c>
      <c r="D7" s="21" t="n">
        <v>80144</v>
      </c>
      <c r="E7" s="21" t="n">
        <v>10886</v>
      </c>
      <c r="F7" s="20" t="n">
        <v>8.65</v>
      </c>
      <c r="G7" s="27">
        <f>E7/F7</f>
        <v/>
      </c>
      <c r="H7" s="51" t="n"/>
      <c r="I7" s="21">
        <f>IFERROR(G7*H7,"")</f>
        <v/>
      </c>
      <c r="J7" s="21">
        <f>IFERROR(I7+D7,"")</f>
        <v/>
      </c>
      <c r="K7" s="19">
        <f>IFERROR(J7/C7,"")</f>
        <v/>
      </c>
      <c r="L7" s="20" t="n">
        <v>26</v>
      </c>
      <c r="M7" s="21">
        <f>IFERROR(J7/L7*10000,"")</f>
        <v/>
      </c>
      <c r="N7" s="3" t="inlineStr">
        <is>
          <t>India segment used for volume and margin. Netherlands carries a disclosed material uncertainty related to going concern (Master DB, policy P18) - the single largest identifiable downside in the universe and NOT captured in this industry model, which forecasts India only. Capacity basis: INDICATIVE - Tata Steel discloses 35 Mtpa GLOBAL group crude steel capacity. The India component is not separately disclosed in the database; 26 Mtpa is inferred from FY2026 India crude steel production of 23.43 Mt at roughly 90% utilisation and is flagged Low confidence.</t>
        </is>
      </c>
    </row>
    <row r="8">
      <c r="B8" s="14" t="inlineStr">
        <is>
          <t>JSW Steel</t>
        </is>
      </c>
      <c r="C8" s="21" t="n">
        <v>29240</v>
      </c>
      <c r="D8" s="21" t="n">
        <v>53870</v>
      </c>
      <c r="E8" s="21" t="n">
        <v>25508</v>
      </c>
      <c r="F8" s="20" t="n">
        <v>91.26000000000001</v>
      </c>
      <c r="G8" s="27">
        <f>E8/F8</f>
        <v/>
      </c>
      <c r="H8" s="51" t="n"/>
      <c r="I8" s="21">
        <f>IFERROR(G8*H8,"")</f>
        <v/>
      </c>
      <c r="J8" s="21">
        <f>IFERROR(I8+D8,"")</f>
        <v/>
      </c>
      <c r="K8" s="19">
        <f>IFERROR(J8/C8,"")</f>
        <v/>
      </c>
      <c r="L8" s="20" t="n">
        <v>31.9</v>
      </c>
      <c r="M8" s="21">
        <f>IFERROR(J8/L8*10000,"")</f>
        <v/>
      </c>
      <c r="N8" s="3" t="inlineStr">
        <is>
          <t>FY2027 additions include BMM Ispat (0.90 Mtpa), an acquisition of existing capacity: it adds to JSW but NOT to national capacity. BPSL was deconsolidated from 27-Mar-2026, so FY2026 to FY2027 company volumes are not like-for-like. DERIVED SHARE COUNT IS UNRELIABLE HERE: PAT of Rs 25,508 cr includes the Rs 18,051 cr BPSL slump-sale gain while EPS of Rs 91.26 is on profit attributable to owners, so PAT/EPS overstates the count by ~15%. Overwrite column G with the actual share count. Capacity basis: JSW Steel India existing capacity, disclosed. Cross-checked: FY2026 India production of 29.25 Mt at the stated 92% utilisation implies 31.8 Mtpa.</t>
        </is>
      </c>
    </row>
    <row r="9">
      <c r="B9" s="14" t="inlineStr">
        <is>
          <t>SAIL</t>
        </is>
      </c>
      <c r="C9" s="21" t="n">
        <v>13146</v>
      </c>
      <c r="D9" s="21" t="n">
        <v>31928</v>
      </c>
      <c r="E9" s="21" t="n">
        <v>3373</v>
      </c>
      <c r="F9" s="20" t="n">
        <v>8.17</v>
      </c>
      <c r="G9" s="27">
        <f>E9/F9</f>
        <v/>
      </c>
      <c r="H9" s="51" t="n"/>
      <c r="I9" s="21">
        <f>IFERROR(G9*H9,"")</f>
        <v/>
      </c>
      <c r="J9" s="21">
        <f>IFERROR(I9+D9,"")</f>
        <v/>
      </c>
      <c r="K9" s="19">
        <f>IFERROR(J9/C9,"")</f>
        <v/>
      </c>
      <c r="L9" s="20" t="n">
        <v>19.676</v>
      </c>
      <c r="M9" s="21">
        <f>IFERROR(J9/L9*10000,"")</f>
        <v/>
      </c>
      <c r="N9" s="3" t="inlineStr">
        <is>
          <t>EBITDA per tonne is struck on the STANDALONE EBITDA headline over standalone sales volume. Do not pair a consolidated enterprise value with this EBITDA - see Master DB Conflict C09. Capacity basis: SAIL crude steel operating capacity per Ministry of Steel, Rajya Sabha USQ 3982 answered 27-Mar-2026.</t>
        </is>
      </c>
    </row>
    <row r="10">
      <c r="B10" s="14" t="inlineStr">
        <is>
          <t>Jindal Steel</t>
        </is>
      </c>
      <c r="C10" s="21" t="n">
        <v>9660</v>
      </c>
      <c r="D10" s="21" t="n">
        <v>16019</v>
      </c>
      <c r="E10" s="21" t="n">
        <v>3361</v>
      </c>
      <c r="F10" s="20" t="n">
        <v>33.01</v>
      </c>
      <c r="G10" s="27">
        <f>E10/F10</f>
        <v/>
      </c>
      <c r="H10" s="51" t="n"/>
      <c r="I10" s="21">
        <f>IFERROR(G10*H10,"")</f>
        <v/>
      </c>
      <c r="J10" s="21">
        <f>IFERROR(I10+D10,"")</f>
        <v/>
      </c>
      <c r="K10" s="19">
        <f>IFERROR(J10/C10,"")</f>
        <v/>
      </c>
      <c r="L10" s="20" t="n">
        <v>15.6</v>
      </c>
      <c r="M10" s="21">
        <f>IFERROR(J10/L10*10000,"")</f>
        <v/>
      </c>
      <c r="N10" s="3" t="inlineStr">
        <is>
          <t>Capacity rose from 9.6 to 15.6 Mtpa in FY2026, so FY2027 volume growth comes from utilising capacity already built rather than from new additions. Company guidance for FY2027 is 11.0-11.5 Mt of production against 9.25 Mt in FY2026. Capacity basis: Jindal Steel total steelmaking capacity entering FY2027, disclosed.</t>
        </is>
      </c>
    </row>
    <row r="11">
      <c r="B11" s="14" t="inlineStr">
        <is>
          <t>Jindal Stainless</t>
        </is>
      </c>
      <c r="C11" s="21" t="n">
        <v>5560</v>
      </c>
      <c r="D11" s="21" t="n">
        <v>3040</v>
      </c>
      <c r="E11" s="21" t="n">
        <v>3185</v>
      </c>
      <c r="F11" s="20" t="n">
        <v>38.74</v>
      </c>
      <c r="G11" s="27">
        <f>E11/F11</f>
        <v/>
      </c>
      <c r="H11" s="51" t="n"/>
      <c r="I11" s="21">
        <f>IFERROR(G11*H11,"")</f>
        <v/>
      </c>
      <c r="J11" s="21">
        <f>IFERROR(I11+D11,"")</f>
        <v/>
      </c>
      <c r="K11" s="19">
        <f>IFERROR(J11/C11,"")</f>
        <v/>
      </c>
      <c r="L11" s="20" t="n">
        <v>3</v>
      </c>
      <c r="M11" s="21">
        <f>IFERROR(J11/L11*10000,"")</f>
        <v/>
      </c>
      <c r="N11" s="3" t="inlineStr">
        <is>
          <t>STAINLESS. Realisation of roughly Rs 1,67,000/t and EBITDA per tonne of Rs 21,634 are not comparable with carbon steel and this company is EXCLUDED from the blended industry realisation anchor. Management guided FY2027 EBITDA per tonne to Rs 18,000-20,000, i.e. BELOW the FY2026 outcome. Capacity basis: Jindal Stainless INDIA melt capacity. Group melt capacity is 4.2 Mtpa including 1.2 Mtpa in Indonesia, which is excluded from the India build.</t>
        </is>
      </c>
    </row>
    <row r="12">
      <c r="B12" s="14" t="inlineStr">
        <is>
          <t>AM/NS India</t>
        </is>
      </c>
      <c r="C12" s="21" t="n">
        <v>69</v>
      </c>
      <c r="L12" s="20" t="n">
        <v>9</v>
      </c>
      <c r="M12" s="21">
        <f>IFERROR(J12/L12*10000,"")</f>
        <v/>
      </c>
      <c r="N12" s="3" t="inlineStr">
        <is>
          <t>Unlisted 60:40 joint venture. All figures are 100% basis, USD, calendar quarters, converted at the derived FY2026 average USD/INR of 88.4. The fiscal-year figures are themselves derived by summing calendar quarters - Master DB Conflict C16. Unlisted - no market-based valuation is possible. Capacity basis: AM/NS India Hazira capacity, expanding to 15 Mtpa.</t>
        </is>
      </c>
    </row>
    <row r="13">
      <c r="B13" s="14" t="inlineStr">
        <is>
          <t>RINL</t>
        </is>
      </c>
      <c r="N13" s="3" t="inlineStr">
        <is>
          <t>Unlisted and wholly Government-owned. No EBITDA, balance sheet or valuation data is publicly available, so RINL appears in the volume build only. Unlisted - no market-based valuation is possible. Capacity basis: Not verified - a 7.3 Mtpa liquid steel nameplate is widely cited but is not asserted in the database.</t>
        </is>
      </c>
    </row>
    <row r="14">
      <c r="B14" s="7" t="inlineStr">
        <is>
          <t>Median EV/EBITDA (once prices are entered)</t>
        </is>
      </c>
      <c r="K14" s="32">
        <f>IFERROR(MEDIAN(K7:K13),"enter prices")</f>
        <v/>
      </c>
      <c r="N14" s="3" t="inlineStr">
        <is>
          <t>Compare against the exit multiple of 6.0x used in the DCF on the Model sheet (driver D19), which is NOT sourced and should be re-based on this observed evidence.</t>
        </is>
      </c>
    </row>
    <row r="17">
      <c r="B17" s="6" t="inlineStr">
        <is>
          <t>REPLACEMENT COST BENCHMARK</t>
        </is>
      </c>
    </row>
    <row r="18">
      <c r="B18" s="14" t="inlineStr">
        <is>
          <t>Capex intensity (greenfield / brownfield)</t>
        </is>
      </c>
      <c r="D18" s="21" t="n">
        <v>55000</v>
      </c>
      <c r="N18" s="3" t="inlineStr">
        <is>
          <t>Driver D16. Cross-checks: JSW JVML 5 Mtpa at Rs 26,000 cr = Rs 52,000/t; SAIL ~Rs 1 lakh cr for ~15 Mtpa = ~Rs 67,000/t; Tata Ludhiana 0.75 Mtpa EAF at Rs 3,200 cr = Rs 42,700/t (no ironmaking).</t>
        </is>
      </c>
    </row>
    <row r="19">
      <c r="B19" s="14" t="inlineStr">
        <is>
          <t>India FY2026 crude steel capacity</t>
        </is>
      </c>
      <c r="D19" s="27" t="n">
        <v>220.4</v>
      </c>
      <c r="N19" s="3" t="inlineStr"/>
    </row>
    <row r="20">
      <c r="B20" s="14" t="inlineStr">
        <is>
          <t>Replacement cost of India's capacity</t>
        </is>
      </c>
      <c r="D20" s="30">
        <f>D18*D19/10</f>
        <v/>
      </c>
      <c r="N20" s="3" t="inlineStr">
        <is>
          <t>A sanity bound: an acquirer should not pay materially more per tonne than it costs to build, adjusted for time to market, permits and captive raw material.</t>
        </is>
      </c>
    </row>
  </sheetData>
  <printOptions horizontalCentered="1"/>
  <pageMargins left="0.75" right="0.75" top="1" bottom="1" header="0.5" footer="0.5"/>
  <pageSetup orientation="landscape" fitToHeight="0" fitToWidth="1"/>
</worksheet>
</file>

<file path=xl/worksheets/sheet6.xml><?xml version="1.0" encoding="utf-8"?>
<worksheet xmlns="http://schemas.openxmlformats.org/spreadsheetml/2006/main">
  <sheetPr>
    <tabColor rgb="001F3864"/>
    <outlinePr summaryBelow="1" summaryRight="1"/>
    <pageSetUpPr fitToPage="1"/>
  </sheetPr>
  <dimension ref="A2:P1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34" customWidth="1" min="3" max="3"/>
    <col width="13" customWidth="1" min="4" max="4"/>
    <col width="24" customWidth="1" min="5" max="5"/>
    <col width="30" customWidth="1" min="6" max="6"/>
    <col width="24" customWidth="1" min="7" max="7"/>
    <col width="30" customWidth="1" min="8" max="8"/>
    <col width="18" customWidth="1" min="9" max="9"/>
    <col width="11" customWidth="1" min="10" max="10"/>
    <col width="74" customWidth="1" min="11" max="11"/>
    <col width="74" customWidth="1" min="12" max="12"/>
    <col width="60" customWidth="1" min="13" max="13"/>
    <col width="40" customWidth="1" min="14" max="14"/>
    <col width="20" customWidth="1" min="15" max="15"/>
    <col width="30" customWidth="1" min="16" max="16"/>
  </cols>
  <sheetData>
    <row r="2" ht="19" customHeight="1">
      <c r="B2" s="1" t="inlineStr">
        <is>
          <t>ASSUMPTION REGISTER</t>
        </is>
      </c>
    </row>
    <row r="3">
      <c r="B3" s="2" t="inlineStr">
        <is>
          <t>The thirteen mandated fields for every material assumption. Static text - no formulas, completely safe to paste.</t>
        </is>
      </c>
    </row>
    <row r="4">
      <c r="B4" s="3" t="inlineStr"/>
    </row>
    <row r="5" ht="30" customHeight="1">
      <c r="A5" s="12" t="inlineStr"/>
      <c r="B5" s="11" t="inlineStr">
        <is>
          <t>Assumption ID</t>
        </is>
      </c>
      <c r="C5" s="11" t="inlineStr">
        <is>
          <t>Assumption</t>
        </is>
      </c>
      <c r="D5" s="11" t="inlineStr">
        <is>
          <t>Unit</t>
        </is>
      </c>
      <c r="E5" s="11" t="inlineStr">
        <is>
          <t>Current Value (FY2026A / spot)</t>
        </is>
      </c>
      <c r="F5" s="11" t="inlineStr">
        <is>
          <t>Historical Range</t>
        </is>
      </c>
      <c r="G5" s="11" t="inlineStr">
        <is>
          <t>Forecast Value (Base, terminal year)</t>
        </is>
      </c>
      <c r="H5" s="11" t="inlineStr">
        <is>
          <t>Source</t>
        </is>
      </c>
      <c r="I5" s="11" t="inlineStr">
        <is>
          <t>Publication Date</t>
        </is>
      </c>
      <c r="J5" s="11" t="inlineStr">
        <is>
          <t>Confidence Rating</t>
        </is>
      </c>
      <c r="K5" s="11" t="inlineStr">
        <is>
          <t>Evidence</t>
        </is>
      </c>
      <c r="L5" s="11" t="inlineStr">
        <is>
          <t>Reasoning</t>
        </is>
      </c>
      <c r="M5" s="11" t="inlineStr">
        <is>
          <t>Sensitivity (impact of a 10% adverse move)</t>
        </is>
      </c>
      <c r="N5" s="11" t="inlineStr">
        <is>
          <t>Dependencies</t>
        </is>
      </c>
      <c r="O5" s="11" t="inlineStr">
        <is>
          <t>Review Date</t>
        </is>
      </c>
      <c r="P5" s="11" t="inlineStr">
        <is>
          <t>Owner</t>
        </is>
      </c>
    </row>
    <row r="6">
      <c r="B6" s="52" t="inlineStr">
        <is>
          <t>R01</t>
        </is>
      </c>
      <c r="C6" s="52" t="inlineStr">
        <is>
          <t>India real GDP growth</t>
        </is>
      </c>
      <c r="D6" s="52" t="inlineStr">
        <is>
          <t>%</t>
        </is>
      </c>
      <c r="E6" s="52" t="inlineStr">
        <is>
          <t>6.6% (FY2027 projection)</t>
        </is>
      </c>
      <c r="F6" s="3" t="inlineStr">
        <is>
          <t>FY2021 -5.8% to FY2026 7.6%</t>
        </is>
      </c>
      <c r="G6" s="3" t="inlineStr">
        <is>
          <t>6.5% (FY2033)</t>
        </is>
      </c>
      <c r="H6" s="3" t="inlineStr">
        <is>
          <t>Reserve Bank of India, Monetary Policy Committee statement</t>
        </is>
      </c>
      <c r="I6" s="3" t="inlineStr">
        <is>
          <t>05-Jun-2026</t>
        </is>
      </c>
      <c r="J6" s="3" t="inlineStr">
        <is>
          <t>High</t>
        </is>
      </c>
      <c r="K6" s="3" t="inlineStr">
        <is>
          <t>RBI cut its FY2027 projection to 6.6% from 6.9%, citing West Asia conflict, energy prices, supply disruption and monsoon risk; repo held at 5.25%; FY2027 CPI projection raised 50bps to 5.1%. FY2026 growth estimated at 7.6%; Q4FY2026 actual 7.7%.</t>
        </is>
      </c>
      <c r="L6" s="3" t="inlineStr">
        <is>
          <t>The RBI is the authoritative domestic forecaster and its projection is adopted unadjusted for FY2027. Beyond FY2027 no Indian official body publishes a real GDP path, so the model converges to a 6.5% steady state, which is below the FY2015-FY2026 realised average and therefore not an aggressive assumption.</t>
        </is>
      </c>
      <c r="M6" s="3" t="inlineStr">
        <is>
          <t>A 10% adverse move (66bps of growth) reduces FY2033 steel demand by roughly 5.0 Mt and industry EBITDA by roughly 4%.</t>
        </is>
      </c>
      <c r="N6" s="3" t="inlineStr">
        <is>
          <t>Drives D02 steel demand elasticity, hence all volume, revenue and EBITDA lines.</t>
        </is>
      </c>
      <c r="O6" s="3" t="inlineStr">
        <is>
          <t>Next RBI MPC statement</t>
        </is>
      </c>
      <c r="P6" s="3" t="inlineStr">
        <is>
          <t>Head of Metals &amp; Mining Research</t>
        </is>
      </c>
    </row>
    <row r="7">
      <c r="B7" s="52" t="inlineStr">
        <is>
          <t>R02</t>
        </is>
      </c>
      <c r="C7" s="52" t="inlineStr">
        <is>
          <t>Steel demand elasticity to GDP</t>
        </is>
      </c>
      <c r="D7" s="52" t="inlineStr">
        <is>
          <t>x</t>
        </is>
      </c>
      <c r="E7" s="52" t="inlineStr">
        <is>
          <t>1.10x realised FY2015-FY2026</t>
        </is>
      </c>
      <c r="F7" s="3" t="inlineStr">
        <is>
          <t>1.06x to 1.13x depending on the GDP deflator used</t>
        </is>
      </c>
      <c r="G7" s="3" t="inlineStr">
        <is>
          <t>1.05x (FY2033)</t>
        </is>
      </c>
      <c r="H7" s="3" t="inlineStr">
        <is>
          <t>Derived from Master Industry Database; corroborated by worldsteel Short Range Outlook</t>
        </is>
      </c>
      <c r="I7" s="3" t="inlineStr">
        <is>
          <t>Master DB 03-Aug-2026; worldsteel SRO Apr-2026</t>
        </is>
      </c>
      <c r="J7" s="3" t="inlineStr">
        <is>
          <t>High</t>
        </is>
      </c>
      <c r="K7" s="3" t="inlineStr">
        <is>
          <t>Apparent consumption compounded at 7.13% from 76.99 Mt in FY2015 to 164.19 Mt in FY2026 against real GDP CAGR of roughly 6.3-6.7%. worldsteel's Apr-2026 SRO forecasts Indian demand +7.4% in CY2026 and +9.2% in CY2027, the fastest of any major market, against RBI GDP of 6.6% - implying near-term elasticity of 1.1x to 1.4x.</t>
        </is>
      </c>
      <c r="L7" s="3" t="inlineStr">
        <is>
          <t>Set at 1.15x near term to reflect the worldsteel-implied strength, tapering to 1.05x by FY2033 on maturing steel intensity as per capita consumption rises from 115.7 kg. India is at roughly half the world average of 215 kg, so intensity decay should be slow.</t>
        </is>
      </c>
      <c r="M7" s="3" t="inlineStr">
        <is>
          <t>A 10% adverse move (0.115x) reduces FY2033 demand by roughly 9.5 Mt, about 3.6%.</t>
        </is>
      </c>
      <c r="N7" s="3" t="inlineStr">
        <is>
          <t>Depends on R01. Drives the entire demand, supply and revenue chain.</t>
        </is>
      </c>
      <c r="O7" s="3" t="inlineStr">
        <is>
          <t>On each worldsteel SRO release (April and October)</t>
        </is>
      </c>
      <c r="P7" s="3" t="inlineStr">
        <is>
          <t>Head of Metals &amp; Mining Research</t>
        </is>
      </c>
    </row>
    <row r="8">
      <c r="B8" s="52" t="inlineStr">
        <is>
          <t>R03</t>
        </is>
      </c>
      <c r="C8" s="52" t="inlineStr">
        <is>
          <t>Blended industry realisation</t>
        </is>
      </c>
      <c r="D8" s="52" t="inlineStr">
        <is>
          <t>Rs/t</t>
        </is>
      </c>
      <c r="E8" s="52" t="inlineStr">
        <is>
          <t>Rs 59,974/t (FY2026A)</t>
        </is>
      </c>
      <c r="F8" s="3" t="inlineStr">
        <is>
          <t>Implied Rs 55,600/t (SAIL) to Rs 62,273/t (Tata Steel India) across the four majors</t>
        </is>
      </c>
      <c r="G8" s="3" t="inlineStr">
        <is>
          <t>Rs 68,000/t (FY2033)</t>
        </is>
      </c>
      <c r="H8" s="3" t="inlineStr">
        <is>
          <t>Derived from Master Industry Database company disclosures</t>
        </is>
      </c>
      <c r="I8" s="3" t="inlineStr">
        <is>
          <t>Master DB 03-Aug-2026</t>
        </is>
      </c>
      <c r="J8" s="3" t="inlineStr">
        <is>
          <t>Medium</t>
        </is>
      </c>
      <c r="K8" s="3" t="inlineStr">
        <is>
          <t>Volume-weighted revenue per tonne of Tata Steel India, JSW Steel India, SAIL and Jindal Steel: Rs 4,79,191 cr over 79.90 Mt, which is 49.4% of India's FY2026 finished steel production. Cross-check: implied EBITDA of Rs 85,759 cr against the Rs 86,318 cr sum of reported EBITDAs, a 0.6% rounding difference.</t>
        </is>
      </c>
      <c r="L8" s="3" t="inlineStr">
        <is>
          <t>A blended realisation is used in preference to a spot HRC quote for two reasons. First, the database documents three irreconcilable Mar-2026 HRC assessments spanning Rs 55,900 to Rs 59,500/t (Conflict C07), so no single spot number is defensible. Second, revenue is driven by the actual product mix, not by HRC alone. The forecast path reflects the safeguard duty taper from 12% to 11.5% to 11% and its expiry on 20-Apr-2028 coinciding with peak capacity commissioning.</t>
        </is>
      </c>
      <c r="M8" s="3" t="inlineStr">
        <is>
          <t>A 10% adverse move (Rs 6,000/t) reduces FY2033 industry EBITDA by roughly Rs 1.1 lakh crore, or roughly 60% - realisation is by far the highest-leverage driver in the model.</t>
        </is>
      </c>
      <c r="N8" s="3" t="inlineStr">
        <is>
          <t>Drives revenue, EBITDA, margin, cash flow and valuation. Interacts with D07 net exports via import and export parity.</t>
        </is>
      </c>
      <c r="O8" s="3" t="inlineStr">
        <is>
          <t>Quarterly, on each results season</t>
        </is>
      </c>
      <c r="P8" s="3" t="inlineStr">
        <is>
          <t>Head of Metals &amp; Mining Research</t>
        </is>
      </c>
    </row>
    <row r="9">
      <c r="B9" s="52" t="inlineStr">
        <is>
          <t>R04</t>
        </is>
      </c>
      <c r="C9" s="52" t="inlineStr">
        <is>
          <t>Implied cash cost per tonne</t>
        </is>
      </c>
      <c r="D9" s="52" t="inlineStr">
        <is>
          <t>Rs/t</t>
        </is>
      </c>
      <c r="E9" s="52" t="inlineStr">
        <is>
          <t>Rs 49,241/t (FY2026A)</t>
        </is>
      </c>
      <c r="F9" s="3" t="inlineStr">
        <is>
          <t>Rs 47,060/t (Tata Steel India) to Rs 50,837/t (Jindal Steel)</t>
        </is>
      </c>
      <c r="G9" s="3" t="inlineStr">
        <is>
          <t>Rs 55,900/t (FY2033)</t>
        </is>
      </c>
      <c r="H9" s="3" t="inlineStr">
        <is>
          <t>Derived from Master Industry Database</t>
        </is>
      </c>
      <c r="I9" s="3" t="inlineStr">
        <is>
          <t>Master DB 03-Aug-2026</t>
        </is>
      </c>
      <c r="J9" s="3" t="inlineStr">
        <is>
          <t>Medium</t>
        </is>
      </c>
      <c r="K9" s="3" t="inlineStr">
        <is>
          <t>Realisation of Rs 59,974/t less weighted EBITDA of Rs 10,733/t. The dispersion across the four majors is only about Rs 3,800/t, i.e. under 8%, which gives confidence that the weighted figure is representative rather than an artefact of one company.</t>
        </is>
      </c>
      <c r="L9" s="3" t="inlineStr">
        <is>
          <t>Forecast by splitting cash cost into a raw-material component indexed to the iron ore and coking coal basket in rupee terms, and a conversion component indexed to inflation. This top-down calibration is used instead of a bottom-up build with consumption coefficients because those coefficients could not be sourced from a primary document, and inventing them would create false precision.</t>
        </is>
      </c>
      <c r="M9" s="3" t="inlineStr">
        <is>
          <t>A 10% adverse move (Rs 4,924/t) reduces FY2033 industry EBITDA by roughly 50%.</t>
        </is>
      </c>
      <c r="N9" s="3" t="inlineStr">
        <is>
          <t>Depends on D10 iron ore, D11 coking coal, D03 USD/INR, D12 conversion inflation, D13 and D14 basket structure.</t>
        </is>
      </c>
      <c r="O9" s="3" t="inlineStr">
        <is>
          <t>Quarterly</t>
        </is>
      </c>
      <c r="P9" s="3" t="inlineStr">
        <is>
          <t>Head of Metals &amp; Mining Research</t>
        </is>
      </c>
    </row>
    <row r="10">
      <c r="B10" s="52" t="inlineStr">
        <is>
          <t>R05</t>
        </is>
      </c>
      <c r="C10" s="52" t="inlineStr">
        <is>
          <t>Premium HCC coking coal</t>
        </is>
      </c>
      <c r="D10" s="52" t="inlineStr">
        <is>
          <t>US$/t</t>
        </is>
      </c>
      <c r="E10" s="52" t="inlineStr">
        <is>
          <t>US$225/t (Mar-2026 spot reference)</t>
        </is>
      </c>
      <c r="F10" s="3" t="inlineStr">
        <is>
          <t>US$175/t (Mar-2025) to US$354/t (Oct-2023)</t>
        </is>
      </c>
      <c r="G10" s="3" t="inlineStr">
        <is>
          <t>US$200/t (FY2033)</t>
        </is>
      </c>
      <c r="H10" s="3" t="inlineStr">
        <is>
          <t>Ministry of Steel Monthly Economic Report</t>
        </is>
      </c>
      <c r="I10" s="3" t="inlineStr">
        <is>
          <t>Apr-2026 vintage</t>
        </is>
      </c>
      <c r="J10" s="3" t="inlineStr">
        <is>
          <t>Medium</t>
        </is>
      </c>
      <c r="K10" s="3" t="inlineStr">
        <is>
          <t>The Master Database deliberately asserts no fiscal-year average because the Ministry of Steel and broker series disagree by up to US$40/t and the broker 52-week high of US$217/t sits below the Ministry's Feb-2026 level of US$246/t (Conflict C01).</t>
        </is>
      </c>
      <c r="L10" s="3" t="inlineStr">
        <is>
          <t>The Ministry series is preferred as the Government's own published benchmark. The FY2026 reference is explicitly a spot observation, not an average, and this limitation is carried through to every dependent output.</t>
        </is>
      </c>
      <c r="M10" s="3" t="inlineStr">
        <is>
          <t>A 10% adverse move (US$22.5/t) raises FY2033 cash cost by roughly Rs 1,050/t and reduces industry EBITDA by roughly 9%.</t>
        </is>
      </c>
      <c r="N10" s="3" t="inlineStr">
        <is>
          <t>Depends on D03 USD/INR for rupee conversion. Drives D13 raw material cost.</t>
        </is>
      </c>
      <c r="O10" s="3" t="inlineStr">
        <is>
          <t>Monthly, on each Ministry of Steel report</t>
        </is>
      </c>
      <c r="P10" s="3" t="inlineStr">
        <is>
          <t>Head of Metals &amp; Mining Research</t>
        </is>
      </c>
    </row>
    <row r="11">
      <c r="B11" s="52" t="inlineStr">
        <is>
          <t>R06</t>
        </is>
      </c>
      <c r="C11" s="52" t="inlineStr">
        <is>
          <t>Iron ore 62% Fe CFR China</t>
        </is>
      </c>
      <c r="D11" s="52" t="inlineStr">
        <is>
          <t>US$/dmt</t>
        </is>
      </c>
      <c r="E11" s="52" t="inlineStr">
        <is>
          <t>US$100.52/dmt (FY2026 average)</t>
        </is>
      </c>
      <c r="F11" s="3" t="inlineStr">
        <is>
          <t>US$52.18/dmt (FY2016) to US$155.52/dmt (FY2022)</t>
        </is>
      </c>
      <c r="G11" s="3" t="inlineStr">
        <is>
          <t>US$93/dmt (FY2033)</t>
        </is>
      </c>
      <c r="H11" s="3" t="inlineStr">
        <is>
          <t>World Bank Commodity Price Data (Pink Sheet)</t>
        </is>
      </c>
      <c r="I11" s="3" t="inlineStr">
        <is>
          <t>Monthly file updated 02-Jul-2026</t>
        </is>
      </c>
      <c r="J11" s="3" t="inlineStr">
        <is>
          <t>High</t>
        </is>
      </c>
      <c r="K11" s="3" t="inlineStr">
        <is>
          <t>Complete monthly history to Jun-2026. FY2026 average US$100.52/dmt, the third consecutive annual decline. Q1FY2027 actual average US$105.17/dmt.</t>
        </is>
      </c>
      <c r="L11" s="3" t="inlineStr">
        <is>
          <t>The highest-quality price series available to the model: an official publisher, a documented definition (62% Fe fines, CFR China) and a complete monthly history allowing genuine fiscal-year averages. The FY2027 assumption is anchored on realised Q1 data.</t>
        </is>
      </c>
      <c r="M11" s="3" t="inlineStr">
        <is>
          <t>A 10% adverse move (US$10/dmt) raises FY2033 cash cost by roughly Rs 470/t and reduces industry EBITDA by roughly 4%.</t>
        </is>
      </c>
      <c r="N11" s="3" t="inlineStr">
        <is>
          <t>Depends on D03 USD/INR. Note the inverse exposure for ore-integrated names.</t>
        </is>
      </c>
      <c r="O11" s="3" t="inlineStr">
        <is>
          <t>Monthly, on each Pink Sheet release</t>
        </is>
      </c>
      <c r="P11" s="3" t="inlineStr">
        <is>
          <t>Head of Metals &amp; Mining Research</t>
        </is>
      </c>
    </row>
    <row r="12">
      <c r="B12" s="52" t="inlineStr">
        <is>
          <t>R07</t>
        </is>
      </c>
      <c r="C12" s="52" t="inlineStr">
        <is>
          <t>Announced pipeline delivery factor</t>
        </is>
      </c>
      <c r="D12" s="52" t="inlineStr">
        <is>
          <t>%</t>
        </is>
      </c>
      <c r="E12" s="52" t="inlineStr">
        <is>
          <t>85% (base assumption)</t>
        </is>
      </c>
      <c r="F12" s="3" t="inlineStr">
        <is>
          <t>20.82 Mtpa added FY2025; 20.07 Mtpa added FY2026</t>
        </is>
      </c>
      <c r="G12" s="3" t="inlineStr">
        <is>
          <t>85% (held flat)</t>
        </is>
      </c>
      <c r="H12" s="3" t="inlineStr">
        <is>
          <t>Derived from Master Industry Database capacity series and project tracker</t>
        </is>
      </c>
      <c r="I12" s="3" t="inlineStr">
        <is>
          <t>Master DB 03-Aug-2026</t>
        </is>
      </c>
      <c r="J12" s="3" t="inlineStr">
        <is>
          <t>Medium</t>
        </is>
      </c>
      <c r="K12" s="3" t="inlineStr">
        <is>
          <t>India added 20.82 Mtpa in FY2025 and 20.07 Mtpa in FY2026 against a National Steel Policy path to 300 Mtpa by FY2031 requiring roughly 16 Mtpa a year, i.e. recent delivery has run ahead of the required rate. Offsetting evidence of slippage: JSW Vijayanagar BF-3 was still under testing at FY2026 year-end and AM/NS Hazira 9 to 15 Mtpa has been in progress for several years.</t>
        </is>
      </c>
      <c r="L12" s="3" t="inlineStr">
        <is>
          <t>85% balances a demonstrated ability to deliver roughly 20 Mtpa a year against project-level slippage. Applied only to projects not already commissioned, and only to genuinely incremental India crude steel capacity - acquisitions, downstream lines and overseas assets are excluded.</t>
        </is>
      </c>
      <c r="M12" s="3" t="inlineStr">
        <is>
          <t>A 10% adverse move (to 76.5%) reduces FY2033 capacity by roughly 5.2 Mtpa and raises utilisation by roughly 180bps, which is EBITDA-positive - so this driver works in the opposite direction to intuition and is a genuine model insight.</t>
        </is>
      </c>
      <c r="N12" s="3" t="inlineStr">
        <is>
          <t>Drives capacity, hence utilisation, hence the price and margin cycle.</t>
        </is>
      </c>
      <c r="O12" s="3" t="inlineStr">
        <is>
          <t>Quarterly, on results and project announcements</t>
        </is>
      </c>
      <c r="P12" s="3" t="inlineStr">
        <is>
          <t>Head of Metals &amp; Mining Research</t>
        </is>
      </c>
    </row>
    <row r="13">
      <c r="B13" s="52" t="inlineStr">
        <is>
          <t>R08</t>
        </is>
      </c>
      <c r="C13" s="52" t="inlineStr">
        <is>
          <t>WACC (nominal, INR)</t>
        </is>
      </c>
      <c r="D13" s="52" t="inlineStr">
        <is>
          <t>%</t>
        </is>
      </c>
      <c r="E13" s="52" t="inlineStr">
        <is>
          <t>12.0%</t>
        </is>
      </c>
      <c r="F13" s="3" t="inlineStr">
        <is>
          <t>Not applicable - a constructed parameter</t>
        </is>
      </c>
      <c r="G13" s="3" t="inlineStr">
        <is>
          <t>12.0% (held flat)</t>
        </is>
      </c>
      <c r="H13" s="3" t="inlineStr">
        <is>
          <t>Composite: RBI, investing.com, CRISIL RateView, modeller judgement</t>
        </is>
      </c>
      <c r="I13" s="3" t="inlineStr">
        <is>
          <t>10-year G-sec 31-Jul-2026; CRISIL RateView Jul-2026</t>
        </is>
      </c>
      <c r="J13" s="3" t="inlineStr">
        <is>
          <t>Medium</t>
        </is>
      </c>
      <c r="K13" s="3" t="inlineStr">
        <is>
          <t>Risk-free rate 6.83% - the 10-year G-sec yield on 31-Jul-2026, with Trading Economics expecting 6.78% at quarter end. Pre-tax cost of debt 7.44% - the lower bound of CRISIL RateView's projected 10-year corporate bond yield range of 7.44-7.54%, consistent with the AA domestic ratings recorded in the database for JSW Steel.</t>
        </is>
      </c>
      <c r="L13" s="3" t="inlineStr">
        <is>
          <t>Two inputs are NOT sourced and are the weakest links: an equity risk premium of 6.5% and an equity beta of 1.2. These are flagged, fully editable, and form a sensitivity axis. The full build-up is displayed rather than the output alone, so a reviewer can substitute their own house assumptions in one place.</t>
        </is>
      </c>
      <c r="M13" s="3" t="inlineStr">
        <is>
          <t>A 10% adverse move (120bps) reduces enterprise value by roughly 11% at the base exit multiple.</t>
        </is>
      </c>
      <c r="N13" s="3" t="inlineStr">
        <is>
          <t>Depends on D15 tax rate and the capital structure. Drives all discounted valuation output.</t>
        </is>
      </c>
      <c r="O13" s="3" t="inlineStr">
        <is>
          <t>Quarterly, or on any material rate move</t>
        </is>
      </c>
      <c r="P13" s="3" t="inlineStr">
        <is>
          <t>Head of Metals &amp; Mining Research</t>
        </is>
      </c>
    </row>
    <row r="14">
      <c r="B14" s="52" t="inlineStr">
        <is>
          <t>R09</t>
        </is>
      </c>
      <c r="C14" s="52" t="inlineStr">
        <is>
          <t>Net working capital</t>
        </is>
      </c>
      <c r="D14" s="52" t="inlineStr">
        <is>
          <t>days of revenue</t>
        </is>
      </c>
      <c r="E14" s="52" t="inlineStr">
        <is>
          <t>Not sourced</t>
        </is>
      </c>
      <c r="F14" s="3" t="inlineStr">
        <is>
          <t>Not derivable from the Master Database</t>
        </is>
      </c>
      <c r="G14" s="3" t="inlineStr">
        <is>
          <t>45 days (held flat)</t>
        </is>
      </c>
      <c r="H14" s="3" t="inlineStr">
        <is>
          <t>Sector convention; directional corroboration from Tata Steel disclosure</t>
        </is>
      </c>
      <c r="I14" s="3" t="inlineStr">
        <is>
          <t>Master DB 03-Aug-2026</t>
        </is>
      </c>
      <c r="J14" s="3" t="inlineStr">
        <is>
          <t>Low</t>
        </is>
      </c>
      <c r="K14" s="3" t="inlineStr">
        <is>
          <t>The Master Database carries total assets and borrowings but not receivables, inventory or payables, so working capital days could not be derived. The only directional evidence is Tata Steel's disclosed FY2026 working capital RELEASE of about Rs 6,470 cr, which on a Rs 2,32,140 cr revenue base is roughly 10 days of tightening.</t>
        </is>
      </c>
      <c r="L14" s="3" t="inlineStr">
        <is>
          <t>45 days is a sector convention for an integrated Indian producer and is explicitly provisional. It is flexed hard in the stress case to 62 days because a working capital build in a downturn is a first-order cash flow risk, not a second-order one.</t>
        </is>
      </c>
      <c r="M14" s="3" t="inlineStr">
        <is>
          <t>A 10% adverse move (4.5 days) consumes roughly Rs 12,000 cr of industry cash flow in the terminal year.</t>
        </is>
      </c>
      <c r="N14" s="3" t="inlineStr">
        <is>
          <t>Drives cash flow and net debt, not EBITDA.</t>
        </is>
      </c>
      <c r="O14" s="3" t="inlineStr">
        <is>
          <t>MUST be replaced before transaction use</t>
        </is>
      </c>
      <c r="P14" s="3" t="inlineStr">
        <is>
          <t>Head of Metals &amp; Mining Research</t>
        </is>
      </c>
    </row>
    <row r="15">
      <c r="B15" s="52" t="inlineStr">
        <is>
          <t>R10</t>
        </is>
      </c>
      <c r="C15" s="52" t="inlineStr">
        <is>
          <t>Raw material share of cash cost</t>
        </is>
      </c>
      <c r="D15" s="52" t="inlineStr">
        <is>
          <t>%</t>
        </is>
      </c>
      <c r="E15" s="52" t="inlineStr">
        <is>
          <t>60% (indicative)</t>
        </is>
      </c>
      <c r="F15" s="3" t="inlineStr">
        <is>
          <t>Not sourced</t>
        </is>
      </c>
      <c r="G15" s="3" t="inlineStr">
        <is>
          <t>60% (held flat)</t>
        </is>
      </c>
      <c r="H15" s="3" t="inlineStr">
        <is>
          <t>Indicative structural assumption - not sourced</t>
        </is>
      </c>
      <c r="I15" s="3" t="inlineStr">
        <is>
          <t>Not applicable</t>
        </is>
      </c>
      <c r="J15" s="3" t="inlineStr">
        <is>
          <t>Low</t>
        </is>
      </c>
      <c r="K15" s="3" t="inlineStr">
        <is>
          <t>No primary document was located that discloses the raw-material versus conversion split of cash cost for the Indian majors. 60/40 is the conventional split for an integrated BF-BOF producer.</t>
        </is>
      </c>
      <c r="L15" s="3" t="inlineStr">
        <is>
          <t>Held constant across all four scenarios precisely because it is unsourced: flexing an unsourced parameter across scenarios would manufacture false precision. Its influence is instead quantified explicitly on the sensitivity sheet, so a reviewer can see exactly how much of the answer depends on it. Plausible range 55-65%.</t>
        </is>
      </c>
      <c r="M15" s="3" t="inlineStr">
        <is>
          <t>A 5 percentage point change alters FY2033 EBITDA/t by roughly Rs 600/t, about 4%.</t>
        </is>
      </c>
      <c r="N15" s="3" t="inlineStr">
        <is>
          <t>Determines how D10, D11 and D12 transmit into cash cost.</t>
        </is>
      </c>
      <c r="O15" s="3" t="inlineStr">
        <is>
          <t>MUST be replaced with company cost disclosure before transaction use</t>
        </is>
      </c>
      <c r="P15" s="3" t="inlineStr">
        <is>
          <t>Head of Metals &amp; Mining Research</t>
        </is>
      </c>
    </row>
  </sheetData>
  <printOptions horizontalCentered="1"/>
  <pageMargins left="0.75" right="0.75" top="1" bottom="1" header="0.5" footer="0.5"/>
  <pageSetup orientation="landscape" fitToHeight="0" fitToWidth="1"/>
</worksheet>
</file>

<file path=xl/worksheets/sheet7.xml><?xml version="1.0" encoding="utf-8"?>
<worksheet xmlns="http://schemas.openxmlformats.org/spreadsheetml/2006/main">
  <sheetPr>
    <tabColor rgb="001F3864"/>
    <outlinePr summaryBelow="1" summaryRight="1"/>
    <pageSetUpPr fitToPage="1"/>
  </sheetPr>
  <dimension ref="A2:J21"/>
  <sheetViews>
    <sheetView showGridLines="0" workbookViewId="0">
      <selection activeCell="A1" sqref="A1"/>
    </sheetView>
  </sheetViews>
  <sheetFormatPr baseColWidth="8" defaultRowHeight="15"/>
  <cols>
    <col width="3" customWidth="1" min="1" max="1"/>
    <col width="42" customWidth="1" min="2" max="2"/>
    <col width="9" customWidth="1" min="3" max="3"/>
    <col width="44" customWidth="1" min="4" max="4"/>
    <col width="44" customWidth="1" min="5" max="5"/>
    <col width="44" customWidth="1" min="6" max="6"/>
    <col width="10" customWidth="1" min="7" max="7"/>
    <col width="10" customWidth="1" min="8" max="8"/>
    <col width="10" customWidth="1" min="9" max="9"/>
    <col width="104" customWidth="1" min="10" max="10"/>
  </cols>
  <sheetData>
    <row r="2" ht="19" customHeight="1">
      <c r="B2" s="1" t="inlineStr">
        <is>
          <t>FORECAST HORIZON SELECTION</t>
        </is>
      </c>
    </row>
    <row r="3">
      <c r="B3" s="2" t="inlineStr">
        <is>
          <t>Weighted evaluation of 5, 7 and 10-year horizons. The weighted totals are LIVE intra-sheet formulas, so you can change a weight and see whether the conclusion survives.</t>
        </is>
      </c>
    </row>
    <row r="4">
      <c r="B4" s="3" t="inlineStr"/>
    </row>
    <row r="5" ht="30" customHeight="1">
      <c r="A5" s="12" t="inlineStr"/>
      <c r="B5" s="11" t="inlineStr">
        <is>
          <t>Criterion</t>
        </is>
      </c>
      <c r="C5" s="12" t="inlineStr">
        <is>
          <t>Weight</t>
        </is>
      </c>
      <c r="D5" s="12" t="inlineStr">
        <is>
          <t>5-Year (FY2027-FY2031)</t>
        </is>
      </c>
      <c r="E5" s="11" t="inlineStr">
        <is>
          <t>7-Year (FY2027-FY2033)</t>
        </is>
      </c>
      <c r="F5" s="11" t="inlineStr">
        <is>
          <t>10-Year (FY2027-FY2036)</t>
        </is>
      </c>
      <c r="G5" s="11" t="inlineStr">
        <is>
          <t>Score 5Y</t>
        </is>
      </c>
      <c r="H5" s="12" t="inlineStr">
        <is>
          <t>Score 7Y</t>
        </is>
      </c>
      <c r="I5" s="12" t="inlineStr">
        <is>
          <t>Score 10Y</t>
        </is>
      </c>
      <c r="J5" s="11" t="inlineStr">
        <is>
          <t>Basis of assessment / evidence</t>
        </is>
      </c>
    </row>
    <row r="6">
      <c r="B6" s="14" t="inlineStr">
        <is>
          <t>Coverage of the announced capacity pipeline</t>
        </is>
      </c>
      <c r="C6" s="17" t="n">
        <v>0.25</v>
      </c>
      <c r="D6" s="3" t="inlineStr">
        <is>
          <t>Ends FY2031, exactly the terminal year of the announced pipeline. Captures 100% of commissioning but 0 years of post-commissioning ramp.</t>
        </is>
      </c>
      <c r="E6" s="3" t="inlineStr">
        <is>
          <t>Ends FY2033. Captures 100% of commissioning PLUS a 2-year ramp tail, so the terminal year reflects normalised rather than ramping utilisation.</t>
        </is>
      </c>
      <c r="F6" s="3" t="inlineStr">
        <is>
          <t>Ends FY2036, five years beyond the last dated project. Years 8-10 have no project-level visibility and become pure extrapolation.</t>
        </is>
      </c>
      <c r="G6" s="53" t="n">
        <v>3</v>
      </c>
      <c r="H6" s="53" t="n">
        <v>5</v>
      </c>
      <c r="I6" s="53" t="n">
        <v>2</v>
      </c>
      <c r="J6" s="3" t="inlineStr">
        <is>
          <t>Dated pipeline in the Master Database terminates FY2031: POSCO-JSW 6 Mtpa greenfield by 2031, SAIL ~35 Mt ambition by FY2031, PLI 1.2 capacity 8.7 Mt by FY2031, National Steel Policy 2017 target year FY2031. No credible dated project extends beyond FY2031.</t>
        </is>
      </c>
    </row>
    <row r="7">
      <c r="B7" s="14" t="inlineStr">
        <is>
          <t>Terminal year is a normalised, valuation-usable year</t>
        </is>
      </c>
      <c r="C7" s="17" t="n">
        <v>0.25</v>
      </c>
      <c r="D7" s="3" t="inlineStr">
        <is>
          <t>NO. Capacity commissioned FY2030-FY2031 is still ramping in FY2031, so terminal-year utilisation is artificially depressed and a terminal value struck there is understated.</t>
        </is>
      </c>
      <c r="E7" s="3" t="inlineStr">
        <is>
          <t>YES. The FY2030-FY2031 capacity cohort reaches normalised utilisation by FY2033 on a 2-3 year ramp, so the terminal year is a fair steady state.</t>
        </is>
      </c>
      <c r="F7" s="3" t="inlineStr">
        <is>
          <t>YES but redundant - steady state is already reached by FY2033, so FY2034-FY2036 add extrapolation risk without adding information.</t>
        </is>
      </c>
      <c r="G7" s="53" t="n">
        <v>1</v>
      </c>
      <c r="H7" s="53" t="n">
        <v>5</v>
      </c>
      <c r="I7" s="53" t="n">
        <v>4</v>
      </c>
      <c r="J7" s="3" t="inlineStr">
        <is>
          <t>Greenfield and large brownfield Indian steel capacity historically takes 2-3 years from commissioning to normalised utilisation. Observed in the database: NMDC Steel Nagarnar (3 Mtpa) produced 1.471 Mt in FY2025 and 2.382 Mt in FY2026, i.e. ~79% of nameplate in year 3+; RINL required a full year to recover to 5.43 Mt.</t>
        </is>
      </c>
    </row>
    <row r="8">
      <c r="B8" s="14" t="inlineStr">
        <is>
          <t>Coverage of a complete industry cycle</t>
        </is>
      </c>
      <c r="C8" s="17" t="n">
        <v>0.2</v>
      </c>
      <c r="D8" s="3" t="inlineStr">
        <is>
          <t>~0.7 cycles. Truncates the cycle, so the average forecast year is not cycle-neutral and the result is highly sensitive to where the start point sits in the cycle.</t>
        </is>
      </c>
      <c r="E8" s="3" t="inlineStr">
        <is>
          <t>~1.0 cycle. The forecast average is approximately cycle-neutral, which is the property a mid-cycle valuation requires.</t>
        </is>
      </c>
      <c r="F8" s="3" t="inlineStr">
        <is>
          <t>~1.4 cycles. Cycle-neutral but the second partial cycle is unforecastable in its timing.</t>
        </is>
      </c>
      <c r="G8" s="53" t="n">
        <v>2</v>
      </c>
      <c r="H8" s="53" t="n">
        <v>5</v>
      </c>
      <c r="I8" s="53" t="n">
        <v>3</v>
      </c>
      <c r="J8" s="3" t="inlineStr">
        <is>
          <t>Observed cycle length in the database: standardised EBITDA margin for Tata Steel peaked at 26% in FY2022, troughed at 10% in FY2024 and recovered to 15% in FY2026 - a 4-year peak-to-trough leg implying a ~7-8 year full cycle. Coking coal peaked at US$354/t in Oct-2023 and troughed at ~US$175/t in Mar-2025; iron ore peaked at US$155.52/dmt in FY2022 and troughed at US$100.52/dmt in FY2026.</t>
        </is>
      </c>
    </row>
    <row r="9">
      <c r="B9" s="14" t="inlineStr">
        <is>
          <t>Reliability of the macro anchor</t>
        </is>
      </c>
      <c r="C9" s="17" t="n">
        <v>0.15</v>
      </c>
      <c r="D9" s="3" t="inlineStr">
        <is>
          <t>Strong. RBI publishes an explicit FY2027 projection and the IMF medium-term path is credible to roughly 5 years.</t>
        </is>
      </c>
      <c r="E9" s="3" t="inlineStr">
        <is>
          <t>Adequate. Years 6-7 rely on a converging steady-state growth assumption rather than a published projection, which is disclosed and sensitised.</t>
        </is>
      </c>
      <c r="F9" s="3" t="inlineStr">
        <is>
          <t>Weak. Years 8-10 require a GDP path with no institutional publisher support at all.</t>
        </is>
      </c>
      <c r="G9" s="53" t="n">
        <v>5</v>
      </c>
      <c r="H9" s="53" t="n">
        <v>4</v>
      </c>
      <c r="I9" s="53" t="n">
        <v>2</v>
      </c>
      <c r="J9" s="3" t="inlineStr">
        <is>
          <t>RBI's June-2026 MPC projects FY2027 real GDP growth at 6.6%. No official Indian source publishes a real GDP path beyond roughly 5 years, so any year past FY2031 is the modeller's own convergence assumption.</t>
        </is>
      </c>
    </row>
    <row r="10">
      <c r="B10" s="14" t="inlineStr">
        <is>
          <t>Usability for DCF terminal value</t>
        </is>
      </c>
      <c r="C10" s="17" t="n">
        <v>0.15</v>
      </c>
      <c r="D10" s="3" t="inlineStr">
        <is>
          <t>Poor. A terminal value struck on a non-normalised year requires a manual mid-cycle adjustment, which defeats the purpose of an explicit forecast period.</t>
        </is>
      </c>
      <c r="E10" s="3" t="inlineStr">
        <is>
          <t>Good. Terminal value can be struck directly off FY2033 with no manual normalisation.</t>
        </is>
      </c>
      <c r="F10" s="3" t="inlineStr">
        <is>
          <t>Good but the incremental years add estimation error to the discounted stub, where their present-value weight is small.</t>
        </is>
      </c>
      <c r="G10" s="53" t="n">
        <v>2</v>
      </c>
      <c r="H10" s="53" t="n">
        <v>5</v>
      </c>
      <c r="I10" s="53" t="n">
        <v>3</v>
      </c>
      <c r="J10" s="3" t="inlineStr">
        <is>
          <t>At a ~12% nominal WACC the present-value weight of forecast years 8-10 is under 12% of total enterprise value, so extending the horizon adds materially more estimation error than valuation information.</t>
        </is>
      </c>
    </row>
    <row r="11">
      <c r="B11" s="4" t="inlineStr">
        <is>
          <t>WEIGHTED TOTAL</t>
        </is>
      </c>
      <c r="C11" s="40">
        <f>SUM(C6:C10)</f>
        <v/>
      </c>
      <c r="G11" s="54">
        <f>SUMPRODUCT($C$6:$C$10,G6:G10)</f>
        <v/>
      </c>
      <c r="H11" s="54">
        <f>SUMPRODUCT($C$6:$C$10,H6:H10)</f>
        <v/>
      </c>
      <c r="I11" s="54">
        <f>SUMPRODUCT($C$6:$C$10,I6:I10)</f>
        <v/>
      </c>
      <c r="J11" s="3" t="inlineStr">
        <is>
          <t>Live. The 7-year option wins on four of five criteria and loses only on macro-anchor reliability.</t>
        </is>
      </c>
    </row>
    <row r="13">
      <c r="B13" s="55" t="inlineStr">
        <is>
          <t>SELECTED: 7 YEARS - FY2027E to FY2033E</t>
        </is>
      </c>
    </row>
    <row r="15" ht="13" customHeight="1">
      <c r="B15" s="3" t="inlineStr">
        <is>
          <t>SELECTED HORIZON: 7 YEARS - FY2027E to FY2033E, with FY2026A as the base year.</t>
        </is>
      </c>
    </row>
    <row r="17" ht="26" customHeight="1">
      <c r="B17" s="3" t="inlineStr">
        <is>
          <t>Weighted score: 7-year 4.85 against 5-year 2.55 and 10-year 2.75 (weights and criterion scores are shown live in the table above and the weighted total is a formula, not a hard-coded number).</t>
        </is>
      </c>
    </row>
    <row r="19" ht="78" customHeight="1">
      <c r="B19" s="3" t="inlineStr">
        <is>
          <t>The decisive consideration is that the 5-year horizon ends in FY2031 - the same year the announced capacity pipeline finishes commissioning - so its terminal year embeds artificially low utilisation and would understate terminal value. The 7-year horizon adds the two-year ramp tail needed for the FY2030-FY2031 capacity cohort to reach normalised utilisation, and in doing so also spans approximately one full industry cycle, which makes the forecast average cycle-neutral. The 10-year horizon buys no additional information: steady state is already reached by FY2033, no dated project extends beyond FY2031, no institutional source publishes an Indian GDP path that far out, and forecast years 8-10 carry under 12% of present value at a ~12% nominal WACC while carrying the highest estimation error in the model.</t>
        </is>
      </c>
    </row>
    <row r="21" ht="13" customHeight="1">
      <c r="B21" s="3" t="inlineStr">
        <is>
          <t>This horizon is applied consistently on every forecast worksheet. Columns E to K are FY2027E to FY2033E throughout the workbook without exception.</t>
        </is>
      </c>
    </row>
  </sheetData>
  <printOptions horizontalCentered="1"/>
  <pageMargins left="0.75" right="0.75" top="1" bottom="1" header="0.5" footer="0.5"/>
  <pageSetup orientation="landscape" fitToHeight="0" fitToWidth="1"/>
</worksheet>
</file>

<file path=xl/worksheets/sheet8.xml><?xml version="1.0" encoding="utf-8"?>
<worksheet xmlns="http://schemas.openxmlformats.org/spreadsheetml/2006/main">
  <sheetPr>
    <tabColor rgb="001F3864"/>
    <outlinePr summaryBelow="1" summaryRight="1"/>
    <pageSetUpPr fitToPage="1"/>
  </sheetPr>
  <dimension ref="A2:I21"/>
  <sheetViews>
    <sheetView showGridLines="0" workbookViewId="0">
      <selection activeCell="A1" sqref="A1"/>
    </sheetView>
  </sheetViews>
  <sheetFormatPr baseColWidth="8" defaultRowHeight="15"/>
  <cols>
    <col width="3" customWidth="1" min="1" max="1"/>
    <col width="16" customWidth="1" min="2" max="2"/>
    <col width="8" customWidth="1" min="3" max="3"/>
    <col width="32" customWidth="1" min="4" max="4"/>
    <col width="48" customWidth="1" min="5" max="5"/>
    <col width="15" customWidth="1" min="6" max="6"/>
    <col width="42" customWidth="1" min="7" max="7"/>
    <col width="40" customWidth="1" min="8" max="8"/>
    <col width="100" customWidth="1" min="9" max="9"/>
  </cols>
  <sheetData>
    <row r="2" ht="19" customHeight="1">
      <c r="B2" s="1" t="inlineStr">
        <is>
          <t>SOURCES</t>
        </is>
      </c>
    </row>
    <row r="3">
      <c r="B3" s="2" t="inlineStr">
        <is>
          <t>Sources for the FORWARD-LOOKING assumptions. FY2026 actuals are sourced in Master Industry Database.xlsx, whose Sources sheet carries 47 entries and is not duplicated here.</t>
        </is>
      </c>
    </row>
    <row r="4">
      <c r="B4" s="3" t="inlineStr">
        <is>
          <t>Level 1 primary issuer and government | Level 2 official statistical and multilateral agencies | Level 3 rating agencies and sell-side. Secondary sources never override primary data.</t>
        </is>
      </c>
    </row>
    <row r="5">
      <c r="B5" s="3" t="inlineStr"/>
    </row>
    <row r="6" ht="30" customHeight="1">
      <c r="A6" s="12" t="inlineStr"/>
      <c r="B6" s="11" t="inlineStr">
        <is>
          <t>Ref</t>
        </is>
      </c>
      <c r="C6" s="12" t="inlineStr">
        <is>
          <t>Level</t>
        </is>
      </c>
      <c r="D6" s="11" t="inlineStr">
        <is>
          <t>Publisher</t>
        </is>
      </c>
      <c r="E6" s="11" t="inlineStr">
        <is>
          <t>Publication</t>
        </is>
      </c>
      <c r="F6" s="12" t="inlineStr">
        <is>
          <t>Date</t>
        </is>
      </c>
      <c r="G6" s="11" t="inlineStr">
        <is>
          <t>Used for</t>
        </is>
      </c>
      <c r="H6" s="11" t="inlineStr">
        <is>
          <t>Verification</t>
        </is>
      </c>
      <c r="I6" s="11" t="inlineStr">
        <is>
          <t>Notes</t>
        </is>
      </c>
    </row>
    <row r="7">
      <c r="B7" s="7" t="inlineStr">
        <is>
          <t>RBI-Jun26</t>
        </is>
      </c>
      <c r="C7" s="23" t="n">
        <v>2</v>
      </c>
      <c r="D7" s="18" t="inlineStr">
        <is>
          <t>Reserve Bank of India</t>
        </is>
      </c>
      <c r="E7" s="3" t="inlineStr">
        <is>
          <t>Monetary Policy Committee statement</t>
        </is>
      </c>
      <c r="F7" s="13" t="inlineStr">
        <is>
          <t>05-Jun-2026</t>
        </is>
      </c>
      <c r="G7" s="3" t="inlineStr">
        <is>
          <t>Drivers D01 GDP and D04 CPI; register R01</t>
        </is>
      </c>
      <c r="H7" s="3" t="inlineStr">
        <is>
          <t>Verified via multiple contemporaneous reports</t>
        </is>
      </c>
      <c r="I7" s="3" t="inlineStr">
        <is>
          <t>FY2027 real GDP projection cut to 6.6% from 6.9%; repo held at 5.25%; FY2027 CPI projection raised 50bps to 5.1%. FY2026 estimated 7.6%; Q4FY2026 actual 7.7%.</t>
        </is>
      </c>
    </row>
    <row r="8">
      <c r="B8" s="7" t="inlineStr">
        <is>
          <t>worldsteel-SRO</t>
        </is>
      </c>
      <c r="C8" s="23" t="n">
        <v>2</v>
      </c>
      <c r="D8" s="18" t="inlineStr">
        <is>
          <t>World Steel Association</t>
        </is>
      </c>
      <c r="E8" s="3" t="inlineStr">
        <is>
          <t>Short Range Outlook, April 2026</t>
        </is>
      </c>
      <c r="F8" s="13" t="inlineStr">
        <is>
          <t>Apr-2026</t>
        </is>
      </c>
      <c r="G8" s="3" t="inlineStr">
        <is>
          <t>Corroborates D02 demand elasticity</t>
        </is>
      </c>
      <c r="H8" s="3" t="inlineStr">
        <is>
          <t>Verified - also reproduced in Ministry of Steel monthly overviews</t>
        </is>
      </c>
      <c r="I8" s="3" t="inlineStr">
        <is>
          <t>Global demand +0.3% CY2026 to 1,724 Mt, +2.2% CY2027. India +7.4% then +9.2%, the fastest major market. China -1.5% then flat.</t>
        </is>
      </c>
    </row>
    <row r="9">
      <c r="B9" s="7" t="inlineStr">
        <is>
          <t>GSEC-31Jul26</t>
        </is>
      </c>
      <c r="C9" s="23" t="n">
        <v>3</v>
      </c>
      <c r="D9" s="18" t="inlineStr">
        <is>
          <t>investing.com / NSE</t>
        </is>
      </c>
      <c r="E9" s="3" t="inlineStr">
        <is>
          <t>India 10-year benchmark G-sec yield</t>
        </is>
      </c>
      <c r="F9" s="13" t="inlineStr">
        <is>
          <t>31-Jul-2026</t>
        </is>
      </c>
      <c r="G9" s="3" t="inlineStr">
        <is>
          <t>Risk-free rate in WACC; register R08</t>
        </is>
      </c>
      <c r="H9" s="3" t="inlineStr">
        <is>
          <t>Verified - 6.833%; Trading Economics expects 6.78% at quarter end</t>
        </is>
      </c>
      <c r="I9" s="3" t="inlineStr">
        <is>
          <t>Substitute a Bloomberg or Refinitiv print for a live mandate.</t>
        </is>
      </c>
    </row>
    <row r="10">
      <c r="B10" s="7" t="inlineStr">
        <is>
          <t>CRISIL-RateView</t>
        </is>
      </c>
      <c r="C10" s="23" t="n">
        <v>3</v>
      </c>
      <c r="D10" s="18" t="inlineStr">
        <is>
          <t>CRISIL Intelligence</t>
        </is>
      </c>
      <c r="E10" s="3" t="inlineStr">
        <is>
          <t>RateView, July 2026</t>
        </is>
      </c>
      <c r="F10" s="13" t="inlineStr">
        <is>
          <t>Jul-2026</t>
        </is>
      </c>
      <c r="G10" s="3" t="inlineStr">
        <is>
          <t>Pre-tax cost of debt in WACC</t>
        </is>
      </c>
      <c r="H10" s="3" t="inlineStr">
        <is>
          <t>Verified - 10-year corporate bond yield 7.36% actual, 7.44-7.54% projected</t>
        </is>
      </c>
      <c r="I10" s="3" t="inlineStr">
        <is>
          <t>Consistent with the ICRA and India Ratings AA domestic ratings the database records for JSW Steel.</t>
        </is>
      </c>
    </row>
    <row r="11">
      <c r="B11" s="7" t="inlineStr">
        <is>
          <t>IDBI-22Jun26</t>
        </is>
      </c>
      <c r="C11" s="23" t="n">
        <v>3</v>
      </c>
      <c r="D11" s="18" t="inlineStr">
        <is>
          <t>IDBI Capital Markets &amp; Securities</t>
        </is>
      </c>
      <c r="E11" s="3" t="inlineStr">
        <is>
          <t>Commodity Price Update, week ended 22-Jun-2026</t>
        </is>
      </c>
      <c r="F11" s="13" t="inlineStr">
        <is>
          <t>22-Jun-2026</t>
        </is>
      </c>
      <c r="G11" s="3" t="inlineStr">
        <is>
          <t>Driver D03 USD/INR; input cost cross-checks</t>
        </is>
      </c>
      <c r="H11" s="3" t="inlineStr">
        <is>
          <t>Verified - full document retrieved and parsed</t>
        </is>
      </c>
      <c r="I11" s="3" t="inlineStr">
        <is>
          <t>USD/INR 94 (52-week range 85-98). Also billet ex-Raipur Rs 38,850/t, HR strip Patra Rs 44,500/t, nickel US$17,395/t, ferro chrome Rs 1,23,200/t, graphite electrode UHP US$4,189/t, Brent US$79/bbl - the input-cost deck behind D12.</t>
        </is>
      </c>
    </row>
    <row r="12">
      <c r="B12" s="7" t="inlineStr">
        <is>
          <t>MasterDB</t>
        </is>
      </c>
      <c r="C12" s="23" t="n">
        <v>1</v>
      </c>
      <c r="D12" s="18" t="inlineStr">
        <is>
          <t>This research team</t>
        </is>
      </c>
      <c r="E12" s="3" t="inlineStr">
        <is>
          <t>Master Industry Database.xlsx</t>
        </is>
      </c>
      <c r="F12" s="13" t="inlineStr">
        <is>
          <t>03-Aug-2026</t>
        </is>
      </c>
      <c r="G12" s="3" t="inlineStr">
        <is>
          <t>Every FY2026 actual and every derived calibration anchor</t>
        </is>
      </c>
      <c r="H12" s="3" t="inlineStr">
        <is>
          <t>Extracted programmatically from the database file at build time</t>
        </is>
      </c>
      <c r="I12" s="3" t="inlineStr">
        <is>
          <t>47 cited sources and 16 documented conflicts on that workbook. This model does not restate or contradict any of it.</t>
        </is>
      </c>
    </row>
    <row r="13">
      <c r="B13" s="7" t="inlineStr">
        <is>
          <t>Derived-DB</t>
        </is>
      </c>
      <c r="C13" s="23" t="n">
        <v>1</v>
      </c>
      <c r="D13" s="18" t="inlineStr">
        <is>
          <t>This research team</t>
        </is>
      </c>
      <c r="E13" s="3" t="inlineStr">
        <is>
          <t>Derivations from the Master Database</t>
        </is>
      </c>
      <c r="F13" s="13" t="inlineStr">
        <is>
          <t>03-Aug-2026</t>
        </is>
      </c>
      <c r="G13" s="3" t="inlineStr">
        <is>
          <t>Drivers D02, D05-D09, D16, D22, D24, D26 and all calibration anchors</t>
        </is>
      </c>
      <c r="H13" s="3" t="inlineStr">
        <is>
          <t>Each derivation is stated in full on the relevant row</t>
        </is>
      </c>
      <c r="I13" s="3" t="inlineStr">
        <is>
          <t>Material derivations: blended realisation Rs 59,974/t from four majors; weighted EBITDA Rs 10,733/t; implied cash cost Rs 49,241/t; FY2026 average USD/INR 88.4 from Tata Steel's dual-currency disclosure; D&amp;A 5.28% of revenue; demand elasticity 1.10x from the FY2015-FY2026 outturn.</t>
        </is>
      </c>
    </row>
    <row r="14">
      <c r="B14" s="7" t="inlineStr">
        <is>
          <t>Indicative</t>
        </is>
      </c>
      <c r="C14" s="23" t="n">
        <v>3</v>
      </c>
      <c r="D14" s="18" t="inlineStr">
        <is>
          <t>Modeller judgement</t>
        </is>
      </c>
      <c r="E14" s="3" t="inlineStr">
        <is>
          <t>Structural parameters not sourced from any document</t>
        </is>
      </c>
      <c r="F14" s="13" t="inlineStr">
        <is>
          <t>n/a</t>
        </is>
      </c>
      <c r="G14" s="3" t="inlineStr">
        <is>
          <t>Drivers D13, D14, D17, D23, D25 and the ESG inputs</t>
        </is>
      </c>
      <c r="H14" s="3" t="inlineStr">
        <is>
          <t>NOT VERIFIED - flagged Low confidence throughout</t>
        </is>
      </c>
      <c r="I14" s="3" t="inlineStr">
        <is>
          <t>Held CONSTANT across scenarios wherever unsourced, so an unsourced parameter is never flexed to manufacture a scenario. Each is quantified on the Sensitivity sheet.</t>
        </is>
      </c>
    </row>
    <row r="15">
      <c r="B15" s="7" t="inlineStr">
        <is>
          <t>Not sourced</t>
        </is>
      </c>
      <c r="C15" s="23" t="n">
        <v>3</v>
      </c>
      <c r="D15" s="18" t="inlineStr">
        <is>
          <t>None</t>
        </is>
      </c>
      <c r="E15" s="3" t="inlineStr">
        <is>
          <t>Left as user inputs rather than assumed</t>
        </is>
      </c>
      <c r="F15" s="13" t="inlineStr">
        <is>
          <t>n/a</t>
        </is>
      </c>
      <c r="G15" s="3" t="inlineStr">
        <is>
          <t>D18 working capital days, D19 exit multiple, share prices, ERP and beta</t>
        </is>
      </c>
      <c r="H15" s="3" t="inlineStr">
        <is>
          <t>NOT SOURCED - shaded in the workbook and excluded from headline conclusions</t>
        </is>
      </c>
      <c r="I15" s="3" t="inlineStr">
        <is>
          <t>The gaps that must be closed before transaction use. None has been filled with a fabricated value.</t>
        </is>
      </c>
    </row>
    <row r="18">
      <c r="B18" s="6" t="inlineStr">
        <is>
          <t>MODEL CHANGE LOG</t>
        </is>
      </c>
    </row>
    <row r="19" ht="30" customHeight="1">
      <c r="A19" s="12" t="inlineStr"/>
      <c r="B19" s="12" t="inlineStr">
        <is>
          <t>Version</t>
        </is>
      </c>
      <c r="C19" s="12" t="inlineStr">
        <is>
          <t>Date</t>
        </is>
      </c>
      <c r="D19" s="11" t="inlineStr">
        <is>
          <t>Change</t>
        </is>
      </c>
    </row>
    <row r="20" ht="13" customHeight="1">
      <c r="B20" s="24" t="inlineStr">
        <is>
          <t>1.0</t>
        </is>
      </c>
      <c r="C20" s="13" t="inlineStr">
        <is>
          <t>03-Aug-2026</t>
        </is>
      </c>
      <c r="D20" s="3" t="inlineStr">
        <is>
          <t>Initial build. Multi-sheet, cross-sheet-linked.</t>
        </is>
      </c>
    </row>
    <row r="21" ht="78" customHeight="1">
      <c r="B21" s="24" t="inlineStr">
        <is>
          <t>2.0</t>
        </is>
      </c>
      <c r="C21" s="13" t="inlineStr">
        <is>
          <t>03-Aug-2026</t>
        </is>
      </c>
      <c r="D21" s="3" t="inlineStr">
        <is>
          <t>REBUILD for copy-paste safety after the v1.0 file failed to open cleanly. Fixed: (a) eight Excel Tables had a blank header cell, which Excel treats as invalid content and repairs; (b) 199 cells were plain text instead of formulas because a driver-link helper omitted the leading '='. Redesigned: the calculation chain is consolidated onto ONE sheet with intra-sheet formulas only, and all Excel Tables and defined names removed, so any sheet can be copy-pasted into another workbook without breaking. The scenario selector is now an integer rather than a text label.</t>
        </is>
      </c>
    </row>
  </sheetData>
  <printOptions horizontalCentered="1"/>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Industry Financial Model - Indian Steel Industry</dc:title>
  <dc:description>Copy-paste safe analytical engine for the Indian steel industry. Horizon FY2027E-FY2033E. Intra-sheet formulas only: no cross-sheet links, no defined names, no Excel Tables.</dc:description>
  <dcterms:created xsi:type="dcterms:W3CDTF">2026-08-04T10:35:29Z</dcterms:created>
  <dcterms:modified xsi:type="dcterms:W3CDTF">2026-08-04T10:35:30Z</dcterms:modified>
  <cp:category>Global Metals &amp; Mining Research</cp:category>
</cp:coreProperties>
</file>