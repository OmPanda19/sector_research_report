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ables/table8.xml" ContentType="application/vnd.openxmlformats-officedocument.spreadsheetml.table+xml"/>
  <Override PartName="/xl/worksheets/sheet26.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27.xml" ContentType="application/vnd.openxmlformats-officedocument.spreadsheetml.worksheet+xml"/>
  <Override PartName="/xl/tables/table11.xml" ContentType="application/vnd.openxmlformats-officedocument.spreadsheetml.table+xml"/>
  <Override PartName="/xl/worksheets/sheet28.xml" ContentType="application/vnd.openxmlformats-officedocument.spreadsheetml.worksheet+xml"/>
  <Override PartName="/xl/worksheets/sheet29.xml" ContentType="application/vnd.openxmlformats-officedocument.spreadsheetml.worksheet+xml"/>
  <Override PartName="/xl/tables/table12.xml" ContentType="application/vnd.openxmlformats-officedocument.spreadsheetml.table+xml"/>
  <Override PartName="/xl/worksheets/sheet30.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Contents" sheetId="2" state="visible" r:id="rId2"/>
    <sheet name="00 Database Import" sheetId="3" state="visible" r:id="rId3"/>
    <sheet name="0H Forecast Horizon" sheetId="4" state="visible" r:id="rId4"/>
    <sheet name="01 Control Panel" sheetId="5" state="visible" r:id="rId5"/>
    <sheet name="02 Model Assumptions" sheetId="6" state="visible" r:id="rId6"/>
    <sheet name="03 Macroeconomic Model" sheetId="7" state="visible" r:id="rId7"/>
    <sheet name="04 Steel Demand Model" sheetId="8" state="visible" r:id="rId8"/>
    <sheet name="05 Steel Supply Model" sheetId="9" state="visible" r:id="rId9"/>
    <sheet name="06 Capacity Forecast" sheetId="10" state="visible" r:id="rId10"/>
    <sheet name="07 Capacity Expansion Tracker" sheetId="11" state="visible" r:id="rId11"/>
    <sheet name="08 Capacity Utilisation" sheetId="12" state="visible" r:id="rId12"/>
    <sheet name="09 Steel Price Forecast" sheetId="13" state="visible" r:id="rId13"/>
    <sheet name="10 Raw Material Forecast" sheetId="14" state="visible" r:id="rId14"/>
    <sheet name="11 Cost Curve" sheetId="15" state="visible" r:id="rId15"/>
    <sheet name="12 Revenue Forecast" sheetId="16" state="visible" r:id="rId16"/>
    <sheet name="13 EBITDA Model" sheetId="17" state="visible" r:id="rId17"/>
    <sheet name="14 Margin Analysis" sheetId="18" state="visible" r:id="rId18"/>
    <sheet name="15 Working Capital Model" sheetId="19" state="visible" r:id="rId19"/>
    <sheet name="16 Cash Flow Model" sheetId="20" state="visible" r:id="rId20"/>
    <sheet name="17 Capital Allocation" sheetId="21" state="visible" r:id="rId21"/>
    <sheet name="18 Industry Cycle Model" sheetId="22" state="visible" r:id="rId22"/>
    <sheet name="19 Trade Model" sheetId="23" state="visible" r:id="rId23"/>
    <sheet name="20 ESG Model" sheetId="24" state="visible" r:id="rId24"/>
    <sheet name="21 Scenario Manager" sheetId="25" state="visible" r:id="rId25"/>
    <sheet name="22 Sensitivity Analysis" sheetId="26" state="visible" r:id="rId26"/>
    <sheet name="23 Comparable Valuation" sheetId="27" state="visible" r:id="rId27"/>
    <sheet name="24 Industry Dashboard" sheetId="28" state="visible" r:id="rId28"/>
    <sheet name="25 Audit Checks" sheetId="29" state="visible" r:id="rId29"/>
    <sheet name="26 Sources" sheetId="30" state="visible" r:id="rId30"/>
  </sheets>
  <definedNames>
    <definedName name="ScenID">'01 Control Panel'!$D$15</definedName>
    <definedName name="ScenarioName">'01 Control Panel'!$D$14</definedName>
  </definedNames>
  <calcPr calcId="124519" fullCalcOnLoad="1"/>
</workbook>
</file>

<file path=xl/styles.xml><?xml version="1.0" encoding="utf-8"?>
<styleSheet xmlns="http://schemas.openxmlformats.org/spreadsheetml/2006/main">
  <numFmts count="6">
    <numFmt numFmtId="164" formatCode="#,##0.000;(#,##0.000)"/>
    <numFmt numFmtId="165" formatCode="#,##0;(#,##0)"/>
    <numFmt numFmtId="166" formatCode="0.0%;(0.0%)"/>
    <numFmt numFmtId="167" formatCode="#,##0.00;(#,##0.00)"/>
    <numFmt numFmtId="168" formatCode="#,##0.00&quot;x&quot;"/>
    <numFmt numFmtId="169" formatCode="#,##0.0;(#,##0.0)"/>
  </numFmts>
  <fonts count="17">
    <font>
      <name val="Calibri"/>
      <family val="2"/>
      <color theme="1"/>
      <sz val="11"/>
      <scheme val="minor"/>
    </font>
    <font>
      <name val="Calibri"/>
      <b val="1"/>
      <color rgb="001F3864"/>
      <sz val="14"/>
    </font>
    <font>
      <name val="Calibri"/>
      <b val="1"/>
      <color rgb="00595959"/>
      <sz val="9"/>
    </font>
    <font>
      <name val="Calibri"/>
      <color rgb="00595959"/>
      <sz val="9"/>
    </font>
    <font>
      <name val="Calibri"/>
      <b val="1"/>
      <color rgb="00FFFFFF"/>
      <sz val="10"/>
    </font>
    <font>
      <name val="Calibri"/>
      <color rgb="00000000"/>
      <sz val="10"/>
    </font>
    <font>
      <name val="Calibri"/>
      <b val="1"/>
      <color rgb="00000000"/>
      <sz val="10"/>
    </font>
    <font>
      <name val="Calibri"/>
      <color rgb="00595959"/>
      <sz val="8"/>
    </font>
    <font>
      <name val="Calibri"/>
      <b val="1"/>
      <color rgb="001F3864"/>
      <sz val="10"/>
    </font>
    <font>
      <name val="Calibri"/>
      <b val="1"/>
      <color rgb="001F3864"/>
      <sz val="12"/>
    </font>
    <font>
      <name val="Calibri"/>
      <color rgb="00000000"/>
      <sz val="9"/>
    </font>
    <font>
      <name val="Calibri"/>
      <sz val="9"/>
    </font>
    <font>
      <name val="Calibri"/>
      <i val="1"/>
      <color rgb="00595959"/>
      <sz val="8"/>
    </font>
    <font>
      <name val="Calibri"/>
      <i val="1"/>
      <color rgb="00595959"/>
      <sz val="9"/>
    </font>
    <font>
      <name val="Calibri"/>
      <b val="1"/>
      <color rgb="001F3864"/>
      <sz val="11"/>
    </font>
    <font>
      <name val="Calibri"/>
      <b val="1"/>
      <color rgb="00000000"/>
      <sz val="9"/>
    </font>
    <font>
      <name val="Calibri"/>
      <b val="1"/>
      <color rgb="001F3864"/>
      <sz val="9"/>
    </font>
  </fonts>
  <fills count="4">
    <fill>
      <patternFill/>
    </fill>
    <fill>
      <patternFill patternType="gray125"/>
    </fill>
    <fill>
      <patternFill patternType="solid">
        <fgColor rgb="001F3864"/>
      </patternFill>
    </fill>
    <fill>
      <patternFill patternType="solid">
        <fgColor rgb="00D9E1F2"/>
      </patternFill>
    </fill>
  </fills>
  <borders count="3">
    <border>
      <left/>
      <right/>
      <top/>
      <bottom/>
      <diagonal/>
    </border>
    <border>
      <bottom style="thin">
        <color rgb="001F3864"/>
      </bottom>
    </border>
    <border>
      <bottom style="thin">
        <color rgb="00BFBFBF"/>
      </bottom>
    </border>
  </borders>
  <cellStyleXfs count="1">
    <xf numFmtId="0" fontId="0" fillId="0" borderId="0"/>
  </cellStyleXfs>
  <cellXfs count="64">
    <xf numFmtId="0" fontId="0" fillId="0" borderId="0" pivotButton="0" quotePrefix="0" xfId="0"/>
    <xf numFmtId="0" fontId="1" fillId="0" borderId="0" applyAlignment="1" pivotButton="0" quotePrefix="0" xfId="0">
      <alignment horizontal="left" vertical="top"/>
    </xf>
    <xf numFmtId="0" fontId="14" fillId="0" borderId="0" applyAlignment="1" pivotButton="0" quotePrefix="0" xfId="0">
      <alignment horizontal="left" vertical="top"/>
    </xf>
    <xf numFmtId="0" fontId="3" fillId="0" borderId="0" applyAlignment="1" pivotButton="0" quotePrefix="0" xfId="0">
      <alignment horizontal="left" vertical="top" wrapText="1"/>
    </xf>
    <xf numFmtId="0" fontId="2" fillId="0" borderId="0" applyAlignment="1" pivotButton="0" quotePrefix="0" xfId="0">
      <alignment horizontal="left" vertical="top"/>
    </xf>
    <xf numFmtId="0" fontId="8" fillId="0" borderId="0" applyAlignment="1" pivotButton="0" quotePrefix="0" xfId="0">
      <alignment horizontal="left" vertical="top"/>
    </xf>
    <xf numFmtId="0" fontId="12" fillId="0" borderId="0" applyAlignment="1" pivotButton="0" quotePrefix="0" xfId="0">
      <alignment horizontal="left" vertical="top"/>
    </xf>
    <xf numFmtId="0" fontId="4" fillId="2" borderId="1" applyAlignment="1" pivotButton="0" quotePrefix="0" xfId="0">
      <alignment horizontal="center" vertical="bottom" wrapText="1"/>
    </xf>
    <xf numFmtId="0" fontId="4" fillId="2" borderId="1" applyAlignment="1" pivotButton="0" quotePrefix="0" xfId="0">
      <alignment horizontal="left" vertical="bottom" wrapText="1"/>
    </xf>
    <xf numFmtId="0" fontId="5" fillId="0" borderId="0" applyAlignment="1" pivotButton="0" quotePrefix="0" xfId="0">
      <alignment horizontal="center" vertical="top" wrapText="1"/>
    </xf>
    <xf numFmtId="0" fontId="5" fillId="0" borderId="0" applyAlignment="1" pivotButton="0" quotePrefix="0" xfId="0">
      <alignment horizontal="left" vertical="top" wrapText="1"/>
    </xf>
    <xf numFmtId="0" fontId="3" fillId="0" borderId="0" applyAlignment="1" pivotButton="0" quotePrefix="0" xfId="0">
      <alignment horizontal="left" vertical="top"/>
    </xf>
    <xf numFmtId="164" fontId="6" fillId="0" borderId="0" applyAlignment="1" pivotButton="0" quotePrefix="0" xfId="0">
      <alignment horizontal="right" vertical="top"/>
    </xf>
    <xf numFmtId="0" fontId="3" fillId="0" borderId="0" applyAlignment="1" pivotButton="0" quotePrefix="0" xfId="0">
      <alignment horizontal="center" vertical="top" wrapText="1"/>
    </xf>
    <xf numFmtId="0" fontId="7" fillId="0" borderId="0" applyAlignment="1" pivotButton="0" quotePrefix="0" xfId="0">
      <alignment horizontal="left" vertical="top" wrapText="1"/>
    </xf>
    <xf numFmtId="165" fontId="6" fillId="0" borderId="0" applyAlignment="1" pivotButton="0" quotePrefix="0" xfId="0">
      <alignment horizontal="right" vertical="top"/>
    </xf>
    <xf numFmtId="166" fontId="5" fillId="0" borderId="0" applyAlignment="1" pivotButton="0" quotePrefix="0" xfId="0">
      <alignment horizontal="right" vertical="top"/>
    </xf>
    <xf numFmtId="165" fontId="5" fillId="0" borderId="0" applyAlignment="1" pivotButton="0" quotePrefix="0" xfId="0">
      <alignment horizontal="center" vertical="top" wrapText="1"/>
    </xf>
    <xf numFmtId="166" fontId="6" fillId="0" borderId="0" applyAlignment="1" pivotButton="0" quotePrefix="0" xfId="0">
      <alignment horizontal="right" vertical="top"/>
    </xf>
    <xf numFmtId="167" fontId="8" fillId="0" borderId="0" applyAlignment="1" pivotButton="0" quotePrefix="0" xfId="0">
      <alignment horizontal="center" vertical="top" wrapText="1"/>
    </xf>
    <xf numFmtId="0" fontId="9" fillId="0" borderId="0" applyAlignment="1" pivotButton="0" quotePrefix="0" xfId="0">
      <alignment horizontal="left" vertical="top"/>
    </xf>
    <xf numFmtId="0" fontId="6" fillId="0" borderId="0" applyAlignment="1" pivotButton="0" quotePrefix="0" xfId="0">
      <alignment horizontal="left" vertical="top"/>
    </xf>
    <xf numFmtId="0" fontId="14" fillId="3" borderId="2" applyAlignment="1" pivotButton="0" quotePrefix="0" xfId="0">
      <alignment horizontal="center" vertical="top" wrapText="1"/>
    </xf>
    <xf numFmtId="0" fontId="13" fillId="0" borderId="0" applyAlignment="1" pivotButton="0" quotePrefix="0" xfId="0">
      <alignment horizontal="left" vertical="top" wrapText="1"/>
    </xf>
    <xf numFmtId="0" fontId="5" fillId="0" borderId="0" applyAlignment="1" pivotButton="0" quotePrefix="0" xfId="0">
      <alignment horizontal="left" vertical="top"/>
    </xf>
    <xf numFmtId="165" fontId="6" fillId="0" borderId="0" applyAlignment="1" pivotButton="0" quotePrefix="0" xfId="0">
      <alignment horizontal="center" vertical="top" wrapText="1"/>
    </xf>
    <xf numFmtId="0" fontId="8" fillId="0" borderId="0" applyAlignment="1" pivotButton="0" quotePrefix="0" xfId="0">
      <alignment horizontal="left" vertical="top" wrapText="1"/>
    </xf>
    <xf numFmtId="169" fontId="8" fillId="0" borderId="0" applyAlignment="1" pivotButton="0" quotePrefix="0" xfId="0">
      <alignment horizontal="right" vertical="top"/>
    </xf>
    <xf numFmtId="166" fontId="8" fillId="0" borderId="0" applyAlignment="1" pivotButton="0" quotePrefix="0" xfId="0">
      <alignment horizontal="right" vertical="top"/>
    </xf>
    <xf numFmtId="165" fontId="8" fillId="0" borderId="0" applyAlignment="1" pivotButton="0" quotePrefix="0" xfId="0">
      <alignment horizontal="right" vertical="top"/>
    </xf>
    <xf numFmtId="0" fontId="12" fillId="0" borderId="0" applyAlignment="1" pivotButton="0" quotePrefix="0" xfId="0">
      <alignment horizontal="left" vertical="top" wrapText="1"/>
    </xf>
    <xf numFmtId="0" fontId="6" fillId="0" borderId="0" applyAlignment="1" pivotButton="0" quotePrefix="0" xfId="0">
      <alignment horizontal="left" vertical="top" wrapText="1"/>
    </xf>
    <xf numFmtId="0" fontId="10" fillId="0" borderId="0" applyAlignment="1" pivotButton="0" quotePrefix="0" xfId="0">
      <alignment horizontal="left" vertical="top"/>
    </xf>
    <xf numFmtId="168" fontId="5" fillId="0" borderId="0" applyAlignment="1" pivotButton="0" quotePrefix="0" xfId="0">
      <alignment horizontal="right" vertical="top"/>
    </xf>
    <xf numFmtId="167" fontId="5" fillId="0" borderId="0" applyAlignment="1" pivotButton="0" quotePrefix="0" xfId="0">
      <alignment horizontal="right" vertical="top"/>
    </xf>
    <xf numFmtId="165" fontId="5" fillId="0" borderId="0" applyAlignment="1" pivotButton="0" quotePrefix="0" xfId="0">
      <alignment horizontal="right" vertical="top"/>
    </xf>
    <xf numFmtId="0" fontId="7" fillId="0" borderId="0" applyAlignment="1" pivotButton="0" quotePrefix="0" xfId="0">
      <alignment horizontal="center" vertical="top" wrapText="1"/>
    </xf>
    <xf numFmtId="0" fontId="11" fillId="0" borderId="0" applyAlignment="1" pivotButton="0" quotePrefix="0" xfId="0">
      <alignment horizontal="left" vertical="top" wrapText="1"/>
    </xf>
    <xf numFmtId="166" fontId="5" fillId="3" borderId="0" applyAlignment="1" pivotButton="0" quotePrefix="0" xfId="0">
      <alignment horizontal="right" vertical="top"/>
    </xf>
    <xf numFmtId="168" fontId="5" fillId="3" borderId="0" applyAlignment="1" pivotButton="0" quotePrefix="0" xfId="0">
      <alignment horizontal="right" vertical="top"/>
    </xf>
    <xf numFmtId="169" fontId="5" fillId="0" borderId="0" applyAlignment="1" pivotButton="0" quotePrefix="0" xfId="0">
      <alignment horizontal="right" vertical="top"/>
    </xf>
    <xf numFmtId="167" fontId="8" fillId="0" borderId="0" applyAlignment="1" pivotButton="0" quotePrefix="0" xfId="0">
      <alignment horizontal="right" vertical="top"/>
    </xf>
    <xf numFmtId="164" fontId="5" fillId="0" borderId="0" applyAlignment="1" pivotButton="0" quotePrefix="0" xfId="0">
      <alignment horizontal="right" vertical="top"/>
    </xf>
    <xf numFmtId="49" fontId="5" fillId="0" borderId="0" applyAlignment="1" pivotButton="0" quotePrefix="0" xfId="0">
      <alignment horizontal="right" vertical="top"/>
    </xf>
    <xf numFmtId="49" fontId="5" fillId="0" borderId="0" applyAlignment="1" pivotButton="0" quotePrefix="0" xfId="0">
      <alignment horizontal="left" vertical="top" wrapText="1"/>
    </xf>
    <xf numFmtId="49" fontId="3" fillId="0" borderId="0" applyAlignment="1" pivotButton="0" quotePrefix="0" xfId="0">
      <alignment horizontal="left" vertical="top" wrapText="1"/>
    </xf>
    <xf numFmtId="167" fontId="6" fillId="0" borderId="0" applyAlignment="1" pivotButton="0" quotePrefix="0" xfId="0">
      <alignment horizontal="right" vertical="top"/>
    </xf>
    <xf numFmtId="164" fontId="8" fillId="0" borderId="0" applyAlignment="1" pivotButton="0" quotePrefix="0" xfId="0">
      <alignment horizontal="right" vertical="top"/>
    </xf>
    <xf numFmtId="168" fontId="8" fillId="0" borderId="0" applyAlignment="1" pivotButton="0" quotePrefix="0" xfId="0">
      <alignment horizontal="right" vertical="top"/>
    </xf>
    <xf numFmtId="49" fontId="8" fillId="0" borderId="0" applyAlignment="1" pivotButton="0" quotePrefix="0" xfId="0">
      <alignment horizontal="right" vertical="top"/>
    </xf>
    <xf numFmtId="0" fontId="5" fillId="3" borderId="0" applyAlignment="1" pivotButton="0" quotePrefix="0" xfId="0">
      <alignment horizontal="left" vertical="top" wrapText="1"/>
    </xf>
    <xf numFmtId="0" fontId="3" fillId="3" borderId="0" applyAlignment="1" pivotButton="0" quotePrefix="0" xfId="0">
      <alignment horizontal="left" vertical="top"/>
    </xf>
    <xf numFmtId="167" fontId="5" fillId="3" borderId="0" applyAlignment="1" pivotButton="0" quotePrefix="0" xfId="0">
      <alignment horizontal="right" vertical="top"/>
    </xf>
    <xf numFmtId="169" fontId="5" fillId="3" borderId="0" applyAlignment="1" pivotButton="0" quotePrefix="0" xfId="0">
      <alignment horizontal="right" vertical="top"/>
    </xf>
    <xf numFmtId="0" fontId="6" fillId="0" borderId="0" applyAlignment="1" pivotButton="0" quotePrefix="0" xfId="0">
      <alignment horizontal="center" vertical="top" wrapText="1"/>
    </xf>
    <xf numFmtId="0" fontId="14" fillId="0" borderId="0" applyAlignment="1" pivotButton="0" quotePrefix="0" xfId="0">
      <alignment horizontal="center" vertical="top" wrapText="1"/>
    </xf>
    <xf numFmtId="0" fontId="15" fillId="3" borderId="0" applyAlignment="1" pivotButton="0" quotePrefix="0" xfId="0">
      <alignment horizontal="center" vertical="top" wrapText="1"/>
    </xf>
    <xf numFmtId="165" fontId="15" fillId="3" borderId="0" applyAlignment="1" pivotButton="0" quotePrefix="0" xfId="0">
      <alignment horizontal="center" vertical="top" wrapText="1"/>
    </xf>
    <xf numFmtId="165" fontId="15" fillId="3" borderId="0" applyAlignment="1" pivotButton="0" quotePrefix="0" xfId="0">
      <alignment horizontal="right" vertical="top"/>
    </xf>
    <xf numFmtId="0" fontId="16" fillId="0" borderId="0" applyAlignment="1" pivotButton="0" quotePrefix="0" xfId="0">
      <alignment horizontal="left" vertical="top"/>
    </xf>
    <xf numFmtId="166" fontId="15" fillId="3" borderId="0" applyAlignment="1" pivotButton="0" quotePrefix="0" xfId="0">
      <alignment horizontal="right" vertical="top"/>
    </xf>
    <xf numFmtId="167" fontId="5" fillId="3" borderId="2" applyAlignment="1" pivotButton="0" quotePrefix="0" xfId="0">
      <alignment horizontal="right" vertical="top"/>
    </xf>
    <xf numFmtId="165" fontId="14" fillId="0" borderId="0" applyAlignment="1" pivotButton="0" quotePrefix="0" xfId="0">
      <alignment horizontal="right" vertical="top"/>
    </xf>
    <xf numFmtId="0" fontId="9" fillId="3"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styles" Target="styles.xml" Id="rId31" /><Relationship Type="http://schemas.openxmlformats.org/officeDocument/2006/relationships/theme" Target="theme/theme1.xml" Id="rId32" /></Relationships>
</file>

<file path=xl/tables/table1.xml><?xml version="1.0" encoding="utf-8"?>
<table xmlns="http://schemas.openxmlformats.org/spreadsheetml/2006/main" id="1" name="tbl_Import" displayName="tbl_Import" ref="A13:I31" headerRowCount="1">
  <autoFilter ref="A13:I31"/>
  <tableColumns count="9">
    <tableColumn id="1" name="ID"/>
    <tableColumn id="2" name="Imported item"/>
    <tableColumn id="3" name="Unit"/>
    <tableColumn id="4" name="FY2026A value"/>
    <tableColumn id="5" name="Master Database location"/>
    <tableColumn id="6" name="Source ID in database"/>
    <tableColumn id="7" name="Refresh formula (paste to activate a live link)"/>
    <tableColumn id="8" name="Confidence"/>
    <tableColumn id="9" name="Notes"/>
  </tableColumns>
  <tableStyleInfo name="TableStyleLight1" showFirstColumn="0" showLastColumn="0" showRowStripes="0" showColumnStripes="0"/>
</table>
</file>

<file path=xl/tables/table2.xml><?xml version="1.0" encoding="utf-8"?>
<table xmlns="http://schemas.openxmlformats.org/spreadsheetml/2006/main" id="2" name="tbl_Horizon" displayName="tbl_Horizon" ref="A13:I18" headerRowCount="1">
  <autoFilter ref="A13:I18"/>
  <tableColumns count="9">
    <tableColumn id="1" name="Criterion"/>
    <tableColumn id="2" name="Weight"/>
    <tableColumn id="3" name="5-Year (FY2027-FY2031)"/>
    <tableColumn id="4" name="7-Year (FY2027-FY2033)"/>
    <tableColumn id="5" name="10-Year (FY2027-FY2036)"/>
    <tableColumn id="6" name="Score 5Y"/>
    <tableColumn id="7" name="Score 7Y"/>
    <tableColumn id="8" name="Score 10Y"/>
    <tableColumn id="9" name="Basis of assessment / evidence"/>
  </tableColumns>
  <tableStyleInfo name="TableStyleLight1" showFirstColumn="0" showLastColumn="0" showRowStripes="0" showColumnStripes="0"/>
</table>
</file>

<file path=xl/tables/table3.xml><?xml version="1.0" encoding="utf-8"?>
<table xmlns="http://schemas.openxmlformats.org/spreadsheetml/2006/main" id="3" name="tbl_DriverMatrix" displayName="tbl_DriverMatrix" ref="A14:O118" headerRowCount="1">
  <autoFilter ref="A14:O118"/>
  <tableColumns count="15">
    <tableColumn id="1" name="ID"/>
    <tableColumn id="2" name="Driver"/>
    <tableColumn id="3" name="Unit"/>
    <tableColumn id="4" name="Scenario"/>
    <tableColumn id="5" name="FY2027E"/>
    <tableColumn id="6" name="FY2028E"/>
    <tableColumn id="7" name="FY2029E"/>
    <tableColumn id="8" name="FY2030E"/>
    <tableColumn id="9" name="FY2031E"/>
    <tableColumn id="10" name="FY2032E"/>
    <tableColumn id="11" name="FY2033E"/>
    <tableColumn id="12" name=""/>
    <tableColumn id="13" name="Source"/>
    <tableColumn id="14" name="Conf."/>
    <tableColumn id="15" name="Evidence and reasoning"/>
  </tableColumns>
  <tableStyleInfo name="TableStyleLight1" showFirstColumn="0" showLastColumn="0" showRowStripes="0" showColumnStripes="0"/>
</table>
</file>

<file path=xl/tables/table4.xml><?xml version="1.0" encoding="utf-8"?>
<table xmlns="http://schemas.openxmlformats.org/spreadsheetml/2006/main" id="4" name="tbl_ActiveDrivers" displayName="tbl_ActiveDrivers" ref="A121:O147" headerRowCount="1">
  <autoFilter ref="A121:O147"/>
  <tableColumns count="15">
    <tableColumn id="1" name=""/>
    <tableColumn id="2" name="Line item"/>
    <tableColumn id="3" name="Unit"/>
    <tableColumn id="4" name="FY2026A"/>
    <tableColumn id="5" name="FY2027E"/>
    <tableColumn id="6" name="FY2028E"/>
    <tableColumn id="7" name="FY2029E"/>
    <tableColumn id="8" name="FY2030E"/>
    <tableColumn id="9" name="FY2031E"/>
    <tableColumn id="10" name="FY2032E"/>
    <tableColumn id="11" name="FY2033E"/>
    <tableColumn id="12" name="CAGR"/>
    <tableColumn id="13" name="Source"/>
    <tableColumn id="14" name="Conf."/>
    <tableColumn id="15" name="Notes"/>
  </tableColumns>
  <tableStyleInfo name="TableStyleLight1" showFirstColumn="0" showLastColumn="0" showRowStripes="0" showColumnStripes="0"/>
</table>
</file>

<file path=xl/tables/table5.xml><?xml version="1.0" encoding="utf-8"?>
<table xmlns="http://schemas.openxmlformats.org/spreadsheetml/2006/main" id="5" name="tbl_Register" displayName="tbl_Register" ref="A150:O160" headerRowCount="1">
  <autoFilter ref="A150:O160"/>
  <tableColumns count="15">
    <tableColumn id="1" name="Assumption ID"/>
    <tableColumn id="2" name="Assumption"/>
    <tableColumn id="3" name="Unit"/>
    <tableColumn id="4" name="Current Value (FY2026A / spot)"/>
    <tableColumn id="5" name="Historical Range"/>
    <tableColumn id="6" name="Forecast Value (Base, terminal year)"/>
    <tableColumn id="7" name="Source"/>
    <tableColumn id="8" name="Publication Date"/>
    <tableColumn id="9" name="Confidence Rating"/>
    <tableColumn id="10" name="Evidence"/>
    <tableColumn id="11" name="Reasoning"/>
    <tableColumn id="12" name="Sensitivity (impact of a 10% adverse move)"/>
    <tableColumn id="13" name="Dependencies"/>
    <tableColumn id="14" name="Review Date"/>
    <tableColumn id="15" name="Owner"/>
  </tableColumns>
  <tableStyleInfo name="TableStyleLight1" showFirstColumn="0" showLastColumn="0" showRowStripes="0" showColumnStripes="0"/>
</table>
</file>

<file path=xl/tables/table6.xml><?xml version="1.0" encoding="utf-8"?>
<table xmlns="http://schemas.openxmlformats.org/spreadsheetml/2006/main" id="6" name="tbl_WACC" displayName="tbl_WACC" ref="B163:H173" headerRowCount="1">
  <autoFilter ref="B163:H173"/>
  <tableColumns count="7">
    <tableColumn id="2" name="Component"/>
    <tableColumn id="3" name="Unit"/>
    <tableColumn id="4" name="Value"/>
    <tableColumn id="5" name="Source"/>
    <tableColumn id="6" name="Publication date"/>
    <tableColumn id="7" name="Confidence"/>
    <tableColumn id="8" name="Evidence and caveats"/>
  </tableColumns>
  <tableStyleInfo name="TableStyleLight1" showFirstColumn="0" showLastColumn="0" showRowStripes="0" showColumnStripes="0"/>
</table>
</file>

<file path=xl/tables/table7.xml><?xml version="1.0" encoding="utf-8"?>
<table xmlns="http://schemas.openxmlformats.org/spreadsheetml/2006/main" id="7" name="tbl_Projects" displayName="tbl_Projects" ref="A13:O33" headerRowCount="1">
  <autoFilter ref="A13:O33"/>
  <tableColumns count="15">
    <tableColumn id="1" name="Project ID"/>
    <tableColumn id="2" name="Company"/>
    <tableColumn id="3" name="Project / Asset"/>
    <tableColumn id="4" name="State / Country"/>
    <tableColumn id="5" name="Type"/>
    <tableColumn id="6" name="Capacity Added (Mtpa)"/>
    <tableColumn id="7" name="Capacity Definition"/>
    <tableColumn id="8" name="Status At Cutoff"/>
    <tableColumn id="9" name="Expected Commissioning FY"/>
    <tableColumn id="10" name="Capex (Rs cr)"/>
    <tableColumn id="11" name="Implied Capex (Rs/t)"/>
    <tableColumn id="12" name="Included In Forecast?"/>
    <tableColumn id="13" name="Source ID"/>
    <tableColumn id="14" name="Confidence"/>
    <tableColumn id="15" name="Notes"/>
  </tableColumns>
  <tableStyleInfo name="TableStyleLight1" showFirstColumn="0" showLastColumn="0" showRowStripes="0" showColumnStripes="0"/>
</table>
</file>

<file path=xl/tables/table8.xml><?xml version="1.0" encoding="utf-8"?>
<table xmlns="http://schemas.openxmlformats.org/spreadsheetml/2006/main" id="8" name="tbl_Scenarios" displayName="tbl_Scenarios" ref="A13:J24" headerRowCount="1">
  <autoFilter ref="A13:J24"/>
  <tableColumns count="10">
    <tableColumn id="1" name=""/>
    <tableColumn id="2" name="FY2033E metric"/>
    <tableColumn id="3" name="Unit"/>
    <tableColumn id="4" name="Base Case"/>
    <tableColumn id="5" name="Bull Case"/>
    <tableColumn id="6" name="Bear Case"/>
    <tableColumn id="7" name="Stress Case"/>
    <tableColumn id="8" name="Live (active scenario)"/>
    <tableColumn id="9" name="Tie-out"/>
    <tableColumn id="10" name="Commentary"/>
  </tableColumns>
  <tableStyleInfo name="TableStyleLight1" showFirstColumn="0" showLastColumn="0" showRowStripes="0" showColumnStripes="0"/>
</table>
</file>

<file path=xl/tables/table9.xml><?xml version="1.0" encoding="utf-8"?>
<table xmlns="http://schemas.openxmlformats.org/spreadsheetml/2006/main" id="9" name="tbl_Tornado" displayName="tbl_Tornado" ref="A14:H24" headerRowCount="1">
  <autoFilter ref="A14:H24"/>
  <tableColumns count="8">
    <tableColumn id="1" name=""/>
    <tableColumn id="2" name="Driver"/>
    <tableColumn id="3" name="ID"/>
    <tableColumn id="4" name="Adverse direction"/>
    <tableColumn id="5" name="FY2033E EBITDA (Rs cr)"/>
    <tableColumn id="6" name="Change (Rs cr)"/>
    <tableColumn id="7" name="Change (%)"/>
    <tableColumn id="8" name="Interpretation"/>
  </tableColumns>
  <tableStyleInfo name="TableStyleLight1" showFirstColumn="0" showLastColumn="0" showRowStripes="0" showColumnStripes="0"/>
</table>
</file>

<file path=xl/tables/table10.xml><?xml version="1.0" encoding="utf-8"?>
<table xmlns="http://schemas.openxmlformats.org/spreadsheetml/2006/main" id="10" name="tbl_Unsourced" displayName="tbl_Unsourced" ref="A69:G76" headerRowCount="1">
  <autoFilter ref="A69:G76"/>
  <tableColumns count="7">
    <tableColumn id="1" name=""/>
    <tableColumn id="2" name="Unsourced assumption"/>
    <tableColumn id="3" name="ID"/>
    <tableColumn id="4" name="Base value"/>
    <tableColumn id="5" name="Plausible range"/>
    <tableColumn id="6" name="FY2033E EBITDA impact across the range"/>
    <tableColumn id="7" name="Materiality verdict"/>
  </tableColumns>
  <tableStyleInfo name="TableStyleLight1" showFirstColumn="0" showLastColumn="0" showRowStripes="0" showColumnStripes="0"/>
</table>
</file>

<file path=xl/tables/table11.xml><?xml version="1.0" encoding="utf-8"?>
<table xmlns="http://schemas.openxmlformats.org/spreadsheetml/2006/main" id="11" name="tbl_Comps" displayName="tbl_Comps" ref="A14:O21" headerRowCount="1">
  <autoFilter ref="A14:O21"/>
  <tableColumns count="15">
    <tableColumn id="1" name=""/>
    <tableColumn id="2" name="Company"/>
    <tableColumn id="3" name="FY2026 EBITDA (Rs cr)"/>
    <tableColumn id="4" name="Net debt (Rs cr)"/>
    <tableColumn id="5" name="PAT (Rs cr)"/>
    <tableColumn id="6" name="EPS (Rs)"/>
    <tableColumn id="7" name="Shares (cr) - derived"/>
    <tableColumn id="8" name="Share price (Rs) - USER INPUT"/>
    <tableColumn id="9" name="Market cap (Rs cr)"/>
    <tableColumn id="10" name="EV (Rs cr)"/>
    <tableColumn id="11" name="EV/EBITDA (x)"/>
    <tableColumn id="12" name="Capacity (Mtpa)"/>
    <tableColumn id="13" name="EV per tonne (Rs/t)"/>
    <tableColumn id="14" name="Conf."/>
    <tableColumn id="15" name="Notes"/>
  </tableColumns>
  <tableStyleInfo name="TableStyleLight1" showFirstColumn="0" showLastColumn="0" showRowStripes="0" showColumnStripes="0"/>
</table>
</file>

<file path=xl/tables/table12.xml><?xml version="1.0" encoding="utf-8"?>
<table xmlns="http://schemas.openxmlformats.org/spreadsheetml/2006/main" id="12" name="tbl_Audit" displayName="tbl_Audit" ref="A13:E43" headerRowCount="1">
  <autoFilter ref="A13:E43"/>
  <tableColumns count="5">
    <tableColumn id="1" name=""/>
    <tableColumn id="2" name="Check ID"/>
    <tableColumn id="3" name="Validation"/>
    <tableColumn id="4" name="Result"/>
    <tableColumn id="5" name="What it proves / what to do if it fails"/>
  </tableColumns>
  <tableStyleInfo name="TableStyleLight1" showFirstColumn="0" showLastColumn="0" showRowStripes="0" showColumnStripes="0"/>
</table>
</file>

<file path=xl/tables/table13.xml><?xml version="1.0" encoding="utf-8"?>
<table xmlns="http://schemas.openxmlformats.org/spreadsheetml/2006/main" id="13" name="tbl_ModelSources" displayName="tbl_ModelSources" ref="A13:I22" headerRowCount="1">
  <autoFilter ref="A13:I22"/>
  <tableColumns count="9">
    <tableColumn id="1" name=""/>
    <tableColumn id="2" name="Ref"/>
    <tableColumn id="3" name="Level"/>
    <tableColumn id="4" name="Publisher"/>
    <tableColumn id="5" name="Publication"/>
    <tableColumn id="6" name="Date"/>
    <tableColumn id="7" name="Used for"/>
    <tableColumn id="8" name="Verification"/>
    <tableColumn id="9" name="Notes"/>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00 Database Import'!A1" TargetMode="External" Id="rId1" /><Relationship Type="http://schemas.openxmlformats.org/officeDocument/2006/relationships/hyperlink" Target="#'0H Forecast Horizon'!A1" TargetMode="External" Id="rId2" /><Relationship Type="http://schemas.openxmlformats.org/officeDocument/2006/relationships/hyperlink" Target="#'01 Control Panel'!A1" TargetMode="External" Id="rId3" /><Relationship Type="http://schemas.openxmlformats.org/officeDocument/2006/relationships/hyperlink" Target="#'02 Model Assumptions'!A1" TargetMode="External" Id="rId4" /><Relationship Type="http://schemas.openxmlformats.org/officeDocument/2006/relationships/hyperlink" Target="#'03 Macroeconomic Model'!A1" TargetMode="External" Id="rId5" /><Relationship Type="http://schemas.openxmlformats.org/officeDocument/2006/relationships/hyperlink" Target="#'04 Steel Demand Model'!A1" TargetMode="External" Id="rId6" /><Relationship Type="http://schemas.openxmlformats.org/officeDocument/2006/relationships/hyperlink" Target="#'05 Steel Supply Model'!A1" TargetMode="External" Id="rId7" /><Relationship Type="http://schemas.openxmlformats.org/officeDocument/2006/relationships/hyperlink" Target="#'06 Capacity Forecast'!A1" TargetMode="External" Id="rId8" /><Relationship Type="http://schemas.openxmlformats.org/officeDocument/2006/relationships/hyperlink" Target="#'07 Capacity Expansion Tracker'!A1" TargetMode="External" Id="rId9" /><Relationship Type="http://schemas.openxmlformats.org/officeDocument/2006/relationships/hyperlink" Target="#'08 Capacity Utilisation'!A1" TargetMode="External" Id="rId10" /><Relationship Type="http://schemas.openxmlformats.org/officeDocument/2006/relationships/hyperlink" Target="#'09 Steel Price Forecast'!A1" TargetMode="External" Id="rId11" /><Relationship Type="http://schemas.openxmlformats.org/officeDocument/2006/relationships/hyperlink" Target="#'10 Raw Material Forecast'!A1" TargetMode="External" Id="rId12" /><Relationship Type="http://schemas.openxmlformats.org/officeDocument/2006/relationships/hyperlink" Target="#'11 Cost Curve'!A1" TargetMode="External" Id="rId13" /><Relationship Type="http://schemas.openxmlformats.org/officeDocument/2006/relationships/hyperlink" Target="#'12 Revenue Forecast'!A1" TargetMode="External" Id="rId14" /><Relationship Type="http://schemas.openxmlformats.org/officeDocument/2006/relationships/hyperlink" Target="#'13 EBITDA Model'!A1" TargetMode="External" Id="rId15" /><Relationship Type="http://schemas.openxmlformats.org/officeDocument/2006/relationships/hyperlink" Target="#'14 Margin Analysis'!A1" TargetMode="External" Id="rId16" /><Relationship Type="http://schemas.openxmlformats.org/officeDocument/2006/relationships/hyperlink" Target="#'15 Working Capital Model'!A1" TargetMode="External" Id="rId17" /><Relationship Type="http://schemas.openxmlformats.org/officeDocument/2006/relationships/hyperlink" Target="#'16 Cash Flow Model'!A1" TargetMode="External" Id="rId18" /><Relationship Type="http://schemas.openxmlformats.org/officeDocument/2006/relationships/hyperlink" Target="#'17 Capital Allocation'!A1" TargetMode="External" Id="rId19" /><Relationship Type="http://schemas.openxmlformats.org/officeDocument/2006/relationships/hyperlink" Target="#'18 Industry Cycle Model'!A1" TargetMode="External" Id="rId20" /><Relationship Type="http://schemas.openxmlformats.org/officeDocument/2006/relationships/hyperlink" Target="#'19 Trade Model'!A1" TargetMode="External" Id="rId21" /><Relationship Type="http://schemas.openxmlformats.org/officeDocument/2006/relationships/hyperlink" Target="#'20 ESG Model'!A1" TargetMode="External" Id="rId22" /><Relationship Type="http://schemas.openxmlformats.org/officeDocument/2006/relationships/hyperlink" Target="#'21 Scenario Manager'!A1" TargetMode="External" Id="rId23" /><Relationship Type="http://schemas.openxmlformats.org/officeDocument/2006/relationships/hyperlink" Target="#'22 Sensitivity Analysis'!A1" TargetMode="External" Id="rId24" /><Relationship Type="http://schemas.openxmlformats.org/officeDocument/2006/relationships/hyperlink" Target="#'23 Comparable Valuation'!A1" TargetMode="External" Id="rId25" /><Relationship Type="http://schemas.openxmlformats.org/officeDocument/2006/relationships/hyperlink" Target="#'24 Industry Dashboard'!A1" TargetMode="External" Id="rId26" /><Relationship Type="http://schemas.openxmlformats.org/officeDocument/2006/relationships/hyperlink" Target="#'25 Audit Checks'!A1" TargetMode="External" Id="rId27" /><Relationship Type="http://schemas.openxmlformats.org/officeDocument/2006/relationships/hyperlink" Target="#'26 Sources'!A1" TargetMode="External" Id="rId28" /></Relationships>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 Type="http://schemas.openxmlformats.org/officeDocument/2006/relationships/table" Target="/xl/tables/table5.xml" Id="rId3" /><Relationship Type="http://schemas.openxmlformats.org/officeDocument/2006/relationships/table" Target="/xl/tables/table6.xml" Id="rId4" /></Relationships>
</file>

<file path=xl/worksheets/_rels/sheet11.xml.rels><Relationships xmlns="http://schemas.openxmlformats.org/package/2006/relationships"><Relationship Type="http://schemas.openxmlformats.org/officeDocument/2006/relationships/table" Target="/xl/tables/table7.xml" Id="rId1" /></Relationships>
</file>

<file path=xl/worksheets/_rels/sheet25.xml.rels><Relationships xmlns="http://schemas.openxmlformats.org/package/2006/relationships"><Relationship Type="http://schemas.openxmlformats.org/officeDocument/2006/relationships/table" Target="/xl/tables/table8.xml" Id="rId1" /></Relationships>
</file>

<file path=xl/worksheets/_rels/sheet26.xml.rels><Relationships xmlns="http://schemas.openxmlformats.org/package/2006/relationships"><Relationship Type="http://schemas.openxmlformats.org/officeDocument/2006/relationships/table" Target="/xl/tables/table9.xml" Id="rId1" /><Relationship Type="http://schemas.openxmlformats.org/officeDocument/2006/relationships/table" Target="/xl/tables/table10.xml" Id="rId2" /></Relationships>
</file>

<file path=xl/worksheets/_rels/sheet27.xml.rels><Relationships xmlns="http://schemas.openxmlformats.org/package/2006/relationships"><Relationship Type="http://schemas.openxmlformats.org/officeDocument/2006/relationships/table" Target="/xl/tables/table11.xml" Id="rId1" /></Relationships>
</file>

<file path=xl/worksheets/_rels/sheet29.xml.rels><Relationships xmlns="http://schemas.openxmlformats.org/package/2006/relationships"><Relationship Type="http://schemas.openxmlformats.org/officeDocument/2006/relationships/table" Target="/xl/tables/table12.xml" Id="rId1" /></Relationships>
</file>

<file path=xl/worksheets/_rels/sheet30.xml.rels><Relationships xmlns="http://schemas.openxmlformats.org/package/2006/relationships"><Relationship Type="http://schemas.openxmlformats.org/officeDocument/2006/relationships/table" Target="/xl/tables/table13.xml" Id="rId1" /></Relationships>
</file>

<file path=xl/worksheets/sheet1.xml><?xml version="1.0" encoding="utf-8"?>
<worksheet xmlns="http://schemas.openxmlformats.org/spreadsheetml/2006/main">
  <sheetPr>
    <tabColor rgb="001F3864"/>
    <outlinePr summaryBelow="1" summaryRight="1"/>
    <pageSetUpPr fitToPage="1"/>
  </sheetPr>
  <dimension ref="B2:B29"/>
  <sheetViews>
    <sheetView showGridLines="0" tabSelected="1" workbookViewId="0">
      <selection activeCell="A1" sqref="A1"/>
    </sheetView>
  </sheetViews>
  <sheetFormatPr baseColWidth="8" defaultRowHeight="15"/>
  <cols>
    <col width="3" customWidth="1" min="1" max="1"/>
    <col width="120" customWidth="1" min="2" max="2"/>
  </cols>
  <sheetData>
    <row r="2" ht="19" customHeight="1">
      <c r="B2" s="1" t="inlineStr">
        <is>
          <t>INDUSTRY FINANCIAL MODEL</t>
        </is>
      </c>
    </row>
    <row r="3" ht="15" customHeight="1">
      <c r="B3" s="2" t="inlineStr">
        <is>
          <t>INDIAN STEEL INDUSTRY - ANALYTICAL ENGINE</t>
        </is>
      </c>
    </row>
    <row r="4">
      <c r="B4" s="3" t="inlineStr"/>
    </row>
    <row r="5">
      <c r="B5" s="4" t="inlineStr">
        <is>
          <t>Global Metals &amp; Mining Research</t>
        </is>
      </c>
    </row>
    <row r="6">
      <c r="B6" s="3" t="inlineStr">
        <is>
          <t>Forecast horizon FY2027E-FY2033E (7 years)  |  Base year FY2026A  |  Built 03 August 2026</t>
        </is>
      </c>
    </row>
    <row r="7">
      <c r="B7" s="3" t="inlineStr"/>
    </row>
    <row r="8">
      <c r="B8" s="5" t="inlineStr">
        <is>
          <t>WHAT THIS MODEL IS</t>
        </is>
      </c>
    </row>
    <row r="9" ht="65" customHeight="1">
      <c r="B9" s="3" t="inlineStr">
        <is>
          <t>An analytical engine, not a database. It consumes FY2026 actuals from Master Industry Database.xlsx and forecasts Indian steel demand, supply, capacity, utilisation, prices, costs, revenue, EBITDA, working capital, cash flow and trade to FY2033, under four fully integrated scenarios. It is the parent model for single-name DCF, trading and transaction comparables, EV per tonne, replacement cost and ROIC work on Tata Steel, JSW Steel, SAIL, Jindal Steel, Jindal Stainless and AM/NS India.</t>
        </is>
      </c>
    </row>
    <row r="11">
      <c r="B11" s="5" t="inlineStr">
        <is>
          <t>HOW SCENARIOS WORK</t>
        </is>
      </c>
    </row>
    <row r="12" ht="39" customHeight="1">
      <c r="B12" s="3" t="inlineStr">
        <is>
          <t>Change one cell - the scenario selector on 01 Control Panel - and the entire workbook re-computes. The selector drives a named range ScenID, which every driver on 02 Model Assumptions resolves through an INDEX across its four scenario rows. No sheet contains a scenario-specific hardcode. There is nothing else to change.</t>
        </is>
      </c>
    </row>
    <row r="14">
      <c r="B14" s="5" t="inlineStr">
        <is>
          <t>THE ONE THING THAT MAKES THIS AN ENGINE RATHER THAN A SPREADSHEET</t>
        </is>
      </c>
    </row>
    <row r="15" ht="78" customHeight="1">
      <c r="B15" s="3" t="inlineStr">
        <is>
          <t>A lagged price-utilisation feedback (driver D23). Effective realisation is adjusted by an elasticity applied to the gap between the PRIOR year's capacity utilisation and normal utilisation. Because it is lagged there is no circular reference, but it means capacity, pipeline delivery rates and secondary-sector additions genuinely transmit into price and therefore EBITDA. Without it, capacity would be decorative and the capacity drivers would show literally zero EBITDA sensitivity. It also produces the economically correct and counter-intuitive result that FASTER capacity delivery is EBITDA-NEGATIVE, because it depresses utilisation and therefore price.</t>
        </is>
      </c>
    </row>
    <row r="17">
      <c r="B17" s="5" t="inlineStr">
        <is>
          <t>INDEPENDENT VALIDATION OF THE CAPACITY BLOCK</t>
        </is>
      </c>
    </row>
    <row r="18" ht="39" customHeight="1">
      <c r="B18" s="3" t="inlineStr">
        <is>
          <t>Built bottom-up from a dated 20-project tracker plus a secondary-sector residual, the model produces India crude steel capacity of 302.0 Mtpa in FY2031 against the National Steel Policy 2017 target of 300 Mtpa - within 0.7%. The model was not calibrated to that target, so this is a genuine external check.</t>
        </is>
      </c>
    </row>
    <row r="20">
      <c r="B20" s="5" t="inlineStr">
        <is>
          <t>SCENARIOS ARE CALIBRATED, NOT INVENTED</t>
        </is>
      </c>
    </row>
    <row r="21" ht="91" customHeight="1">
      <c r="B21" s="3" t="inlineStr">
        <is>
          <t>The four paths are calibrated to margin envelopes actually observed in the database rather than set independently. Bull peaks at a 26.0% industry EBITDA margin in FY2030, matching the FY2022 cycle peak (Tata 26%, JSW 27%, Jindal Steel 30%). Stress troughs at -9.2% in FY2028, marginally worse than the worst single observation in the database (SAIL FY2016, -7%). Critically, the stress case carries HIGHER nominal rupee realisation than the bear case despite worse demand, because a rupee collapse to 113/US$ lifts the rupee landed cost of imports by roughly 28% and supports domestic prices. Modelling stress as simply 'price down, cost up' would be incoherent: the FY2022 evidence is that a coking coal spike coincided with RECORD margins.</t>
        </is>
      </c>
    </row>
    <row r="23">
      <c r="B23" s="5" t="inlineStr">
        <is>
          <t>WHAT YOU MUST FIX BEFORE TRANSACTION USE</t>
        </is>
      </c>
    </row>
    <row r="24" ht="78" customHeight="1">
      <c r="B24" s="3" t="inlineStr">
        <is>
          <t>Four inputs are unsourced and are flagged Low confidence throughout: the equity risk premium and beta inside WACC (R08), net working capital days (R09), the raw-material share of cash cost (R10), and the price-utilisation elasticity (D23). Two are not sourced at all and are user inputs: share prices on 23 Comparable Valuation, and a licensed coking coal series to replace the four annotated chart points the database was able to evidence. None of these has been fabricated; each is isolated, flagged, and given a sensitivity axis so you can see exactly how much of the answer depends on it.</t>
        </is>
      </c>
    </row>
    <row r="26">
      <c r="B26" s="5" t="inlineStr">
        <is>
          <t>DISCIPLINE</t>
        </is>
      </c>
    </row>
    <row r="27" ht="52" customHeight="1">
      <c r="B27" s="3" t="inlineStr">
        <is>
          <t>No assumption is hardcoded inside a formula. Every forecast cell references either 02 Model Assumptions or 00 Database Import. Column alignment is identical on every forecast sheet - D is FY2026A and E to K are FY2027E to FY2033E without exception - so any cell can reference the same column on any other sheet. 25 Audit Checks runs 30 live validations including a tie-out that proves the Excel formulas reproduce the intended arithmetic.</t>
        </is>
      </c>
    </row>
    <row r="29">
      <c r="B29" s="6" t="inlineStr">
        <is>
          <t>Public sources only. No non-public or price-sensitive information.</t>
        </is>
      </c>
    </row>
  </sheetData>
  <printOptions horizontalCentered="1"/>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1" summaryRight="1"/>
    <pageSetUpPr fitToPage="1"/>
  </sheetPr>
  <dimension ref="A1:D32"/>
  <sheetViews>
    <sheetView showGridLines="0" workbookViewId="0">
      <pane ySplit="4" topLeftCell="A5" activePane="bottomLeft" state="frozen"/>
      <selection pane="bottomLeft" activeCell="A1" sqref="A1"/>
    </sheetView>
  </sheetViews>
  <sheetFormatPr baseColWidth="8" defaultRowHeight="15"/>
  <cols>
    <col width="6" customWidth="1" min="1" max="1"/>
    <col width="32" customWidth="1" min="2" max="2"/>
    <col width="104" customWidth="1" min="3" max="3"/>
    <col width="16" customWidth="1" min="4" max="4"/>
  </cols>
  <sheetData>
    <row r="1" ht="19" customHeight="1">
      <c r="B1" s="1" t="inlineStr">
        <is>
          <t>CONTENTS</t>
        </is>
      </c>
    </row>
    <row r="2">
      <c r="B2" s="3" t="inlineStr">
        <is>
          <t>Click a sheet name to navigate.</t>
        </is>
      </c>
    </row>
    <row r="3">
      <c r="B3" s="3" t="inlineStr"/>
    </row>
    <row r="4" ht="30" customHeight="1">
      <c r="A4" s="7" t="inlineStr">
        <is>
          <t>#</t>
        </is>
      </c>
      <c r="B4" s="8" t="inlineStr">
        <is>
          <t>Worksheet</t>
        </is>
      </c>
      <c r="C4" s="8" t="inlineStr">
        <is>
          <t>Purpose and principal content</t>
        </is>
      </c>
      <c r="D4" s="7" t="inlineStr">
        <is>
          <t>Type</t>
        </is>
      </c>
    </row>
    <row r="5">
      <c r="A5" s="9" t="inlineStr">
        <is>
          <t>00</t>
        </is>
      </c>
      <c r="B5" s="5" t="inlineStr">
        <is>
          <t>00 Database Import</t>
        </is>
      </c>
      <c r="C5" s="3" t="inlineStr">
        <is>
          <t>The controlled boundary with Master Industry Database.xlsx: 18 FY2026 anchors with exact provenance and a documented refresh procedure.</t>
        </is>
      </c>
      <c r="D5" s="9" t="inlineStr">
        <is>
          <t>Input</t>
        </is>
      </c>
    </row>
    <row r="6">
      <c r="A6" s="9" t="inlineStr">
        <is>
          <t>0H</t>
        </is>
      </c>
      <c r="B6" s="5" t="inlineStr">
        <is>
          <t>0H Forecast Horizon</t>
        </is>
      </c>
      <c r="C6" s="3" t="inlineStr">
        <is>
          <t>Weighted evaluation of 5, 7 and 10-year horizons; 7 years selected. Live weighted-score formulas.</t>
        </is>
      </c>
      <c r="D6" s="9" t="inlineStr">
        <is>
          <t>Documentation</t>
        </is>
      </c>
    </row>
    <row r="7">
      <c r="A7" s="9" t="inlineStr">
        <is>
          <t>01</t>
        </is>
      </c>
      <c r="B7" s="5" t="inlineStr">
        <is>
          <t>01 Control Panel</t>
        </is>
      </c>
      <c r="C7" s="3" t="inlineStr">
        <is>
          <t>The scenario selector - the only cell a user changes - plus a live output panel.</t>
        </is>
      </c>
      <c r="D7" s="9" t="inlineStr">
        <is>
          <t>Control</t>
        </is>
      </c>
    </row>
    <row r="8">
      <c r="A8" s="9" t="inlineStr">
        <is>
          <t>02</t>
        </is>
      </c>
      <c r="B8" s="5" t="inlineStr">
        <is>
          <t>02 Model Assumptions</t>
        </is>
      </c>
      <c r="C8" s="3" t="inlineStr">
        <is>
          <t>26 drivers on 4 scenarios, the active resolved block, the 13-field assumption register and the WACC build-up.</t>
        </is>
      </c>
      <c r="D8" s="9" t="inlineStr">
        <is>
          <t>Input</t>
        </is>
      </c>
    </row>
    <row r="9">
      <c r="A9" s="9" t="inlineStr">
        <is>
          <t>03</t>
        </is>
      </c>
      <c r="B9" s="5" t="inlineStr">
        <is>
          <t>03 Macroeconomic Model</t>
        </is>
      </c>
      <c r="C9" s="3" t="inlineStr">
        <is>
          <t>Real GDP, CPI, USD/INR, G-sec yield and WACC.</t>
        </is>
      </c>
      <c r="D9" s="9" t="inlineStr">
        <is>
          <t>Calc</t>
        </is>
      </c>
    </row>
    <row r="10">
      <c r="A10" s="9" t="inlineStr">
        <is>
          <t>04</t>
        </is>
      </c>
      <c r="B10" s="5" t="inlineStr">
        <is>
          <t>04 Steel Demand Model</t>
        </is>
      </c>
      <c r="C10" s="3" t="inlineStr">
        <is>
          <t>Consumption via GDP times a history-calibrated elasticity; per capita intensity.</t>
        </is>
      </c>
      <c r="D10" s="9" t="inlineStr">
        <is>
          <t>Calc</t>
        </is>
      </c>
    </row>
    <row r="11">
      <c r="A11" s="9" t="inlineStr">
        <is>
          <t>05</t>
        </is>
      </c>
      <c r="B11" s="5" t="inlineStr">
        <is>
          <t>05 Steel Supply Model</t>
        </is>
      </c>
      <c r="C11" s="3" t="inlineStr">
        <is>
          <t>The JPC supply identity, the capacity ceiling and the shortfall routed to imports.</t>
        </is>
      </c>
      <c r="D11" s="9" t="inlineStr">
        <is>
          <t>Calc</t>
        </is>
      </c>
    </row>
    <row r="12">
      <c r="A12" s="9" t="inlineStr">
        <is>
          <t>06</t>
        </is>
      </c>
      <c r="B12" s="5" t="inlineStr">
        <is>
          <t>06 Capacity Forecast</t>
        </is>
      </c>
      <c r="C12" s="3" t="inlineStr">
        <is>
          <t>Capacity from the project tracker plus a secondary residual; validated against the 300 Mtpa policy target.</t>
        </is>
      </c>
      <c r="D12" s="9" t="inlineStr">
        <is>
          <t>Calc</t>
        </is>
      </c>
    </row>
    <row r="13">
      <c r="A13" s="9" t="inlineStr">
        <is>
          <t>07</t>
        </is>
      </c>
      <c r="B13" s="5" t="inlineStr">
        <is>
          <t>07 Capacity Expansion Tracker</t>
        </is>
      </c>
      <c r="C13" s="3" t="inlineStr">
        <is>
          <t>20 dated projects with live SUMIFS feeding 06; encodes the acquisition, downstream and overseas exclusions.</t>
        </is>
      </c>
      <c r="D13" s="9" t="inlineStr">
        <is>
          <t>Input</t>
        </is>
      </c>
    </row>
    <row r="14">
      <c r="A14" s="9" t="inlineStr">
        <is>
          <t>08</t>
        </is>
      </c>
      <c r="B14" s="5" t="inlineStr">
        <is>
          <t>08 Capacity Utilisation</t>
        </is>
      </c>
      <c r="C14" s="3" t="inlineStr">
        <is>
          <t>Utilisation and the utilisation gap that drives the price feedback.</t>
        </is>
      </c>
      <c r="D14" s="9" t="inlineStr">
        <is>
          <t>Calc</t>
        </is>
      </c>
    </row>
    <row r="15">
      <c r="A15" s="9" t="inlineStr">
        <is>
          <t>09</t>
        </is>
      </c>
      <c r="B15" s="5" t="inlineStr">
        <is>
          <t>09 Steel Price Forecast</t>
        </is>
      </c>
      <c r="C15" s="3" t="inlineStr">
        <is>
          <t>Blended realisation with the lagged utilisation feedback; safeguard duty schedule.</t>
        </is>
      </c>
      <c r="D15" s="9" t="inlineStr">
        <is>
          <t>Calc</t>
        </is>
      </c>
    </row>
    <row r="16">
      <c r="A16" s="9" t="inlineStr">
        <is>
          <t>10</t>
        </is>
      </c>
      <c r="B16" s="5" t="inlineStr">
        <is>
          <t>10 Raw Material Forecast</t>
        </is>
      </c>
      <c r="C16" s="3" t="inlineStr">
        <is>
          <t>Iron ore, coking coal, FX and the raw material cost index.</t>
        </is>
      </c>
      <c r="D16" s="9" t="inlineStr">
        <is>
          <t>Calc</t>
        </is>
      </c>
    </row>
    <row r="17">
      <c r="A17" s="9" t="inlineStr">
        <is>
          <t>11</t>
        </is>
      </c>
      <c r="B17" s="5" t="inlineStr">
        <is>
          <t>11 Cost Curve</t>
        </is>
      </c>
      <c r="C17" s="3" t="inlineStr">
        <is>
          <t>Industry cash cost, calibrated top-down, and the four-producer cost curve.</t>
        </is>
      </c>
      <c r="D17" s="9" t="inlineStr">
        <is>
          <t>Calc</t>
        </is>
      </c>
    </row>
    <row r="18">
      <c r="A18" s="9" t="inlineStr">
        <is>
          <t>12</t>
        </is>
      </c>
      <c r="B18" s="5" t="inlineStr">
        <is>
          <t>12 Revenue Forecast</t>
        </is>
      </c>
      <c r="C18" s="3" t="inlineStr">
        <is>
          <t>Industry and company revenue with an explicit unit bridge.</t>
        </is>
      </c>
      <c r="D18" s="9" t="inlineStr">
        <is>
          <t>Calc</t>
        </is>
      </c>
    </row>
    <row r="19">
      <c r="A19" s="9" t="inlineStr">
        <is>
          <t>13</t>
        </is>
      </c>
      <c r="B19" s="5" t="inlineStr">
        <is>
          <t>13 EBITDA Model</t>
        </is>
      </c>
      <c r="C19" s="3" t="inlineStr">
        <is>
          <t>EBITDA as a price-cost spread, industry and company.</t>
        </is>
      </c>
      <c r="D19" s="9" t="inlineStr">
        <is>
          <t>Calc</t>
        </is>
      </c>
    </row>
    <row r="20">
      <c r="A20" s="9" t="inlineStr">
        <is>
          <t>14</t>
        </is>
      </c>
      <c r="B20" s="5" t="inlineStr">
        <is>
          <t>14 Margin Analysis</t>
        </is>
      </c>
      <c r="C20" s="3" t="inlineStr">
        <is>
          <t>Margin, the price-cost bridge and observed credibility benchmarks.</t>
        </is>
      </c>
      <c r="D20" s="9" t="inlineStr">
        <is>
          <t>Calc</t>
        </is>
      </c>
    </row>
    <row r="21">
      <c r="A21" s="9" t="inlineStr">
        <is>
          <t>15</t>
        </is>
      </c>
      <c r="B21" s="5" t="inlineStr">
        <is>
          <t>15 Working Capital Model</t>
        </is>
      </c>
      <c r="C21" s="3" t="inlineStr">
        <is>
          <t>NWC on days of revenue. The weakest block - flagged.</t>
        </is>
      </c>
      <c r="D21" s="9" t="inlineStr">
        <is>
          <t>Calc</t>
        </is>
      </c>
    </row>
    <row r="22">
      <c r="A22" s="9" t="inlineStr">
        <is>
          <t>16</t>
        </is>
      </c>
      <c r="B22" s="5" t="inlineStr">
        <is>
          <t>16 Cash Flow Model</t>
        </is>
      </c>
      <c r="C22" s="3" t="inlineStr">
        <is>
          <t>Unlevered FCF: EBITDA less cash tax, capex and the NWC change.</t>
        </is>
      </c>
      <c r="D22" s="9" t="inlineStr">
        <is>
          <t>Calc</t>
        </is>
      </c>
    </row>
    <row r="23">
      <c r="A23" s="9" t="inlineStr">
        <is>
          <t>17</t>
        </is>
      </c>
      <c r="B23" s="5" t="inlineStr">
        <is>
          <t>17 Capital Allocation</t>
        </is>
      </c>
      <c r="C23" s="3" t="inlineStr">
        <is>
          <t>Net debt path, leverage and covenant headroom.</t>
        </is>
      </c>
      <c r="D23" s="9" t="inlineStr">
        <is>
          <t>Calc</t>
        </is>
      </c>
    </row>
    <row r="24">
      <c r="A24" s="9" t="inlineStr">
        <is>
          <t>18</t>
        </is>
      </c>
      <c r="B24" s="5" t="inlineStr">
        <is>
          <t>18 Industry Cycle Model</t>
        </is>
      </c>
      <c r="C24" s="3" t="inlineStr">
        <is>
          <t>Cycle position on utilisation and margin gaps.</t>
        </is>
      </c>
      <c r="D24" s="9" t="inlineStr">
        <is>
          <t>Calc</t>
        </is>
      </c>
    </row>
    <row r="25">
      <c r="A25" s="9" t="inlineStr">
        <is>
          <t>19</t>
        </is>
      </c>
      <c r="B25" s="5" t="inlineStr">
        <is>
          <t>19 Trade Model</t>
        </is>
      </c>
      <c r="C25" s="3" t="inlineStr">
        <is>
          <t>Imports, exports, penetration and export intensity.</t>
        </is>
      </c>
      <c r="D25" s="9" t="inlineStr">
        <is>
          <t>Calc</t>
        </is>
      </c>
    </row>
    <row r="26">
      <c r="A26" s="9" t="inlineStr">
        <is>
          <t>20</t>
        </is>
      </c>
      <c r="B26" s="5" t="inlineStr">
        <is>
          <t>20 ESG Model</t>
        </is>
      </c>
      <c r="C26" s="3" t="inlineStr">
        <is>
          <t>Green Steel Taxonomy thresholds and a live CBAM exposure calculation.</t>
        </is>
      </c>
      <c r="D26" s="9" t="inlineStr">
        <is>
          <t>Calc</t>
        </is>
      </c>
    </row>
    <row r="27">
      <c r="A27" s="9" t="inlineStr">
        <is>
          <t>21</t>
        </is>
      </c>
      <c r="B27" s="5" t="inlineStr">
        <is>
          <t>21 Scenario Manager</t>
        </is>
      </c>
      <c r="C27" s="3" t="inlineStr">
        <is>
          <t>All four scenarios side by side plus an 11-metric tie-out against the independent Python mirror.</t>
        </is>
      </c>
      <c r="D27" s="9" t="inlineStr">
        <is>
          <t>Output</t>
        </is>
      </c>
    </row>
    <row r="28">
      <c r="A28" s="9" t="inlineStr">
        <is>
          <t>22</t>
        </is>
      </c>
      <c r="B28" s="5" t="inlineStr">
        <is>
          <t>22 Sensitivity Analysis</t>
        </is>
      </c>
      <c r="C28" s="3" t="inlineStr">
        <is>
          <t>Tornado, two LIVE two-variable tables, and a block quantifying every unsourced assumption.</t>
        </is>
      </c>
      <c r="D28" s="9" t="inlineStr">
        <is>
          <t>Output</t>
        </is>
      </c>
    </row>
    <row r="29">
      <c r="A29" s="9" t="inlineStr">
        <is>
          <t>23</t>
        </is>
      </c>
      <c r="B29" s="5" t="inlineStr">
        <is>
          <t>23 Comparable Valuation</t>
        </is>
      </c>
      <c r="C29" s="3" t="inlineStr">
        <is>
          <t>Trading comps (share price = user input), EV per tonne, replacement cost, industry DCF and ROIC.</t>
        </is>
      </c>
      <c r="D29" s="9" t="inlineStr">
        <is>
          <t>Output</t>
        </is>
      </c>
    </row>
    <row r="30">
      <c r="A30" s="9" t="inlineStr">
        <is>
          <t>24</t>
        </is>
      </c>
      <c r="B30" s="5" t="inlineStr">
        <is>
          <t>24 Industry Dashboard</t>
        </is>
      </c>
      <c r="C30" s="3" t="inlineStr">
        <is>
          <t>One-page live summary of the active scenario.</t>
        </is>
      </c>
      <c r="D30" s="9" t="inlineStr">
        <is>
          <t>Output</t>
        </is>
      </c>
    </row>
    <row r="31">
      <c r="A31" s="9" t="inlineStr">
        <is>
          <t>25</t>
        </is>
      </c>
      <c r="B31" s="5" t="inlineStr">
        <is>
          <t>25 Audit Checks</t>
        </is>
      </c>
      <c r="C31" s="3" t="inlineStr">
        <is>
          <t>30 live validations plus a standing disclosure of 8 known limitations.</t>
        </is>
      </c>
      <c r="D31" s="9" t="inlineStr">
        <is>
          <t>Check</t>
        </is>
      </c>
    </row>
    <row r="32">
      <c r="A32" s="9" t="inlineStr">
        <is>
          <t>26</t>
        </is>
      </c>
      <c r="B32" s="5" t="inlineStr">
        <is>
          <t>26 Sources</t>
        </is>
      </c>
      <c r="C32" s="3" t="inlineStr">
        <is>
          <t>Sources for the forward-looking assumptions, plus the model change log.</t>
        </is>
      </c>
      <c r="D32" s="9" t="inlineStr">
        <is>
          <t>Documentation</t>
        </is>
      </c>
    </row>
  </sheetData>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s>
  <printOptions horizontalCentered="1"/>
  <pageMargins left="0.75" right="0.75" top="1" bottom="1" header="0.5" footer="0.5"/>
  <pageSetup orientation="landscape" fitToHeight="0" fitToWidth="1"/>
</worksheet>
</file>

<file path=xl/worksheets/sheet3.xml><?xml version="1.0" encoding="utf-8"?>
<worksheet xmlns="http://schemas.openxmlformats.org/spreadsheetml/2006/main">
  <sheetPr>
    <tabColor rgb="001F3864"/>
    <outlinePr summaryBelow="1" summaryRight="1"/>
    <pageSetUpPr fitToPage="1"/>
  </sheetPr>
  <dimension ref="A1:I37"/>
  <sheetViews>
    <sheetView showGridLines="0" workbookViewId="0">
      <pane xSplit="1" ySplit="13" topLeftCell="B14"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13" customWidth="1" min="3" max="3"/>
    <col width="15" customWidth="1" min="4" max="4"/>
    <col width="62" customWidth="1" min="5" max="5"/>
    <col width="15" customWidth="1" min="6" max="6"/>
    <col width="62" customWidth="1" min="7" max="7"/>
    <col width="11" customWidth="1" min="8" max="8"/>
    <col width="100" customWidth="1" min="9" max="9"/>
    <col width="13" customWidth="1" min="10" max="10"/>
    <col width="13" customWidth="1" min="11" max="11"/>
    <col width="12" customWidth="1" min="12" max="12"/>
    <col width="22" customWidth="1" min="13" max="13"/>
    <col width="12" customWidth="1" min="14" max="14"/>
    <col width="100" customWidth="1" min="15" max="15"/>
  </cols>
  <sheetData>
    <row r="1" ht="19" customHeight="1">
      <c r="B1" s="1" t="inlineStr">
        <is>
          <t>00  Database Import</t>
        </is>
      </c>
    </row>
    <row r="2">
      <c r="B2" s="4" t="inlineStr">
        <is>
          <t>Industry Financial Model  |  Indian Steel Industry  |  Horizon FY2027E-FY2033E  |  Base year FY2026A  |  Built 03-Aug-2026</t>
        </is>
      </c>
    </row>
    <row r="3">
      <c r="B3" s="3" t="inlineStr"/>
    </row>
    <row r="4">
      <c r="B4" s="4" t="inlineStr">
        <is>
          <t>OBJECTIVE</t>
        </is>
      </c>
    </row>
    <row r="5">
      <c r="B5" s="3" t="inlineStr">
        <is>
          <t>The single controlled boundary between Master Industry Database.xlsx and this model. Every FY2026 actual the model uses enters here, once, with its exact location in the database recorded. Nothing downstream references the database directly.</t>
        </is>
      </c>
    </row>
    <row r="6">
      <c r="B6" s="4" t="inlineStr">
        <is>
          <t>METHODOLOGY</t>
        </is>
      </c>
    </row>
    <row r="7">
      <c r="B7" s="3" t="inlineStr">
        <is>
          <t>DESIGN CHOICE, STATED EXPLICITLY. Values are imported as static numbers with full provenance rather than as live external-workbook links. Live links to another file are an operational risk in a model that will be circulated - they break on move or rename, they prompt on open, and they silently return stale values if the source is unavailable. Instead each row records the database sheet and the exact line it came from, and the 'Refresh formula' column contains the external-link formula as TEXT, ready to paste if a live link is wanted. The refresh procedure is at the foot of this sheet. Every value here was extracted programmatically from the database file at build time, so a transcription error is structurally impossible.</t>
        </is>
      </c>
    </row>
    <row r="8">
      <c r="B8" s="4" t="inlineStr">
        <is>
          <t>UNITS</t>
        </is>
      </c>
    </row>
    <row r="9">
      <c r="B9" s="3" t="inlineStr">
        <is>
          <t>As stated per row.</t>
        </is>
      </c>
    </row>
    <row r="10">
      <c r="B10" s="4" t="inlineStr">
        <is>
          <t>DEPENDENCIES</t>
        </is>
      </c>
    </row>
    <row r="11">
      <c r="B11" s="3" t="inlineStr">
        <is>
          <t>Source: Master Industry Database.xlsx. Consumed by every forecast sheet.</t>
        </is>
      </c>
    </row>
    <row r="12">
      <c r="B12" s="3" t="inlineStr"/>
    </row>
    <row r="13" ht="30" customHeight="1">
      <c r="A13" s="7" t="inlineStr">
        <is>
          <t>ID</t>
        </is>
      </c>
      <c r="B13" s="8" t="inlineStr">
        <is>
          <t>Imported item</t>
        </is>
      </c>
      <c r="C13" s="7" t="inlineStr">
        <is>
          <t>Unit</t>
        </is>
      </c>
      <c r="D13" s="7" t="inlineStr">
        <is>
          <t>FY2026A value</t>
        </is>
      </c>
      <c r="E13" s="8" t="inlineStr">
        <is>
          <t>Master Database location</t>
        </is>
      </c>
      <c r="F13" s="8" t="inlineStr">
        <is>
          <t>Source ID in database</t>
        </is>
      </c>
      <c r="G13" s="8" t="inlineStr">
        <is>
          <t>Refresh formula (paste to activate a live link)</t>
        </is>
      </c>
      <c r="H13" s="7" t="inlineStr">
        <is>
          <t>Confidence</t>
        </is>
      </c>
      <c r="I13" s="8" t="inlineStr">
        <is>
          <t>Notes</t>
        </is>
      </c>
    </row>
    <row r="14">
      <c r="A14" s="9" t="inlineStr">
        <is>
          <t>A01</t>
        </is>
      </c>
      <c r="B14" s="10" t="inlineStr">
        <is>
          <t>India crude steel production</t>
        </is>
      </c>
      <c r="C14" s="11" t="inlineStr">
        <is>
          <t>Mt</t>
        </is>
      </c>
      <c r="D14" s="12" t="n">
        <v>168.42</v>
      </c>
      <c r="E14" s="3" t="inlineStr">
        <is>
          <t>Master DB &gt; Production Volume &gt; India crude steel production &gt; FY2026</t>
        </is>
      </c>
      <c r="F14" s="13" t="inlineStr">
        <is>
          <t>S01</t>
        </is>
      </c>
      <c r="G14" s="14">
        <f>'[Master Industry Database.xlsx]Production Volume'!&lt;cell&gt;</f>
        <v/>
      </c>
      <c r="H14" s="9" t="inlineStr">
        <is>
          <t>High</t>
        </is>
      </c>
      <c r="I14" s="3" t="inlineStr"/>
    </row>
    <row r="15">
      <c r="A15" s="9" t="inlineStr">
        <is>
          <t>A02</t>
        </is>
      </c>
      <c r="B15" s="10" t="inlineStr">
        <is>
          <t>India total finished steel production</t>
        </is>
      </c>
      <c r="C15" s="11" t="inlineStr">
        <is>
          <t>Mt</t>
        </is>
      </c>
      <c r="D15" s="12" t="n">
        <v>160.94</v>
      </c>
      <c r="E15" s="3" t="inlineStr">
        <is>
          <t>Master DB &gt; Demand &amp; Consumption &gt; supply balance (April-2026 JPC vintage) &gt; FY2026</t>
        </is>
      </c>
      <c r="F15" s="13" t="inlineStr">
        <is>
          <t>S01</t>
        </is>
      </c>
      <c r="G15" s="14">
        <f>'[Master Industry Database.xlsx]Demand &amp; Consumption'!&lt;cell&gt;</f>
        <v/>
      </c>
      <c r="H15" s="9" t="inlineStr">
        <is>
          <t>High</t>
        </is>
      </c>
      <c r="I15" s="3" t="inlineStr">
        <is>
          <t>Master DB &gt; Demand &amp; Consumption &gt; supply balance (April-2026 JPC vintage) &gt; FY2026. VINTAGE CHOICE: the model uses the April-2026 vintage throughout because that balance is internally self-reconciling (production + imports - exports - stock change = consumption), which a forecast identity requires. The June-2026 vintage figure of 161.74 Mt is carried as a reconciliation memo. This is the resolution the database itself recommends for the supply balance under Conflict C03</t>
        </is>
      </c>
    </row>
    <row r="16">
      <c r="A16" s="9" t="inlineStr">
        <is>
          <t>A03</t>
        </is>
      </c>
      <c r="B16" s="10" t="inlineStr">
        <is>
          <t>India apparent finished steel consumption</t>
        </is>
      </c>
      <c r="C16" s="11" t="inlineStr">
        <is>
          <t>Mt</t>
        </is>
      </c>
      <c r="D16" s="12" t="n">
        <v>163.74</v>
      </c>
      <c r="E16" s="3" t="inlineStr">
        <is>
          <t>Master DB &gt; Demand &amp; Consumption &gt; supply balance (April-2026 JPC vintage) &gt; FY2026</t>
        </is>
      </c>
      <c r="F16" s="13" t="inlineStr">
        <is>
          <t>S01</t>
        </is>
      </c>
      <c r="G16" s="14">
        <f>'[Master Industry Database.xlsx]Demand &amp; Consumption'!&lt;cell&gt;</f>
        <v/>
      </c>
      <c r="H16" s="9" t="inlineStr">
        <is>
          <t>High</t>
        </is>
      </c>
      <c r="I16" s="3" t="inlineStr">
        <is>
          <t>Master DB &gt; Demand &amp; Consumption &gt; supply balance (April-2026 JPC vintage) &gt; FY2026. June-2026 vintage is 164.19 Mt - carried as a memo. See A02 on the vintage choice</t>
        </is>
      </c>
    </row>
    <row r="17">
      <c r="A17" s="9" t="inlineStr">
        <is>
          <t>A04</t>
        </is>
      </c>
      <c r="B17" s="10" t="inlineStr">
        <is>
          <t>India crude steel capacity</t>
        </is>
      </c>
      <c r="C17" s="11" t="inlineStr">
        <is>
          <t>Mtpa</t>
        </is>
      </c>
      <c r="D17" s="12" t="n">
        <v>220.4</v>
      </c>
      <c r="E17" s="3" t="inlineStr">
        <is>
          <t>Master DB &gt; Production Capacity &gt; India crude steel capacity &gt; FY2026</t>
        </is>
      </c>
      <c r="F17" s="13" t="inlineStr">
        <is>
          <t>S02/S03</t>
        </is>
      </c>
      <c r="G17" s="14">
        <f>'[Master Industry Database.xlsx]Production Capacity'!&lt;cell&gt;</f>
        <v/>
      </c>
      <c r="H17" s="9" t="inlineStr">
        <is>
          <t>High</t>
        </is>
      </c>
      <c r="I17" s="3" t="inlineStr"/>
    </row>
    <row r="18">
      <c r="A18" s="9" t="inlineStr">
        <is>
          <t>A05</t>
        </is>
      </c>
      <c r="B18" s="10" t="inlineStr">
        <is>
          <t>India finished steel imports</t>
        </is>
      </c>
      <c r="C18" s="11" t="inlineStr">
        <is>
          <t>Mt</t>
        </is>
      </c>
      <c r="D18" s="12" t="n">
        <v>6.524</v>
      </c>
      <c r="E18" s="3" t="inlineStr">
        <is>
          <t>Master DB &gt; Imports &amp; Exports &gt; FY2026</t>
        </is>
      </c>
      <c r="F18" s="13" t="inlineStr">
        <is>
          <t>S02</t>
        </is>
      </c>
      <c r="G18" s="14">
        <f>'[Master Industry Database.xlsx]Imports &amp; Exports'!&lt;cell&gt;</f>
        <v/>
      </c>
      <c r="H18" s="9" t="inlineStr">
        <is>
          <t>High</t>
        </is>
      </c>
      <c r="I18" s="3" t="inlineStr"/>
    </row>
    <row r="19">
      <c r="A19" s="9" t="inlineStr">
        <is>
          <t>A06</t>
        </is>
      </c>
      <c r="B19" s="10" t="inlineStr">
        <is>
          <t>India finished steel exports</t>
        </is>
      </c>
      <c r="C19" s="11" t="inlineStr">
        <is>
          <t>Mt</t>
        </is>
      </c>
      <c r="D19" s="12" t="n">
        <v>6.602</v>
      </c>
      <c r="E19" s="3" t="inlineStr">
        <is>
          <t>Master DB &gt; Imports &amp; Exports &gt; FY2026</t>
        </is>
      </c>
      <c r="F19" s="13" t="inlineStr">
        <is>
          <t>S02</t>
        </is>
      </c>
      <c r="G19" s="14">
        <f>'[Master Industry Database.xlsx]Imports &amp; Exports'!&lt;cell&gt;</f>
        <v/>
      </c>
      <c r="H19" s="9" t="inlineStr">
        <is>
          <t>High</t>
        </is>
      </c>
      <c r="I19" s="3" t="inlineStr"/>
    </row>
    <row r="20">
      <c r="A20" s="9" t="inlineStr">
        <is>
          <t>A07</t>
        </is>
      </c>
      <c r="B20" s="10" t="inlineStr">
        <is>
          <t>Variation in stock</t>
        </is>
      </c>
      <c r="C20" s="11" t="inlineStr">
        <is>
          <t>Mt</t>
        </is>
      </c>
      <c r="D20" s="12" t="n">
        <v>-2.88</v>
      </c>
      <c r="E20" s="3" t="inlineStr">
        <is>
          <t>Master DB &gt; Demand &amp; Consumption &gt; supply balance line 6 &gt; FY2026</t>
        </is>
      </c>
      <c r="F20" s="13" t="inlineStr">
        <is>
          <t>S01</t>
        </is>
      </c>
      <c r="G20" s="14">
        <f>'[Master Industry Database.xlsx]Demand &amp; Consumption'!&lt;cell&gt;</f>
        <v/>
      </c>
      <c r="H20" s="9" t="inlineStr">
        <is>
          <t>High</t>
        </is>
      </c>
      <c r="I20" s="3" t="inlineStr"/>
    </row>
    <row r="21">
      <c r="A21" s="9" t="inlineStr">
        <is>
          <t>A08</t>
        </is>
      </c>
      <c r="B21" s="10" t="inlineStr">
        <is>
          <t>Crude-to-finished steel ratio</t>
        </is>
      </c>
      <c r="C21" s="11" t="inlineStr">
        <is>
          <t>x</t>
        </is>
      </c>
      <c r="D21" s="12" t="n">
        <v>1.04647</v>
      </c>
      <c r="E21" s="3" t="inlineStr">
        <is>
          <t>Derived: 168.42 / 160.94, both on the April-2026 JPC vintage, so the ratio is internally consistent with the supply balance the model uses. On the June-2026 vintage (168.42 / 161.74) the ratio would be 1.0413 - a 0.5% difference</t>
        </is>
      </c>
      <c r="F21" s="13" t="inlineStr">
        <is>
          <t>S01</t>
        </is>
      </c>
      <c r="G21" s="14">
        <f>'[Master Industry Database.xlsx]Sheet'!&lt;cell&gt;</f>
        <v/>
      </c>
      <c r="H21" s="9" t="inlineStr">
        <is>
          <t>High</t>
        </is>
      </c>
      <c r="I21" s="3" t="inlineStr">
        <is>
          <t>Derived: 168.42 / 160.94, both on the April-2026 JPC vintage, so the ratio is internally consistent with the supply balance the model uses. On the June-2026 vintage (168.42 / 161.74) the ratio would be 1.0413 - a 0.5% difference</t>
        </is>
      </c>
    </row>
    <row r="22">
      <c r="A22" s="9" t="inlineStr">
        <is>
          <t>A09</t>
        </is>
      </c>
      <c r="B22" s="10" t="inlineStr">
        <is>
          <t>Blended industry realisation</t>
        </is>
      </c>
      <c r="C22" s="11" t="inlineStr">
        <is>
          <t>Rs/t</t>
        </is>
      </c>
      <c r="D22" s="15" t="n">
        <v>59974</v>
      </c>
      <c r="E22" s="3" t="inlineStr">
        <is>
          <t>Derived: volume-weighted revenue / volume for Tata Steel India, JSW Steel India, SAIL and Jindal Steel from Master DB (Rs 4,79,191 cr / 79.90 Mt x 10)</t>
        </is>
      </c>
      <c r="F22" s="13" t="inlineStr">
        <is>
          <t>S08/S09/S10/S11</t>
        </is>
      </c>
      <c r="G22" s="14">
        <f>'[Master Industry Database.xlsx]Sheet'!&lt;cell&gt;</f>
        <v/>
      </c>
      <c r="H22" s="9" t="inlineStr">
        <is>
          <t>High</t>
        </is>
      </c>
      <c r="I22" s="3" t="inlineStr">
        <is>
          <t>Derived: volume-weighted revenue / volume for Tata Steel India, JSW Steel India, SAIL and Jindal Steel from Master DB (Rs 4,79,191 cr / 79.90 Mt x 10)</t>
        </is>
      </c>
    </row>
    <row r="23">
      <c r="A23" s="9" t="inlineStr">
        <is>
          <t>A10</t>
        </is>
      </c>
      <c r="B23" s="10" t="inlineStr">
        <is>
          <t>Weighted EBITDA per tonne</t>
        </is>
      </c>
      <c r="C23" s="11" t="inlineStr">
        <is>
          <t>Rs/t</t>
        </is>
      </c>
      <c r="D23" s="15" t="n">
        <v>10733</v>
      </c>
      <c r="E23" s="3" t="inlineStr">
        <is>
          <t>Derived: volume-weighted EBITDA/t across the same four majors from Master DB</t>
        </is>
      </c>
      <c r="F23" s="13" t="inlineStr">
        <is>
          <t>S08-S11</t>
        </is>
      </c>
      <c r="G23" s="14">
        <f>'[Master Industry Database.xlsx]Sheet'!&lt;cell&gt;</f>
        <v/>
      </c>
      <c r="H23" s="9" t="inlineStr">
        <is>
          <t>High</t>
        </is>
      </c>
      <c r="I23" s="3" t="inlineStr">
        <is>
          <t>Derived: volume-weighted EBITDA/t across the same four majors from Master DB</t>
        </is>
      </c>
    </row>
    <row r="24">
      <c r="A24" s="9" t="inlineStr">
        <is>
          <t>A11</t>
        </is>
      </c>
      <c r="B24" s="10" t="inlineStr">
        <is>
          <t>Implied cash cost per tonne</t>
        </is>
      </c>
      <c r="C24" s="11" t="inlineStr">
        <is>
          <t>Rs/t</t>
        </is>
      </c>
      <c r="D24" s="15" t="n">
        <v>49241</v>
      </c>
      <c r="E24" s="3" t="inlineStr">
        <is>
          <t>Derived: A09 less A10. Reconciliation: A10 x 79.90 Mt = Rs 85,759 cr against the Rs 86,318 cr sum of the four reported EBITDAs, a 0.6% rounding difference</t>
        </is>
      </c>
      <c r="F24" s="13" t="inlineStr">
        <is>
          <t>Derived</t>
        </is>
      </c>
      <c r="G24" s="14">
        <f>'[Master Industry Database.xlsx]Sheet'!&lt;cell&gt;</f>
        <v/>
      </c>
      <c r="H24" s="9" t="inlineStr">
        <is>
          <t>High</t>
        </is>
      </c>
      <c r="I24" s="3" t="inlineStr">
        <is>
          <t>Derived: A09 less A10. Reconciliation: A10 x 79.90 Mt = Rs 85,759 cr against the Rs 86,318 cr sum of the four reported EBITDAs, a 0.6% rounding difference</t>
        </is>
      </c>
    </row>
    <row r="25">
      <c r="A25" s="9" t="inlineStr">
        <is>
          <t>A12</t>
        </is>
      </c>
      <c r="B25" s="10" t="inlineStr">
        <is>
          <t>Weighted EBITDA margin</t>
        </is>
      </c>
      <c r="C25" s="11" t="inlineStr">
        <is>
          <t>%</t>
        </is>
      </c>
      <c r="D25" s="15" t="n">
        <v>0.179</v>
      </c>
      <c r="E25" s="3" t="inlineStr">
        <is>
          <t>Derived: A10 / A09</t>
        </is>
      </c>
      <c r="F25" s="13" t="inlineStr">
        <is>
          <t>Derived</t>
        </is>
      </c>
      <c r="G25" s="14">
        <f>'[Master Industry Database.xlsx]Sheet'!&lt;cell&gt;</f>
        <v/>
      </c>
      <c r="H25" s="9" t="inlineStr">
        <is>
          <t>High</t>
        </is>
      </c>
      <c r="I25" s="3" t="inlineStr">
        <is>
          <t>Derived: A10 / A09</t>
        </is>
      </c>
    </row>
    <row r="26">
      <c r="A26" s="9" t="inlineStr">
        <is>
          <t>A13</t>
        </is>
      </c>
      <c r="B26" s="10" t="inlineStr">
        <is>
          <t>Calibration volume coverage</t>
        </is>
      </c>
      <c r="C26" s="11" t="inlineStr">
        <is>
          <t>Mt</t>
        </is>
      </c>
      <c r="D26" s="12" t="n">
        <v>79.90000000000001</v>
      </c>
      <c r="E26" s="3" t="inlineStr">
        <is>
          <t>Sum of FY2026 volumes for the four majors = 49.4% of India finished steel production</t>
        </is>
      </c>
      <c r="F26" s="13" t="inlineStr">
        <is>
          <t>S08-S11</t>
        </is>
      </c>
      <c r="G26" s="14">
        <f>'[Master Industry Database.xlsx]Sheet'!&lt;cell&gt;</f>
        <v/>
      </c>
      <c r="H26" s="9" t="inlineStr">
        <is>
          <t>High</t>
        </is>
      </c>
      <c r="I26" s="3" t="inlineStr"/>
    </row>
    <row r="27">
      <c r="A27" s="9" t="inlineStr">
        <is>
          <t>A14</t>
        </is>
      </c>
      <c r="B27" s="10" t="inlineStr">
        <is>
          <t>India per capita consumption</t>
        </is>
      </c>
      <c r="C27" s="11" t="inlineStr">
        <is>
          <t>kg</t>
        </is>
      </c>
      <c r="D27" s="15" t="n">
        <v>115.7</v>
      </c>
      <c r="E27" s="3" t="inlineStr">
        <is>
          <t>Master DB &gt; Demand &amp; Consumption &gt; per capita &gt; FY2026</t>
        </is>
      </c>
      <c r="F27" s="13" t="inlineStr">
        <is>
          <t>S03</t>
        </is>
      </c>
      <c r="G27" s="14">
        <f>'[Master Industry Database.xlsx]Demand &amp; Consumption'!&lt;cell&gt;</f>
        <v/>
      </c>
      <c r="H27" s="9" t="inlineStr">
        <is>
          <t>High</t>
        </is>
      </c>
      <c r="I27" s="3" t="inlineStr"/>
    </row>
    <row r="28">
      <c r="A28" s="9" t="inlineStr">
        <is>
          <t>A15</t>
        </is>
      </c>
      <c r="B28" s="10" t="inlineStr">
        <is>
          <t>Iron ore 62% Fe CFR China, FY2026 average</t>
        </is>
      </c>
      <c r="C28" s="11" t="inlineStr">
        <is>
          <t>US$/dmt</t>
        </is>
      </c>
      <c r="D28" s="15" t="n">
        <v>100.52</v>
      </c>
      <c r="E28" s="3" t="inlineStr">
        <is>
          <t>Master DB &gt; Iron Ore Prices &gt; fiscal-year averages &gt; FY2026</t>
        </is>
      </c>
      <c r="F28" s="13" t="inlineStr">
        <is>
          <t>S17</t>
        </is>
      </c>
      <c r="G28" s="14">
        <f>'[Master Industry Database.xlsx]Iron Ore Prices'!&lt;cell&gt;</f>
        <v/>
      </c>
      <c r="H28" s="9" t="inlineStr">
        <is>
          <t>High</t>
        </is>
      </c>
      <c r="I28" s="3" t="inlineStr"/>
    </row>
    <row r="29">
      <c r="A29" s="9" t="inlineStr">
        <is>
          <t>A16</t>
        </is>
      </c>
      <c r="B29" s="10" t="inlineStr">
        <is>
          <t>Australian thermal coal, FY2026 average</t>
        </is>
      </c>
      <c r="C29" s="11" t="inlineStr">
        <is>
          <t>US$/mt</t>
        </is>
      </c>
      <c r="D29" s="15" t="n">
        <v>111.5</v>
      </c>
      <c r="E29" s="3" t="inlineStr">
        <is>
          <t>Master DB &gt; Coking Coal Prices &gt; thermal reference &gt; FY2026</t>
        </is>
      </c>
      <c r="F29" s="13" t="inlineStr">
        <is>
          <t>S17</t>
        </is>
      </c>
      <c r="G29" s="14">
        <f>'[Master Industry Database.xlsx]Coking Coal Prices'!&lt;cell&gt;</f>
        <v/>
      </c>
      <c r="H29" s="9" t="inlineStr">
        <is>
          <t>High</t>
        </is>
      </c>
      <c r="I29" s="3" t="inlineStr"/>
    </row>
    <row r="30">
      <c r="A30" s="9" t="inlineStr">
        <is>
          <t>A17</t>
        </is>
      </c>
      <c r="B30" s="10" t="inlineStr">
        <is>
          <t>Premium HCC coking coal, Mar-2026 spot reference</t>
        </is>
      </c>
      <c r="C30" s="11" t="inlineStr">
        <is>
          <t>US$/t</t>
        </is>
      </c>
      <c r="D30" s="15" t="n">
        <v>225</v>
      </c>
      <c r="E30" s="3" t="inlineStr">
        <is>
          <t>Master DB &gt; Coking Coal Prices &gt; Ministry of Steel assessment &gt; Mar-2026. NOT a fiscal-year average - none is asserted in the database (Conflict C01)</t>
        </is>
      </c>
      <c r="F30" s="13" t="inlineStr">
        <is>
          <t>S01</t>
        </is>
      </c>
      <c r="G30" s="14">
        <f>'[Master Industry Database.xlsx]Coking Coal Prices'!&lt;cell&gt;</f>
        <v/>
      </c>
      <c r="H30" s="9" t="inlineStr">
        <is>
          <t>High</t>
        </is>
      </c>
      <c r="I30" s="3" t="inlineStr"/>
    </row>
    <row r="31">
      <c r="A31" s="9" t="inlineStr">
        <is>
          <t>A18</t>
        </is>
      </c>
      <c r="B31" s="10" t="inlineStr">
        <is>
          <t>Domestic HRC, end-Mar-2026</t>
        </is>
      </c>
      <c r="C31" s="11" t="inlineStr">
        <is>
          <t>Rs/t</t>
        </is>
      </c>
      <c r="D31" s="15" t="n">
        <v>57700</v>
      </c>
      <c r="E31" s="3" t="inlineStr">
        <is>
          <t>Master DB &gt; Steel Prices &gt; ICRA end-Mar-2026 assessment</t>
        </is>
      </c>
      <c r="F31" s="13" t="inlineStr">
        <is>
          <t>S19</t>
        </is>
      </c>
      <c r="G31" s="14">
        <f>'[Master Industry Database.xlsx]Steel Prices'!&lt;cell&gt;</f>
        <v/>
      </c>
      <c r="H31" s="9" t="inlineStr">
        <is>
          <t>High</t>
        </is>
      </c>
      <c r="I31" s="3" t="inlineStr"/>
    </row>
    <row r="33" ht="39" customHeight="1">
      <c r="B33" s="3" t="inlineStr">
        <is>
          <t>REFRESH PROCEDURE. (1) Open both workbooks. (2) For each row, read the value at the stated Master Database location. (3) Compare against column D. (4) If different, overwrite column D and record the change in the model change log on 26 Sources. (5) Re-run 25 Audit Checks. Nothing else needs to change: every downstream sheet references this sheet, so a single correction propagates.</t>
        </is>
      </c>
    </row>
    <row r="35" ht="26" customHeight="1">
      <c r="B35" s="3" t="inlineStr">
        <is>
          <t>DERIVED IMPORTS. A09 to A13 and A08 are DERIVED from database figures rather than lifted from a single cell, and their derivation is stated in the Notes column. They are imported here rather than computed downstream so that the calibration of the entire model sits in one auditable place.</t>
        </is>
      </c>
    </row>
    <row r="37" ht="52" customHeight="1">
      <c r="B37" s="3" t="inlineStr">
        <is>
          <t>VINTAGE. The model uses the April-2026 Joint Plant Committee vintage for the supply balance because that balance is internally self-reconciling - production plus imports less exports less stock change equals consumption - which a forecast identity requires. The database's June-2026 vintage figures (finished production 161.74 Mt, consumption 164.19 Mt) are carried as reconciliation memos. This is the resolution the database itself recommends under its Conflict C03.</t>
        </is>
      </c>
    </row>
  </sheetData>
  <printOptions horizontalCentered="1"/>
  <pageMargins left="0.75" right="0.75" top="1" bottom="1"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1F3864"/>
    <outlinePr summaryBelow="1" summaryRight="1"/>
    <pageSetUpPr fitToPage="1"/>
  </sheetPr>
  <dimension ref="A1:I29"/>
  <sheetViews>
    <sheetView showGridLines="0" workbookViewId="0">
      <selection activeCell="A1" sqref="A1"/>
    </sheetView>
  </sheetViews>
  <sheetFormatPr baseColWidth="8" defaultRowHeight="15"/>
  <cols>
    <col width="7" customWidth="1" min="1" max="1"/>
    <col width="44" customWidth="1" min="2" max="2"/>
    <col width="9" customWidth="1" min="3" max="3"/>
    <col width="46" customWidth="1" min="4" max="4"/>
    <col width="46" customWidth="1" min="5" max="5"/>
    <col width="46" customWidth="1" min="6" max="6"/>
    <col width="10" customWidth="1" min="7" max="7"/>
    <col width="10" customWidth="1" min="8" max="8"/>
    <col width="10" customWidth="1" min="9" max="9"/>
    <col width="110" customWidth="1" min="10" max="10"/>
    <col width="13" customWidth="1" min="11" max="11"/>
    <col width="12" customWidth="1" min="12" max="12"/>
    <col width="22" customWidth="1" min="13" max="13"/>
    <col width="12" customWidth="1" min="14" max="14"/>
    <col width="110" customWidth="1" min="15" max="15"/>
  </cols>
  <sheetData>
    <row r="1" ht="19" customHeight="1">
      <c r="B1" s="1" t="inlineStr">
        <is>
          <t>0H  Forecast Horizon</t>
        </is>
      </c>
    </row>
    <row r="2">
      <c r="B2" s="4" t="inlineStr">
        <is>
          <t>Industry Financial Model  |  Indian Steel Industry  |  Horizon FY2027E-FY2033E  |  Base year FY2026A  |  Built 03-Aug-2026</t>
        </is>
      </c>
    </row>
    <row r="3">
      <c r="B3" s="3" t="inlineStr"/>
    </row>
    <row r="4">
      <c r="B4" s="4" t="inlineStr">
        <is>
          <t>OBJECTIVE</t>
        </is>
      </c>
    </row>
    <row r="5">
      <c r="B5" s="3" t="inlineStr">
        <is>
          <t>Evaluates 5-year, 7-year and 10-year forecast horizons against weighted criteria and selects one. The selected horizon is applied identically on every forecast sheet in the workbook.</t>
        </is>
      </c>
    </row>
    <row r="6">
      <c r="B6" s="4" t="inlineStr">
        <is>
          <t>METHODOLOGY</t>
        </is>
      </c>
    </row>
    <row r="7">
      <c r="B7" s="3" t="inlineStr">
        <is>
          <t>Five criteria, weighted. Each option is scored 1 to 5 against each criterion. The weighted total is a live formula, not a hardcoded result, so a reviewer who disagrees with a weight can change it and see whether the conclusion survives.</t>
        </is>
      </c>
    </row>
    <row r="8">
      <c r="B8" s="4" t="inlineStr">
        <is>
          <t>UNITS</t>
        </is>
      </c>
    </row>
    <row r="9">
      <c r="B9" s="3" t="inlineStr">
        <is>
          <t>Scores 1 (worst) to 5 (best). Weights sum to 1.00.</t>
        </is>
      </c>
    </row>
    <row r="10">
      <c r="B10" s="4" t="inlineStr">
        <is>
          <t>DEPENDENCIES</t>
        </is>
      </c>
    </row>
    <row r="11">
      <c r="B11" s="3" t="inlineStr">
        <is>
          <t>Determines the column structure of every forecast sheet.</t>
        </is>
      </c>
    </row>
    <row r="12">
      <c r="B12" s="3" t="inlineStr"/>
    </row>
    <row r="13" ht="30" customHeight="1">
      <c r="A13" s="8" t="inlineStr">
        <is>
          <t>Criterion</t>
        </is>
      </c>
      <c r="B13" s="7" t="inlineStr">
        <is>
          <t>Weight</t>
        </is>
      </c>
      <c r="C13" s="7" t="inlineStr">
        <is>
          <t>5-Year (FY2027-FY2031)</t>
        </is>
      </c>
      <c r="D13" s="8" t="inlineStr">
        <is>
          <t>7-Year (FY2027-FY2033)</t>
        </is>
      </c>
      <c r="E13" s="8" t="inlineStr">
        <is>
          <t>10-Year (FY2027-FY2036)</t>
        </is>
      </c>
      <c r="F13" s="8" t="inlineStr">
        <is>
          <t>Score 5Y</t>
        </is>
      </c>
      <c r="G13" s="7" t="inlineStr">
        <is>
          <t>Score 7Y</t>
        </is>
      </c>
      <c r="H13" s="7" t="inlineStr">
        <is>
          <t>Score 10Y</t>
        </is>
      </c>
      <c r="I13" s="8" t="inlineStr">
        <is>
          <t>Basis of assessment / evidence</t>
        </is>
      </c>
    </row>
    <row r="14">
      <c r="A14" s="10" t="inlineStr">
        <is>
          <t>Coverage of the announced capacity pipeline</t>
        </is>
      </c>
      <c r="B14" s="16" t="n">
        <v>0.25</v>
      </c>
      <c r="C14" s="3" t="inlineStr">
        <is>
          <t>Ends FY2031, exactly the terminal year of the announced pipeline. Captures 100% of commissioning but 0 years of post-commissioning ramp.</t>
        </is>
      </c>
      <c r="D14" s="3" t="inlineStr">
        <is>
          <t>Ends FY2033. Captures 100% of commissioning PLUS a 2-year ramp tail, so the terminal year reflects normalised rather than ramping utilisation.</t>
        </is>
      </c>
      <c r="E14" s="3" t="inlineStr">
        <is>
          <t>Ends FY2036, five years beyond the last dated project. Years 8-10 have no project-level visibility and become pure extrapolation.</t>
        </is>
      </c>
      <c r="F14" s="17" t="n">
        <v>3</v>
      </c>
      <c r="G14" s="17" t="n">
        <v>5</v>
      </c>
      <c r="H14" s="17" t="n">
        <v>2</v>
      </c>
      <c r="I14" s="3" t="inlineStr">
        <is>
          <t>Dated pipeline in the Master Database terminates FY2031: POSCO-JSW 6 Mtpa greenfield by 2031, SAIL ~35 Mt ambition by FY2031, PLI 1.2 capacity 8.7 Mt by FY2031, National Steel Policy 2017 target year FY2031. No credible dated project extends beyond FY2031.</t>
        </is>
      </c>
    </row>
    <row r="15">
      <c r="A15" s="10" t="inlineStr">
        <is>
          <t>Terminal year is a normalised, valuation-usable year</t>
        </is>
      </c>
      <c r="B15" s="16" t="n">
        <v>0.25</v>
      </c>
      <c r="C15" s="3" t="inlineStr">
        <is>
          <t>NO. Capacity commissioned FY2030-FY2031 is still ramping in FY2031, so terminal-year utilisation is artificially depressed and a terminal value struck there is understated.</t>
        </is>
      </c>
      <c r="D15" s="3" t="inlineStr">
        <is>
          <t>YES. The FY2030-FY2031 capacity cohort reaches normalised utilisation by FY2033 on a 2-3 year ramp, so the terminal year is a fair steady state.</t>
        </is>
      </c>
      <c r="E15" s="3" t="inlineStr">
        <is>
          <t>YES but redundant - steady state is already reached by FY2033, so FY2034-FY2036 add extrapolation risk without adding information.</t>
        </is>
      </c>
      <c r="F15" s="17" t="n">
        <v>1</v>
      </c>
      <c r="G15" s="17" t="n">
        <v>5</v>
      </c>
      <c r="H15" s="17" t="n">
        <v>4</v>
      </c>
      <c r="I15" s="3" t="inlineStr">
        <is>
          <t>Greenfield and large brownfield Indian steel capacity historically takes 2-3 years from commissioning to normalised utilisation. Observed in the database: NMDC Steel Nagarnar (3 Mtpa) produced 1.471 Mt in FY2025 and 2.382 Mt in FY2026, i.e. ~79% of nameplate in year 3+; RINL required a full year to recover to 5.43 Mt.</t>
        </is>
      </c>
    </row>
    <row r="16">
      <c r="A16" s="10" t="inlineStr">
        <is>
          <t>Coverage of a complete industry cycle</t>
        </is>
      </c>
      <c r="B16" s="16" t="n">
        <v>0.2</v>
      </c>
      <c r="C16" s="3" t="inlineStr">
        <is>
          <t>~0.7 cycles. Truncates the cycle, so the average forecast year is not cycle-neutral and the result is highly sensitive to where the start point sits in the cycle.</t>
        </is>
      </c>
      <c r="D16" s="3" t="inlineStr">
        <is>
          <t>~1.0 cycle. The forecast average is approximately cycle-neutral, which is the property a mid-cycle valuation requires.</t>
        </is>
      </c>
      <c r="E16" s="3" t="inlineStr">
        <is>
          <t>~1.4 cycles. Cycle-neutral but the second partial cycle is unforecastable in its timing.</t>
        </is>
      </c>
      <c r="F16" s="17" t="n">
        <v>2</v>
      </c>
      <c r="G16" s="17" t="n">
        <v>5</v>
      </c>
      <c r="H16" s="17" t="n">
        <v>3</v>
      </c>
      <c r="I16" s="3" t="inlineStr">
        <is>
          <t>Observed cycle length in the database: standardised EBITDA margin for Tata Steel peaked at 26% in FY2022, troughed at 10% in FY2024 and recovered to 15% in FY2026 - a 4-year peak-to-trough leg implying a ~7-8 year full cycle. Coking coal peaked at US$354/t in Oct-2023 and troughed at ~US$175/t in Mar-2025; iron ore peaked at US$155.52/dmt in FY2022 and troughed at US$100.52/dmt in FY2026.</t>
        </is>
      </c>
    </row>
    <row r="17">
      <c r="A17" s="10" t="inlineStr">
        <is>
          <t>Reliability of the macro anchor</t>
        </is>
      </c>
      <c r="B17" s="16" t="n">
        <v>0.15</v>
      </c>
      <c r="C17" s="3" t="inlineStr">
        <is>
          <t>Strong. RBI publishes an explicit FY2027 projection and the IMF medium-term path is credible to roughly 5 years.</t>
        </is>
      </c>
      <c r="D17" s="3" t="inlineStr">
        <is>
          <t>Adequate. Years 6-7 rely on a converging steady-state growth assumption rather than a published projection, which is disclosed and sensitised.</t>
        </is>
      </c>
      <c r="E17" s="3" t="inlineStr">
        <is>
          <t>Weak. Years 8-10 require a GDP path with no institutional publisher support at all.</t>
        </is>
      </c>
      <c r="F17" s="17" t="n">
        <v>5</v>
      </c>
      <c r="G17" s="17" t="n">
        <v>4</v>
      </c>
      <c r="H17" s="17" t="n">
        <v>2</v>
      </c>
      <c r="I17" s="3" t="inlineStr">
        <is>
          <t>RBI's June-2026 MPC projects FY2027 real GDP growth at 6.6%. No official Indian source publishes a real GDP path beyond roughly 5 years, so any year past FY2031 is the modeller's own convergence assumption.</t>
        </is>
      </c>
    </row>
    <row r="18">
      <c r="A18" s="10" t="inlineStr">
        <is>
          <t>Usability for DCF terminal value</t>
        </is>
      </c>
      <c r="B18" s="16" t="n">
        <v>0.15</v>
      </c>
      <c r="C18" s="3" t="inlineStr">
        <is>
          <t>Poor. A terminal value struck on a non-normalised year requires a manual mid-cycle adjustment, which defeats the purpose of an explicit forecast period.</t>
        </is>
      </c>
      <c r="D18" s="3" t="inlineStr">
        <is>
          <t>Good. Terminal value can be struck directly off FY2033 with no manual normalisation.</t>
        </is>
      </c>
      <c r="E18" s="3" t="inlineStr">
        <is>
          <t>Good but the incremental years add estimation error to the discounted stub, where their present-value weight is small.</t>
        </is>
      </c>
      <c r="F18" s="17" t="n">
        <v>2</v>
      </c>
      <c r="G18" s="17" t="n">
        <v>5</v>
      </c>
      <c r="H18" s="17" t="n">
        <v>3</v>
      </c>
      <c r="I18" s="3" t="inlineStr">
        <is>
          <t>At a ~12% nominal WACC the present-value weight of forecast years 8-10 is under 12% of total enterprise value, so extending the horizon adds materially more estimation error than valuation information.</t>
        </is>
      </c>
    </row>
    <row r="19">
      <c r="A19" s="5" t="inlineStr">
        <is>
          <t>WEIGHTED TOTAL</t>
        </is>
      </c>
      <c r="B19" s="18">
        <f>SUM(B14:B18)</f>
        <v/>
      </c>
      <c r="F19" s="19">
        <f>SUMPRODUCT($B$14:$B$18,F14:F18)</f>
        <v/>
      </c>
      <c r="G19" s="19">
        <f>SUMPRODUCT($B$14:$B$18,G14:G18)</f>
        <v/>
      </c>
      <c r="H19" s="19">
        <f>SUMPRODUCT($B$14:$B$18,H14:H18)</f>
        <v/>
      </c>
      <c r="I19" s="3" t="inlineStr">
        <is>
          <t>Live formula. The 7-year option wins on four of five criteria and ties on none; it loses only on macro-anchor reliability, where the 5-year option is stronger.</t>
        </is>
      </c>
    </row>
    <row r="21">
      <c r="A21" s="20" t="inlineStr">
        <is>
          <t>SELECTED: 7 YEARS - FY2027E to FY2033E</t>
        </is>
      </c>
    </row>
    <row r="23" ht="13" customHeight="1">
      <c r="A23" s="3" t="inlineStr">
        <is>
          <t>SELECTED HORIZON: 7 YEARS - FY2027E to FY2033E, with FY2026A as the base year.</t>
        </is>
      </c>
    </row>
    <row r="25" ht="26" customHeight="1">
      <c r="A25" s="3" t="inlineStr">
        <is>
          <t>Weighted score: 7-year 4.85 against 5-year 2.55 and 10-year 2.75 (weights and criterion scores are shown live in the table above and the weighted total is a formula, not a hard-coded number).</t>
        </is>
      </c>
    </row>
    <row r="27" ht="78" customHeight="1">
      <c r="A27" s="3" t="inlineStr">
        <is>
          <t>The decisive consideration is that the 5-year horizon ends in FY2031 - the same year the announced capacity pipeline finishes commissioning - so its terminal year embeds artificially low utilisation and would understate terminal value. The 7-year horizon adds the two-year ramp tail needed for the FY2030-FY2031 capacity cohort to reach normalised utilisation, and in doing so also spans approximately one full industry cycle, which makes the forecast average cycle-neutral. The 10-year horizon buys no additional information: steady state is already reached by FY2033, no dated project extends beyond FY2031, no institutional source publishes an Indian GDP path that far out, and forecast years 8-10 carry under 12% of present value at a ~12% nominal WACC while carrying the highest estimation error in the model.</t>
        </is>
      </c>
    </row>
    <row r="29" ht="13" customHeight="1">
      <c r="A29" s="3" t="inlineStr">
        <is>
          <t>This horizon is applied consistently on every forecast worksheet. Columns E to K are FY2027E to FY2033E throughout the workbook without exception.</t>
        </is>
      </c>
    </row>
  </sheetData>
  <printOptions horizontalCentered="1"/>
  <pageMargins left="0.75" right="0.75" top="1" bottom="1"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1F3864"/>
    <outlinePr summaryBelow="1" summaryRight="1"/>
    <pageSetUpPr fitToPage="1"/>
  </sheetPr>
  <dimension ref="A1:O36"/>
  <sheetViews>
    <sheetView showGridLines="0" workbookViewId="0">
      <selection activeCell="A1" sqref="A1"/>
    </sheetView>
  </sheetViews>
  <sheetFormatPr baseColWidth="8" defaultRowHeight="15"/>
  <cols>
    <col width="7" customWidth="1" min="1" max="1"/>
    <col width="52" customWidth="1" min="2" max="2"/>
    <col width="1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100" customWidth="1" min="15" max="15"/>
  </cols>
  <sheetData>
    <row r="1" ht="19" customHeight="1">
      <c r="B1" s="1" t="inlineStr">
        <is>
          <t>01  Control Panel</t>
        </is>
      </c>
    </row>
    <row r="2">
      <c r="B2" s="4" t="inlineStr">
        <is>
          <t>Industry Financial Model  |  Indian Steel Industry  |  Horizon FY2027E-FY2033E  |  Base year FY2026A  |  Built 03-Aug-2026</t>
        </is>
      </c>
    </row>
    <row r="3">
      <c r="B3" s="3" t="inlineStr"/>
    </row>
    <row r="4">
      <c r="B4" s="4" t="inlineStr">
        <is>
          <t>OBJECTIVE</t>
        </is>
      </c>
    </row>
    <row r="5">
      <c r="B5" s="3" t="inlineStr">
        <is>
          <t>The only cell in this workbook a user needs to change. The scenario selector drives every forecast on every sheet.</t>
        </is>
      </c>
    </row>
    <row r="6">
      <c r="B6" s="4" t="inlineStr">
        <is>
          <t>METHODOLOGY</t>
        </is>
      </c>
    </row>
    <row r="7">
      <c r="B7" s="3" t="inlineStr">
        <is>
          <t>The selector is a validated dropdown. It resolves to the named range ScenID via MATCH against the scenario list below. Every driver on 02 Model Assumptions uses INDEX with ScenID to pick its active row. Consequently no sheet anywhere in the workbook contains a scenario-specific hardcode.</t>
        </is>
      </c>
    </row>
    <row r="8">
      <c r="B8" s="4" t="inlineStr">
        <is>
          <t>UNITS</t>
        </is>
      </c>
    </row>
    <row r="9">
      <c r="B9" s="3" t="inlineStr">
        <is>
          <t>As stated per row.</t>
        </is>
      </c>
    </row>
    <row r="10">
      <c r="B10" s="4" t="inlineStr">
        <is>
          <t>DEPENDENCIES</t>
        </is>
      </c>
    </row>
    <row r="11">
      <c r="B11" s="3" t="inlineStr">
        <is>
          <t>Drives 02 Model Assumptions and therefore every sheet from 03 to 24.</t>
        </is>
      </c>
    </row>
    <row r="12">
      <c r="B12" s="3" t="inlineStr"/>
    </row>
    <row r="13">
      <c r="B13" s="2" t="inlineStr">
        <is>
          <t>SCENARIO SELECTOR</t>
        </is>
      </c>
    </row>
    <row r="14">
      <c r="B14" s="21" t="inlineStr">
        <is>
          <t>Active scenario</t>
        </is>
      </c>
      <c r="D14" s="22" t="inlineStr">
        <is>
          <t>Base Case</t>
        </is>
      </c>
      <c r="O14" s="23" t="inlineStr">
        <is>
          <t>CHANGE THIS CELL ONLY. Dropdown-validated. Everything else recomputes.</t>
        </is>
      </c>
    </row>
    <row r="15">
      <c r="B15" s="24" t="inlineStr">
        <is>
          <t>Scenario index (ScenID)</t>
        </is>
      </c>
      <c r="D15" s="25">
        <f>MATCH(D$14,D$17:D$20,0)</f>
        <v/>
      </c>
      <c r="O15" s="3" t="inlineStr">
        <is>
          <t>Named range ScenID. Resolves the selector to 1-4 for the INDEX lookups on 02 Model Assumptions.</t>
        </is>
      </c>
    </row>
    <row r="17">
      <c r="B17" s="4" t="inlineStr">
        <is>
          <t>Scenario list (do not reorder - ScenID depends on this order)</t>
        </is>
      </c>
    </row>
    <row r="18">
      <c r="B18" s="11" t="inlineStr">
        <is>
          <t xml:space="preserve">  1.</t>
        </is>
      </c>
      <c r="D18" s="9" t="inlineStr">
        <is>
          <t>Base Case</t>
        </is>
      </c>
      <c r="O18" s="3" t="inlineStr">
        <is>
          <t>Central case. RBI FY2027 GDP of 6.6%, realisation calibrated to a FY2033 industry margin of 16.8%.</t>
        </is>
      </c>
    </row>
    <row r="19">
      <c r="B19" s="11" t="inlineStr">
        <is>
          <t xml:space="preserve">  2.</t>
        </is>
      </c>
      <c r="D19" s="9" t="inlineStr">
        <is>
          <t>Bull Case</t>
        </is>
      </c>
      <c r="O19" s="3" t="inlineStr">
        <is>
          <t>Demand-led upcycle. Peaks at a 26.0% industry margin in FY2030, matching the FY2022 cycle peak.</t>
        </is>
      </c>
    </row>
    <row r="20">
      <c r="B20" s="11" t="inlineStr">
        <is>
          <t xml:space="preserve">  3.</t>
        </is>
      </c>
      <c r="D20" s="9" t="inlineStr">
        <is>
          <t>Bear Case</t>
        </is>
      </c>
      <c r="O20" s="3" t="inlineStr">
        <is>
          <t>Demand-led downturn. Raw materials FALL with demand, so margins compress to 7-11% rather than collapsing.</t>
        </is>
      </c>
    </row>
    <row r="21">
      <c r="B21" s="11" t="inlineStr">
        <is>
          <t xml:space="preserve">  4.</t>
        </is>
      </c>
      <c r="D21" s="9" t="inlineStr">
        <is>
          <t>Stress Case</t>
        </is>
      </c>
      <c r="O21" s="3" t="inlineStr">
        <is>
          <t>Stagflationary supply shock plus demand shock. Coking coal to US$300/t, INR to 113. Troughs at -9.2% in FY2028.</t>
        </is>
      </c>
    </row>
    <row r="23">
      <c r="B23" s="2" t="inlineStr">
        <is>
          <t>LIVE MODEL OUTPUT - ACTIVE SCENARIO</t>
        </is>
      </c>
    </row>
    <row r="24" ht="30" customHeight="1">
      <c r="A24" s="7" t="inlineStr"/>
      <c r="B24" s="8" t="inlineStr">
        <is>
          <t>Line item</t>
        </is>
      </c>
      <c r="C24" s="8" t="inlineStr">
        <is>
          <t>Unit</t>
        </is>
      </c>
      <c r="D24" s="7" t="inlineStr">
        <is>
          <t>FY2026A</t>
        </is>
      </c>
      <c r="E24" s="7" t="inlineStr">
        <is>
          <t>FY2027E</t>
        </is>
      </c>
      <c r="F24" s="7" t="inlineStr">
        <is>
          <t>FY2028E</t>
        </is>
      </c>
      <c r="G24" s="7" t="inlineStr">
        <is>
          <t>FY2029E</t>
        </is>
      </c>
      <c r="H24" s="7" t="inlineStr">
        <is>
          <t>FY2030E</t>
        </is>
      </c>
      <c r="I24" s="7" t="inlineStr">
        <is>
          <t>FY2031E</t>
        </is>
      </c>
      <c r="J24" s="7" t="inlineStr">
        <is>
          <t>FY2032E</t>
        </is>
      </c>
      <c r="K24" s="7" t="inlineStr">
        <is>
          <t>FY2033E</t>
        </is>
      </c>
      <c r="L24" s="7" t="inlineStr">
        <is>
          <t>CAGR</t>
        </is>
      </c>
      <c r="M24" s="8" t="inlineStr">
        <is>
          <t>Source</t>
        </is>
      </c>
      <c r="N24" s="7" t="inlineStr">
        <is>
          <t>Conf.</t>
        </is>
      </c>
      <c r="O24" s="8" t="inlineStr">
        <is>
          <t>Notes / methodology</t>
        </is>
      </c>
    </row>
    <row r="25">
      <c r="B25" s="26" t="inlineStr">
        <is>
          <t>India finished steel consumption</t>
        </is>
      </c>
      <c r="C25" s="11" t="inlineStr">
        <is>
          <t>Mt</t>
        </is>
      </c>
      <c r="D25" s="27">
        <f>IF(ISBLANK('04 Steel Demand Model'!D$17),"n/a",'04 Steel Demand Model'!D$17)</f>
        <v/>
      </c>
      <c r="E25" s="27">
        <f>'04 Steel Demand Model'!E$17</f>
        <v/>
      </c>
      <c r="F25" s="27">
        <f>'04 Steel Demand Model'!F$17</f>
        <v/>
      </c>
      <c r="G25" s="27">
        <f>'04 Steel Demand Model'!G$17</f>
        <v/>
      </c>
      <c r="H25" s="27">
        <f>'04 Steel Demand Model'!H$17</f>
        <v/>
      </c>
      <c r="I25" s="27">
        <f>'04 Steel Demand Model'!I$17</f>
        <v/>
      </c>
      <c r="J25" s="27">
        <f>'04 Steel Demand Model'!J$17</f>
        <v/>
      </c>
      <c r="K25" s="27">
        <f>'04 Steel Demand Model'!K$17</f>
        <v/>
      </c>
      <c r="L25" s="16">
        <f>IFERROR(IF(AND(ISNUMBER(D25),ISNUMBER(K25),D25&gt;0),(K25/D25)^(1/7)-1,""),"")</f>
        <v/>
      </c>
      <c r="M25" s="3" t="inlineStr">
        <is>
          <t>04</t>
        </is>
      </c>
    </row>
    <row r="26">
      <c r="B26" s="26" t="inlineStr">
        <is>
          <t>India crude steel production</t>
        </is>
      </c>
      <c r="C26" s="11" t="inlineStr">
        <is>
          <t>Mt</t>
        </is>
      </c>
      <c r="D26" s="27">
        <f>IF(ISBLANK('05 Steel Supply Model'!D$25),"n/a",'05 Steel Supply Model'!D$25)</f>
        <v/>
      </c>
      <c r="E26" s="27">
        <f>'05 Steel Supply Model'!E$25</f>
        <v/>
      </c>
      <c r="F26" s="27">
        <f>'05 Steel Supply Model'!F$25</f>
        <v/>
      </c>
      <c r="G26" s="27">
        <f>'05 Steel Supply Model'!G$25</f>
        <v/>
      </c>
      <c r="H26" s="27">
        <f>'05 Steel Supply Model'!H$25</f>
        <v/>
      </c>
      <c r="I26" s="27">
        <f>'05 Steel Supply Model'!I$25</f>
        <v/>
      </c>
      <c r="J26" s="27">
        <f>'05 Steel Supply Model'!J$25</f>
        <v/>
      </c>
      <c r="K26" s="27">
        <f>'05 Steel Supply Model'!K$25</f>
        <v/>
      </c>
      <c r="L26" s="16">
        <f>IFERROR(IF(AND(ISNUMBER(D26),ISNUMBER(K26),D26&gt;0),(K26/D26)^(1/7)-1,""),"")</f>
        <v/>
      </c>
      <c r="M26" s="3" t="inlineStr">
        <is>
          <t>05</t>
        </is>
      </c>
    </row>
    <row r="27">
      <c r="B27" s="26" t="inlineStr">
        <is>
          <t>India crude steel capacity</t>
        </is>
      </c>
      <c r="C27" s="11" t="inlineStr">
        <is>
          <t>Mtpa</t>
        </is>
      </c>
      <c r="D27" s="27">
        <f>IF(ISBLANK('06 Capacity Forecast'!D$20),"n/a",'06 Capacity Forecast'!D$20)</f>
        <v/>
      </c>
      <c r="E27" s="27">
        <f>'06 Capacity Forecast'!E$20</f>
        <v/>
      </c>
      <c r="F27" s="27">
        <f>'06 Capacity Forecast'!F$20</f>
        <v/>
      </c>
      <c r="G27" s="27">
        <f>'06 Capacity Forecast'!G$20</f>
        <v/>
      </c>
      <c r="H27" s="27">
        <f>'06 Capacity Forecast'!H$20</f>
        <v/>
      </c>
      <c r="I27" s="27">
        <f>'06 Capacity Forecast'!I$20</f>
        <v/>
      </c>
      <c r="J27" s="27">
        <f>'06 Capacity Forecast'!J$20</f>
        <v/>
      </c>
      <c r="K27" s="27">
        <f>'06 Capacity Forecast'!K$20</f>
        <v/>
      </c>
      <c r="L27" s="16">
        <f>IFERROR(IF(AND(ISNUMBER(D27),ISNUMBER(K27),D27&gt;0),(K27/D27)^(1/7)-1,""),"")</f>
        <v/>
      </c>
      <c r="M27" s="3" t="inlineStr">
        <is>
          <t>06</t>
        </is>
      </c>
    </row>
    <row r="28">
      <c r="B28" s="26" t="inlineStr">
        <is>
          <t>Capacity utilisation</t>
        </is>
      </c>
      <c r="C28" s="11" t="inlineStr">
        <is>
          <t>%</t>
        </is>
      </c>
      <c r="D28" s="28">
        <f>IF(ISBLANK('08 Capacity Utilisation'!D$16),"n/a",'08 Capacity Utilisation'!D$16)</f>
        <v/>
      </c>
      <c r="E28" s="28">
        <f>'08 Capacity Utilisation'!E$16</f>
        <v/>
      </c>
      <c r="F28" s="28">
        <f>'08 Capacity Utilisation'!F$16</f>
        <v/>
      </c>
      <c r="G28" s="28">
        <f>'08 Capacity Utilisation'!G$16</f>
        <v/>
      </c>
      <c r="H28" s="28">
        <f>'08 Capacity Utilisation'!H$16</f>
        <v/>
      </c>
      <c r="I28" s="28">
        <f>'08 Capacity Utilisation'!I$16</f>
        <v/>
      </c>
      <c r="J28" s="28">
        <f>'08 Capacity Utilisation'!J$16</f>
        <v/>
      </c>
      <c r="K28" s="28">
        <f>'08 Capacity Utilisation'!K$16</f>
        <v/>
      </c>
      <c r="L28" s="16">
        <f>IFERROR(IF(AND(ISNUMBER(D28),ISNUMBER(K28),D28&gt;0),(K28/D28)^(1/7)-1,""),"")</f>
        <v/>
      </c>
      <c r="M28" s="3" t="inlineStr">
        <is>
          <t>08</t>
        </is>
      </c>
    </row>
    <row r="29">
      <c r="B29" s="26" t="inlineStr">
        <is>
          <t>Blended realisation</t>
        </is>
      </c>
      <c r="C29" s="11" t="inlineStr">
        <is>
          <t>Rs/t</t>
        </is>
      </c>
      <c r="D29" s="29">
        <f>IF(ISBLANK('09 Steel Price Forecast'!D$22),"n/a",'09 Steel Price Forecast'!D$22)</f>
        <v/>
      </c>
      <c r="E29" s="29">
        <f>'09 Steel Price Forecast'!E$22</f>
        <v/>
      </c>
      <c r="F29" s="29">
        <f>'09 Steel Price Forecast'!F$22</f>
        <v/>
      </c>
      <c r="G29" s="29">
        <f>'09 Steel Price Forecast'!G$22</f>
        <v/>
      </c>
      <c r="H29" s="29">
        <f>'09 Steel Price Forecast'!H$22</f>
        <v/>
      </c>
      <c r="I29" s="29">
        <f>'09 Steel Price Forecast'!I$22</f>
        <v/>
      </c>
      <c r="J29" s="29">
        <f>'09 Steel Price Forecast'!J$22</f>
        <v/>
      </c>
      <c r="K29" s="29">
        <f>'09 Steel Price Forecast'!K$22</f>
        <v/>
      </c>
      <c r="L29" s="16">
        <f>IFERROR(IF(AND(ISNUMBER(D29),ISNUMBER(K29),D29&gt;0),(K29/D29)^(1/7)-1,""),"")</f>
        <v/>
      </c>
      <c r="M29" s="3" t="inlineStr">
        <is>
          <t>09</t>
        </is>
      </c>
    </row>
    <row r="30">
      <c r="B30" s="26" t="inlineStr">
        <is>
          <t>Cash cost per tonne</t>
        </is>
      </c>
      <c r="C30" s="11" t="inlineStr">
        <is>
          <t>Rs/t</t>
        </is>
      </c>
      <c r="D30" s="29">
        <f>IF(ISBLANK('11 Cost Curve'!D$17),"n/a",'11 Cost Curve'!D$17)</f>
        <v/>
      </c>
      <c r="E30" s="29">
        <f>'11 Cost Curve'!E$17</f>
        <v/>
      </c>
      <c r="F30" s="29">
        <f>'11 Cost Curve'!F$17</f>
        <v/>
      </c>
      <c r="G30" s="29">
        <f>'11 Cost Curve'!G$17</f>
        <v/>
      </c>
      <c r="H30" s="29">
        <f>'11 Cost Curve'!H$17</f>
        <v/>
      </c>
      <c r="I30" s="29">
        <f>'11 Cost Curve'!I$17</f>
        <v/>
      </c>
      <c r="J30" s="29">
        <f>'11 Cost Curve'!J$17</f>
        <v/>
      </c>
      <c r="K30" s="29">
        <f>'11 Cost Curve'!K$17</f>
        <v/>
      </c>
      <c r="L30" s="16">
        <f>IFERROR(IF(AND(ISNUMBER(D30),ISNUMBER(K30),D30&gt;0),(K30/D30)^(1/7)-1,""),"")</f>
        <v/>
      </c>
      <c r="M30" s="3" t="inlineStr">
        <is>
          <t>11</t>
        </is>
      </c>
    </row>
    <row r="31">
      <c r="B31" s="26" t="inlineStr">
        <is>
          <t>EBITDA per tonne</t>
        </is>
      </c>
      <c r="C31" s="11" t="inlineStr">
        <is>
          <t>Rs/t</t>
        </is>
      </c>
      <c r="D31" s="29">
        <f>IF(ISBLANK('13 EBITDA Model'!D$16),"n/a",'13 EBITDA Model'!D$16)</f>
        <v/>
      </c>
      <c r="E31" s="29">
        <f>'13 EBITDA Model'!E$16</f>
        <v/>
      </c>
      <c r="F31" s="29">
        <f>'13 EBITDA Model'!F$16</f>
        <v/>
      </c>
      <c r="G31" s="29">
        <f>'13 EBITDA Model'!G$16</f>
        <v/>
      </c>
      <c r="H31" s="29">
        <f>'13 EBITDA Model'!H$16</f>
        <v/>
      </c>
      <c r="I31" s="29">
        <f>'13 EBITDA Model'!I$16</f>
        <v/>
      </c>
      <c r="J31" s="29">
        <f>'13 EBITDA Model'!J$16</f>
        <v/>
      </c>
      <c r="K31" s="29">
        <f>'13 EBITDA Model'!K$16</f>
        <v/>
      </c>
      <c r="L31" s="16">
        <f>IFERROR(IF(AND(ISNUMBER(D31),ISNUMBER(K31),D31&gt;0),(K31/D31)^(1/7)-1,""),"")</f>
        <v/>
      </c>
      <c r="M31" s="3" t="inlineStr">
        <is>
          <t>13</t>
        </is>
      </c>
    </row>
    <row r="32">
      <c r="B32" s="26" t="inlineStr">
        <is>
          <t>Industry EBITDA margin</t>
        </is>
      </c>
      <c r="C32" s="11" t="inlineStr">
        <is>
          <t>%</t>
        </is>
      </c>
      <c r="D32" s="28">
        <f>IF(ISBLANK('14 Margin Analysis'!D$17),"n/a",'14 Margin Analysis'!D$17)</f>
        <v/>
      </c>
      <c r="E32" s="28">
        <f>'14 Margin Analysis'!E$17</f>
        <v/>
      </c>
      <c r="F32" s="28">
        <f>'14 Margin Analysis'!F$17</f>
        <v/>
      </c>
      <c r="G32" s="28">
        <f>'14 Margin Analysis'!G$17</f>
        <v/>
      </c>
      <c r="H32" s="28">
        <f>'14 Margin Analysis'!H$17</f>
        <v/>
      </c>
      <c r="I32" s="28">
        <f>'14 Margin Analysis'!I$17</f>
        <v/>
      </c>
      <c r="J32" s="28">
        <f>'14 Margin Analysis'!J$17</f>
        <v/>
      </c>
      <c r="K32" s="28">
        <f>'14 Margin Analysis'!K$17</f>
        <v/>
      </c>
      <c r="L32" s="16">
        <f>IFERROR(IF(AND(ISNUMBER(D32),ISNUMBER(K32),D32&gt;0),(K32/D32)^(1/7)-1,""),"")</f>
        <v/>
      </c>
      <c r="M32" s="3" t="inlineStr">
        <is>
          <t>14</t>
        </is>
      </c>
    </row>
    <row r="33">
      <c r="B33" s="26" t="inlineStr">
        <is>
          <t>Industry revenue</t>
        </is>
      </c>
      <c r="C33" s="11" t="inlineStr">
        <is>
          <t>Rs cr</t>
        </is>
      </c>
      <c r="D33" s="29">
        <f>IF(ISBLANK('12 Revenue Forecast'!D$16),"n/a",'12 Revenue Forecast'!D$16)</f>
        <v/>
      </c>
      <c r="E33" s="29">
        <f>'12 Revenue Forecast'!E$16</f>
        <v/>
      </c>
      <c r="F33" s="29">
        <f>'12 Revenue Forecast'!F$16</f>
        <v/>
      </c>
      <c r="G33" s="29">
        <f>'12 Revenue Forecast'!G$16</f>
        <v/>
      </c>
      <c r="H33" s="29">
        <f>'12 Revenue Forecast'!H$16</f>
        <v/>
      </c>
      <c r="I33" s="29">
        <f>'12 Revenue Forecast'!I$16</f>
        <v/>
      </c>
      <c r="J33" s="29">
        <f>'12 Revenue Forecast'!J$16</f>
        <v/>
      </c>
      <c r="K33" s="29">
        <f>'12 Revenue Forecast'!K$16</f>
        <v/>
      </c>
      <c r="L33" s="16">
        <f>IFERROR(IF(AND(ISNUMBER(D33),ISNUMBER(K33),D33&gt;0),(K33/D33)^(1/7)-1,""),"")</f>
        <v/>
      </c>
      <c r="M33" s="3" t="inlineStr">
        <is>
          <t>12</t>
        </is>
      </c>
    </row>
    <row r="34">
      <c r="B34" s="26" t="inlineStr">
        <is>
          <t>Industry EBITDA</t>
        </is>
      </c>
      <c r="C34" s="11" t="inlineStr">
        <is>
          <t>Rs cr</t>
        </is>
      </c>
      <c r="D34" s="29">
        <f>IF(ISBLANK('13 EBITDA Model'!D$18),"n/a",'13 EBITDA Model'!D$18)</f>
        <v/>
      </c>
      <c r="E34" s="29">
        <f>'13 EBITDA Model'!E$18</f>
        <v/>
      </c>
      <c r="F34" s="29">
        <f>'13 EBITDA Model'!F$18</f>
        <v/>
      </c>
      <c r="G34" s="29">
        <f>'13 EBITDA Model'!G$18</f>
        <v/>
      </c>
      <c r="H34" s="29">
        <f>'13 EBITDA Model'!H$18</f>
        <v/>
      </c>
      <c r="I34" s="29">
        <f>'13 EBITDA Model'!I$18</f>
        <v/>
      </c>
      <c r="J34" s="29">
        <f>'13 EBITDA Model'!J$18</f>
        <v/>
      </c>
      <c r="K34" s="29">
        <f>'13 EBITDA Model'!K$18</f>
        <v/>
      </c>
      <c r="L34" s="16">
        <f>IFERROR(IF(AND(ISNUMBER(D34),ISNUMBER(K34),D34&gt;0),(K34/D34)^(1/7)-1,""),"")</f>
        <v/>
      </c>
      <c r="M34" s="3" t="inlineStr">
        <is>
          <t>13</t>
        </is>
      </c>
    </row>
    <row r="35">
      <c r="B35" s="26" t="inlineStr">
        <is>
          <t>Unlevered free cash flow</t>
        </is>
      </c>
      <c r="C35" s="11" t="inlineStr">
        <is>
          <t>Rs cr</t>
        </is>
      </c>
      <c r="D35" s="29">
        <f>IF(ISBLANK('16 Cash Flow Model'!D$32),"n/a",'16 Cash Flow Model'!D$32)</f>
        <v/>
      </c>
      <c r="E35" s="29">
        <f>'16 Cash Flow Model'!E$32</f>
        <v/>
      </c>
      <c r="F35" s="29">
        <f>'16 Cash Flow Model'!F$32</f>
        <v/>
      </c>
      <c r="G35" s="29">
        <f>'16 Cash Flow Model'!G$32</f>
        <v/>
      </c>
      <c r="H35" s="29">
        <f>'16 Cash Flow Model'!H$32</f>
        <v/>
      </c>
      <c r="I35" s="29">
        <f>'16 Cash Flow Model'!I$32</f>
        <v/>
      </c>
      <c r="J35" s="29">
        <f>'16 Cash Flow Model'!J$32</f>
        <v/>
      </c>
      <c r="K35" s="29">
        <f>'16 Cash Flow Model'!K$32</f>
        <v/>
      </c>
      <c r="L35" s="16">
        <f>IFERROR(IF(AND(ISNUMBER(D35),ISNUMBER(K35),D35&gt;0),(K35/D35)^(1/7)-1,""),"")</f>
        <v/>
      </c>
      <c r="M35" s="3" t="inlineStr">
        <is>
          <t>16</t>
        </is>
      </c>
    </row>
    <row r="36">
      <c r="B36" s="30" t="inlineStr">
        <is>
          <t>Every figure above is a live link. Change the selector and this panel, and every other sheet, recomputes.</t>
        </is>
      </c>
    </row>
  </sheetData>
  <dataValidations count="1">
    <dataValidation sqref="D14" showDropDown="0" showInputMessage="0" showErrorMessage="0" allowBlank="0" errorTitle="Invalid scenario" error="Choose one of: Base Case, Bull Case, Bear Case, Stress Case" type="list">
      <formula1>"Base Case,Bull Case,Bear Case,Stress Case"</formula1>
    </dataValidation>
  </dataValidations>
  <printOptions horizontalCentered="1"/>
  <pageMargins left="0.75" right="0.75" top="1" bottom="1" header="0.5" footer="0.5"/>
  <pageSetup orientation="landscape" fitToHeight="0" fitToWidth="1"/>
</worksheet>
</file>

<file path=xl/worksheets/sheet6.xml><?xml version="1.0" encoding="utf-8"?>
<worksheet xmlns="http://schemas.openxmlformats.org/spreadsheetml/2006/main">
  <sheetPr>
    <tabColor rgb="001F3864"/>
    <outlinePr summaryBelow="1" summaryRight="1"/>
    <pageSetUpPr fitToPage="1"/>
  </sheetPr>
  <dimension ref="A1:O175"/>
  <sheetViews>
    <sheetView showGridLines="0" workbookViewId="0">
      <selection activeCell="A1" sqref="A1"/>
    </sheetView>
  </sheetViews>
  <sheetFormatPr baseColWidth="8" defaultRowHeight="15"/>
  <cols>
    <col width="7" customWidth="1" min="1" max="1"/>
    <col width="52" customWidth="1" min="2" max="2"/>
    <col width="1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110" customWidth="1" min="15" max="15"/>
  </cols>
  <sheetData>
    <row r="1" ht="19" customHeight="1">
      <c r="B1" s="1" t="inlineStr">
        <is>
          <t>02  Model Assumptions</t>
        </is>
      </c>
    </row>
    <row r="2">
      <c r="B2" s="4" t="inlineStr">
        <is>
          <t>Industry Financial Model  |  Indian Steel Industry  |  Horizon FY2027E-FY2033E  |  Base year FY2026A  |  Built 03-Aug-2026</t>
        </is>
      </c>
    </row>
    <row r="3">
      <c r="B3" s="3" t="inlineStr"/>
    </row>
    <row r="4">
      <c r="B4" s="4" t="inlineStr">
        <is>
          <t>OBJECTIVE</t>
        </is>
      </c>
    </row>
    <row r="5">
      <c r="B5" s="3" t="inlineStr">
        <is>
          <t>Every driver in the model, on all four scenarios, with the full evidence base. Section B resolves the active scenario and is the ONLY block the rest of the workbook reads.</t>
        </is>
      </c>
    </row>
    <row r="6">
      <c r="B6" s="4" t="inlineStr">
        <is>
          <t>METHODOLOGY</t>
        </is>
      </c>
    </row>
    <row r="7">
      <c r="B7" s="3" t="inlineStr">
        <is>
          <t>Section A holds the raw scenario matrix: four rows per driver, one per scenario, in a fixed order. Section B holds one row per driver whose forecast cells are =INDEX(&lt;the four scenario cells in this column&gt;, ScenID). Downstream sheets reference Section B only. Section C is the assumption register carrying the mandated thirteen fields. Section D shows the WACC build-up cell by cell rather than as a single number, so a reviewer can substitute house assumptions in one place.</t>
        </is>
      </c>
    </row>
    <row r="8">
      <c r="B8" s="4" t="inlineStr">
        <is>
          <t>UNITS</t>
        </is>
      </c>
    </row>
    <row r="9">
      <c r="B9" s="3" t="inlineStr">
        <is>
          <t>As stated per row. Percentages are stored as decimals.</t>
        </is>
      </c>
    </row>
    <row r="10">
      <c r="B10" s="4" t="inlineStr">
        <is>
          <t>DEPENDENCIES</t>
        </is>
      </c>
    </row>
    <row r="11">
      <c r="B11" s="3" t="inlineStr">
        <is>
          <t>Reads ScenID from 01 Control Panel. Read by every sheet from 03 to 24.</t>
        </is>
      </c>
    </row>
    <row r="12">
      <c r="B12" s="3" t="inlineStr"/>
    </row>
    <row r="13">
      <c r="B13" s="5" t="inlineStr">
        <is>
          <t>SECTION A - SCENARIO DRIVER MATRIX (raw input; not read downstream)</t>
        </is>
      </c>
    </row>
    <row r="14" ht="30" customHeight="1">
      <c r="A14" s="8" t="inlineStr">
        <is>
          <t>ID</t>
        </is>
      </c>
      <c r="B14" s="8" t="inlineStr">
        <is>
          <t>Driver</t>
        </is>
      </c>
      <c r="C14" s="7" t="inlineStr">
        <is>
          <t>Unit</t>
        </is>
      </c>
      <c r="D14" s="8" t="inlineStr">
        <is>
          <t>Scenario</t>
        </is>
      </c>
      <c r="E14" s="7" t="inlineStr">
        <is>
          <t>FY2027E</t>
        </is>
      </c>
      <c r="F14" s="7" t="inlineStr">
        <is>
          <t>FY2028E</t>
        </is>
      </c>
      <c r="G14" s="7" t="inlineStr">
        <is>
          <t>FY2029E</t>
        </is>
      </c>
      <c r="H14" s="7" t="inlineStr">
        <is>
          <t>FY2030E</t>
        </is>
      </c>
      <c r="I14" s="7" t="inlineStr">
        <is>
          <t>FY2031E</t>
        </is>
      </c>
      <c r="J14" s="7" t="inlineStr">
        <is>
          <t>FY2032E</t>
        </is>
      </c>
      <c r="K14" s="7" t="inlineStr">
        <is>
          <t>FY2033E</t>
        </is>
      </c>
      <c r="L14" s="7" t="inlineStr"/>
      <c r="M14" s="8" t="inlineStr">
        <is>
          <t>Source</t>
        </is>
      </c>
      <c r="N14" s="7" t="inlineStr">
        <is>
          <t>Conf.</t>
        </is>
      </c>
      <c r="O14" s="8" t="inlineStr">
        <is>
          <t>Evidence and reasoning</t>
        </is>
      </c>
    </row>
    <row r="15">
      <c r="A15" s="13" t="inlineStr">
        <is>
          <t>D01</t>
        </is>
      </c>
      <c r="B15" s="31" t="inlineStr">
        <is>
          <t>India real GDP growth</t>
        </is>
      </c>
      <c r="C15" s="11" t="inlineStr">
        <is>
          <t>%</t>
        </is>
      </c>
      <c r="D15" s="32" t="inlineStr">
        <is>
          <t>Base Case</t>
        </is>
      </c>
      <c r="E15" s="16" t="n">
        <v>0.066</v>
      </c>
      <c r="F15" s="16" t="n">
        <v>0.068</v>
      </c>
      <c r="G15" s="16" t="n">
        <v>0.068</v>
      </c>
      <c r="H15" s="16" t="n">
        <v>0.067</v>
      </c>
      <c r="I15" s="16" t="n">
        <v>0.067</v>
      </c>
      <c r="J15" s="16" t="n">
        <v>0.065</v>
      </c>
      <c r="K15" s="16" t="n">
        <v>0.065</v>
      </c>
      <c r="M15" s="3" t="inlineStr">
        <is>
          <t>RBI-Jun26</t>
        </is>
      </c>
      <c r="N15" s="13" t="inlineStr">
        <is>
          <t>High</t>
        </is>
      </c>
      <c r="O15" s="3" t="inlineStr">
        <is>
          <t>RBI Monetary Policy Committee, 05-Jun-2026, projects FY2027 real GDP growth at 6.6%, revised down from 6.9% in Apr-2026 on West Asia conflict, energy prices and monsoon risk; FY2026 estimated at 7.6%; Q4FY2026 actual 7.7%. Base case adopts the RBI FY2027 figure unchanged, then converges to a 6.5% steady state. Bull adds ~80bps on the RBI's own stated sensitivity that growth 'could top 7% if oil prices fall further'. Stress applies a 220bps FY2027 shock, comparable in magnitude to a global recession year.</t>
        </is>
      </c>
    </row>
    <row r="16">
      <c r="A16" s="13" t="inlineStr"/>
      <c r="B16" s="10" t="inlineStr"/>
      <c r="C16" s="11" t="inlineStr"/>
      <c r="D16" s="32" t="inlineStr">
        <is>
          <t>Bull Case</t>
        </is>
      </c>
      <c r="E16" s="16" t="n">
        <v>0.074</v>
      </c>
      <c r="F16" s="16" t="n">
        <v>0.076</v>
      </c>
      <c r="G16" s="16" t="n">
        <v>0.075</v>
      </c>
      <c r="H16" s="16" t="n">
        <v>0.074</v>
      </c>
      <c r="I16" s="16" t="n">
        <v>0.073</v>
      </c>
      <c r="J16" s="16" t="n">
        <v>0.07199999999999999</v>
      </c>
      <c r="K16" s="16" t="n">
        <v>0.07000000000000001</v>
      </c>
    </row>
    <row r="17">
      <c r="A17" s="13" t="inlineStr"/>
      <c r="B17" s="10" t="inlineStr"/>
      <c r="C17" s="11" t="inlineStr"/>
      <c r="D17" s="32" t="inlineStr">
        <is>
          <t>Bear Case</t>
        </is>
      </c>
      <c r="E17" s="16" t="n">
        <v>0.056</v>
      </c>
      <c r="F17" s="16" t="n">
        <v>0.058</v>
      </c>
      <c r="G17" s="16" t="n">
        <v>0.06</v>
      </c>
      <c r="H17" s="16" t="n">
        <v>0.061</v>
      </c>
      <c r="I17" s="16" t="n">
        <v>0.062</v>
      </c>
      <c r="J17" s="16" t="n">
        <v>0.062</v>
      </c>
      <c r="K17" s="16" t="n">
        <v>0.062</v>
      </c>
    </row>
    <row r="18">
      <c r="A18" s="13" t="inlineStr"/>
      <c r="B18" s="10" t="inlineStr"/>
      <c r="C18" s="11" t="inlineStr"/>
      <c r="D18" s="32" t="inlineStr">
        <is>
          <t>Stress Case</t>
        </is>
      </c>
      <c r="E18" s="16" t="n">
        <v>0.044</v>
      </c>
      <c r="F18" s="16" t="n">
        <v>0.048</v>
      </c>
      <c r="G18" s="16" t="n">
        <v>0.055</v>
      </c>
      <c r="H18" s="16" t="n">
        <v>0.058</v>
      </c>
      <c r="I18" s="16" t="n">
        <v>0.06</v>
      </c>
      <c r="J18" s="16" t="n">
        <v>0.06</v>
      </c>
      <c r="K18" s="16" t="n">
        <v>0.06</v>
      </c>
    </row>
    <row r="19">
      <c r="A19" s="13" t="inlineStr">
        <is>
          <t>D02</t>
        </is>
      </c>
      <c r="B19" s="31" t="inlineStr">
        <is>
          <t>Steel demand elasticity to real GDP</t>
        </is>
      </c>
      <c r="C19" s="11" t="inlineStr">
        <is>
          <t>x</t>
        </is>
      </c>
      <c r="D19" s="32" t="inlineStr">
        <is>
          <t>Base Case</t>
        </is>
      </c>
      <c r="E19" s="33" t="n">
        <v>1.15</v>
      </c>
      <c r="F19" s="33" t="n">
        <v>1.15</v>
      </c>
      <c r="G19" s="33" t="n">
        <v>1.12</v>
      </c>
      <c r="H19" s="33" t="n">
        <v>1.1</v>
      </c>
      <c r="I19" s="33" t="n">
        <v>1.08</v>
      </c>
      <c r="J19" s="33" t="n">
        <v>1.06</v>
      </c>
      <c r="K19" s="33" t="n">
        <v>1.05</v>
      </c>
      <c r="M19" s="3" t="inlineStr">
        <is>
          <t>Derived-DB</t>
        </is>
      </c>
      <c r="N19" s="13" t="inlineStr">
        <is>
          <t>High</t>
        </is>
      </c>
      <c r="O19" s="3" t="inlineStr">
        <is>
          <t>Realised elasticity FY2015-FY2026 is 1.06x to 1.13x: apparent consumption compounded at 7.13% (76.99 Mt to 164.19 Mt over 11 years) against real GDP CAGR of roughly 6.3-6.7%, midpoint 1.10x. Near-term base is set slightly above at 1.15x because worldsteel's Apr-2026 Short Range Outlook forecasts Indian demand +7.4% in CY2026 and +9.2% in CY2027 against RBI GDP of 6.6%, implying 1.1x-1.4x. Elasticity tapers toward 1.05x by FY2033 on the standard maturing-intensity argument as per capita consumption rises from 115.7 kg. Stress assumes elasticity falls below 1.0x, as it did in FY2021 (-5.27% consumption on a positive-growth base effect).</t>
        </is>
      </c>
    </row>
    <row r="20">
      <c r="A20" s="13" t="inlineStr"/>
      <c r="B20" s="10" t="inlineStr"/>
      <c r="C20" s="11" t="inlineStr"/>
      <c r="D20" s="32" t="inlineStr">
        <is>
          <t>Bull Case</t>
        </is>
      </c>
      <c r="E20" s="33" t="n">
        <v>1.3</v>
      </c>
      <c r="F20" s="33" t="n">
        <v>1.28</v>
      </c>
      <c r="G20" s="33" t="n">
        <v>1.25</v>
      </c>
      <c r="H20" s="33" t="n">
        <v>1.22</v>
      </c>
      <c r="I20" s="33" t="n">
        <v>1.2</v>
      </c>
      <c r="J20" s="33" t="n">
        <v>1.18</v>
      </c>
      <c r="K20" s="33" t="n">
        <v>1.15</v>
      </c>
    </row>
    <row r="21">
      <c r="A21" s="13" t="inlineStr"/>
      <c r="B21" s="10" t="inlineStr"/>
      <c r="C21" s="11" t="inlineStr"/>
      <c r="D21" s="32" t="inlineStr">
        <is>
          <t>Bear Case</t>
        </is>
      </c>
      <c r="E21" s="33" t="n">
        <v>1</v>
      </c>
      <c r="F21" s="33" t="n">
        <v>1</v>
      </c>
      <c r="G21" s="33" t="n">
        <v>0.98</v>
      </c>
      <c r="H21" s="33" t="n">
        <v>0.97</v>
      </c>
      <c r="I21" s="33" t="n">
        <v>0.96</v>
      </c>
      <c r="J21" s="33" t="n">
        <v>0.95</v>
      </c>
      <c r="K21" s="33" t="n">
        <v>0.95</v>
      </c>
    </row>
    <row r="22">
      <c r="A22" s="13" t="inlineStr"/>
      <c r="B22" s="10" t="inlineStr"/>
      <c r="C22" s="11" t="inlineStr"/>
      <c r="D22" s="32" t="inlineStr">
        <is>
          <t>Stress Case</t>
        </is>
      </c>
      <c r="E22" s="33" t="n">
        <v>0.75</v>
      </c>
      <c r="F22" s="33" t="n">
        <v>0.85</v>
      </c>
      <c r="G22" s="33" t="n">
        <v>0.9</v>
      </c>
      <c r="H22" s="33" t="n">
        <v>0.92</v>
      </c>
      <c r="I22" s="33" t="n">
        <v>0.93</v>
      </c>
      <c r="J22" s="33" t="n">
        <v>0.9399999999999999</v>
      </c>
      <c r="K22" s="33" t="n">
        <v>0.95</v>
      </c>
    </row>
    <row r="23">
      <c r="A23" s="13" t="inlineStr">
        <is>
          <t>D03</t>
        </is>
      </c>
      <c r="B23" s="31" t="inlineStr">
        <is>
          <t>USD/INR average</t>
        </is>
      </c>
      <c r="C23" s="11" t="inlineStr">
        <is>
          <t>Rs/US$</t>
        </is>
      </c>
      <c r="D23" s="32" t="inlineStr">
        <is>
          <t>Base Case</t>
        </is>
      </c>
      <c r="E23" s="34" t="n">
        <v>94.5</v>
      </c>
      <c r="F23" s="34" t="n">
        <v>95.5</v>
      </c>
      <c r="G23" s="34" t="n">
        <v>96.5</v>
      </c>
      <c r="H23" s="34" t="n">
        <v>97.5</v>
      </c>
      <c r="I23" s="34" t="n">
        <v>98.5</v>
      </c>
      <c r="J23" s="34" t="n">
        <v>99.5</v>
      </c>
      <c r="K23" s="34" t="n">
        <v>100.5</v>
      </c>
      <c r="M23" s="3" t="inlineStr">
        <is>
          <t>IDBI-22Jun26</t>
        </is>
      </c>
      <c r="N23" s="13" t="inlineStr">
        <is>
          <t>High</t>
        </is>
      </c>
      <c r="O23" s="3" t="inlineStr">
        <is>
          <t>Spot USD/INR was 94 on 22-Jun-2026 with a 52-week range of 85 to 98 (IDBI Capital commodity tracker). Base assumes ~1.0% annual depreciation, consistent with the inflation differential implied by RBI's 5.1% FY2027 CPI projection against developed-market targets of ~2%. Stress takes INR beyond the 52-week low to 113, a ~20% depreciation from spot. MATERIAL BOTH WAYS: a weaker INR raises rupee raw-material cost (iron ore, coking coal and nickel are dollar-priced) but also raises the rupee landed cost of imports, supporting domestic realisations.</t>
        </is>
      </c>
    </row>
    <row r="24">
      <c r="A24" s="13" t="inlineStr"/>
      <c r="B24" s="10" t="inlineStr"/>
      <c r="C24" s="11" t="inlineStr"/>
      <c r="D24" s="32" t="inlineStr">
        <is>
          <t>Bull Case</t>
        </is>
      </c>
      <c r="E24" s="34" t="n">
        <v>93</v>
      </c>
      <c r="F24" s="34" t="n">
        <v>93.5</v>
      </c>
      <c r="G24" s="34" t="n">
        <v>94</v>
      </c>
      <c r="H24" s="34" t="n">
        <v>94.5</v>
      </c>
      <c r="I24" s="34" t="n">
        <v>95</v>
      </c>
      <c r="J24" s="34" t="n">
        <v>95.5</v>
      </c>
      <c r="K24" s="34" t="n">
        <v>96</v>
      </c>
    </row>
    <row r="25">
      <c r="A25" s="13" t="inlineStr"/>
      <c r="B25" s="10" t="inlineStr"/>
      <c r="C25" s="11" t="inlineStr"/>
      <c r="D25" s="32" t="inlineStr">
        <is>
          <t>Bear Case</t>
        </is>
      </c>
      <c r="E25" s="34" t="n">
        <v>96.5</v>
      </c>
      <c r="F25" s="34" t="n">
        <v>98.5</v>
      </c>
      <c r="G25" s="34" t="n">
        <v>100</v>
      </c>
      <c r="H25" s="34" t="n">
        <v>101.5</v>
      </c>
      <c r="I25" s="34" t="n">
        <v>103</v>
      </c>
      <c r="J25" s="34" t="n">
        <v>104.5</v>
      </c>
      <c r="K25" s="34" t="n">
        <v>106</v>
      </c>
    </row>
    <row r="26">
      <c r="A26" s="13" t="inlineStr"/>
      <c r="B26" s="10" t="inlineStr"/>
      <c r="C26" s="11" t="inlineStr"/>
      <c r="D26" s="32" t="inlineStr">
        <is>
          <t>Stress Case</t>
        </is>
      </c>
      <c r="E26" s="34" t="n">
        <v>101</v>
      </c>
      <c r="F26" s="34" t="n">
        <v>105</v>
      </c>
      <c r="G26" s="34" t="n">
        <v>107</v>
      </c>
      <c r="H26" s="34" t="n">
        <v>108.5</v>
      </c>
      <c r="I26" s="34" t="n">
        <v>110</v>
      </c>
      <c r="J26" s="34" t="n">
        <v>111.5</v>
      </c>
      <c r="K26" s="34" t="n">
        <v>113</v>
      </c>
    </row>
    <row r="27">
      <c r="A27" s="13" t="inlineStr">
        <is>
          <t>D04</t>
        </is>
      </c>
      <c r="B27" s="31" t="inlineStr">
        <is>
          <t>CPI inflation</t>
        </is>
      </c>
      <c r="C27" s="11" t="inlineStr">
        <is>
          <t>%</t>
        </is>
      </c>
      <c r="D27" s="32" t="inlineStr">
        <is>
          <t>Base Case</t>
        </is>
      </c>
      <c r="E27" s="16" t="n">
        <v>0.051</v>
      </c>
      <c r="F27" s="16" t="n">
        <v>0.046</v>
      </c>
      <c r="G27" s="16" t="n">
        <v>0.045</v>
      </c>
      <c r="H27" s="16" t="n">
        <v>0.045</v>
      </c>
      <c r="I27" s="16" t="n">
        <v>0.045</v>
      </c>
      <c r="J27" s="16" t="n">
        <v>0.045</v>
      </c>
      <c r="K27" s="16" t="n">
        <v>0.045</v>
      </c>
      <c r="M27" s="3" t="inlineStr">
        <is>
          <t>RBI-Jun26</t>
        </is>
      </c>
      <c r="N27" s="13" t="inlineStr">
        <is>
          <t>High</t>
        </is>
      </c>
      <c r="O27" s="3" t="inlineStr">
        <is>
          <t>RBI raised its FY2027 CPI projection by 50bps to 5.1% at the 05-Jun-2026 MPC, citing crude oil and supply disruption. Base converges to the 4.5% mid-point of the RBI's 4%+/-2% target band. Drives conversion cost inflation (D12) and the discount rate.</t>
        </is>
      </c>
    </row>
    <row r="28">
      <c r="A28" s="13" t="inlineStr"/>
      <c r="B28" s="10" t="inlineStr"/>
      <c r="C28" s="11" t="inlineStr"/>
      <c r="D28" s="32" t="inlineStr">
        <is>
          <t>Bull Case</t>
        </is>
      </c>
      <c r="E28" s="16" t="n">
        <v>0.045</v>
      </c>
      <c r="F28" s="16" t="n">
        <v>0.042</v>
      </c>
      <c r="G28" s="16" t="n">
        <v>0.042</v>
      </c>
      <c r="H28" s="16" t="n">
        <v>0.042</v>
      </c>
      <c r="I28" s="16" t="n">
        <v>0.042</v>
      </c>
      <c r="J28" s="16" t="n">
        <v>0.042</v>
      </c>
      <c r="K28" s="16" t="n">
        <v>0.042</v>
      </c>
    </row>
    <row r="29">
      <c r="A29" s="13" t="inlineStr"/>
      <c r="B29" s="10" t="inlineStr"/>
      <c r="C29" s="11" t="inlineStr"/>
      <c r="D29" s="32" t="inlineStr">
        <is>
          <t>Bear Case</t>
        </is>
      </c>
      <c r="E29" s="16" t="n">
        <v>0.057</v>
      </c>
      <c r="F29" s="16" t="n">
        <v>0.052</v>
      </c>
      <c r="G29" s="16" t="n">
        <v>0.05</v>
      </c>
      <c r="H29" s="16" t="n">
        <v>0.048</v>
      </c>
      <c r="I29" s="16" t="n">
        <v>0.048</v>
      </c>
      <c r="J29" s="16" t="n">
        <v>0.048</v>
      </c>
      <c r="K29" s="16" t="n">
        <v>0.048</v>
      </c>
    </row>
    <row r="30">
      <c r="A30" s="13" t="inlineStr"/>
      <c r="B30" s="10" t="inlineStr"/>
      <c r="C30" s="11" t="inlineStr"/>
      <c r="D30" s="32" t="inlineStr">
        <is>
          <t>Stress Case</t>
        </is>
      </c>
      <c r="E30" s="16" t="n">
        <v>0.068</v>
      </c>
      <c r="F30" s="16" t="n">
        <v>0.062</v>
      </c>
      <c r="G30" s="16" t="n">
        <v>0.055</v>
      </c>
      <c r="H30" s="16" t="n">
        <v>0.052</v>
      </c>
      <c r="I30" s="16" t="n">
        <v>0.05</v>
      </c>
      <c r="J30" s="16" t="n">
        <v>0.05</v>
      </c>
      <c r="K30" s="16" t="n">
        <v>0.05</v>
      </c>
    </row>
    <row r="31">
      <c r="A31" s="13" t="inlineStr">
        <is>
          <t>D05</t>
        </is>
      </c>
      <c r="B31" s="31" t="inlineStr">
        <is>
          <t>Announced pipeline delivery factor</t>
        </is>
      </c>
      <c r="C31" s="11" t="inlineStr">
        <is>
          <t>%</t>
        </is>
      </c>
      <c r="D31" s="32" t="inlineStr">
        <is>
          <t>Base Case</t>
        </is>
      </c>
      <c r="E31" s="16" t="n">
        <v>0.85</v>
      </c>
      <c r="F31" s="16" t="n">
        <v>0.85</v>
      </c>
      <c r="G31" s="16" t="n">
        <v>0.85</v>
      </c>
      <c r="H31" s="16" t="n">
        <v>0.85</v>
      </c>
      <c r="I31" s="16" t="n">
        <v>0.85</v>
      </c>
      <c r="J31" s="16" t="n">
        <v>0.85</v>
      </c>
      <c r="K31" s="16" t="n">
        <v>0.85</v>
      </c>
      <c r="M31" s="3" t="inlineStr">
        <is>
          <t>Derived-DB</t>
        </is>
      </c>
      <c r="N31" s="13" t="inlineStr">
        <is>
          <t>Medium</t>
        </is>
      </c>
      <c r="O31" s="3" t="inlineStr">
        <is>
          <t>Proportion of dated announced capacity additions assumed to commission on schedule. Calibrated against realised delivery: India added 20.82 Mtpa in FY2025 and 20.07 Mtpa in FY2026 (Master DB), against a National Steel Policy path to 300 Mtpa by FY2031 that requires roughly 16 Mtpa a year - i.e. recent delivery has RUN AHEAD of the required rate, which supports a base factor materially above 50%. 85% rather than 100% reflects the routine slippage evident in the tracker (JSW Vijayanagar BF-3 was still under testing at FY2026 year-end; AM/NS Hazira 9 to 15 Mtpa has been in progress for several years). Stress at 55% reflects a capital-constrained environment.</t>
        </is>
      </c>
    </row>
    <row r="32">
      <c r="A32" s="13" t="inlineStr"/>
      <c r="B32" s="10" t="inlineStr"/>
      <c r="C32" s="11" t="inlineStr"/>
      <c r="D32" s="32" t="inlineStr">
        <is>
          <t>Bull Case</t>
        </is>
      </c>
      <c r="E32" s="16" t="n">
        <v>0.95</v>
      </c>
      <c r="F32" s="16" t="n">
        <v>0.95</v>
      </c>
      <c r="G32" s="16" t="n">
        <v>0.95</v>
      </c>
      <c r="H32" s="16" t="n">
        <v>0.95</v>
      </c>
      <c r="I32" s="16" t="n">
        <v>0.95</v>
      </c>
      <c r="J32" s="16" t="n">
        <v>0.95</v>
      </c>
      <c r="K32" s="16" t="n">
        <v>0.95</v>
      </c>
    </row>
    <row r="33">
      <c r="A33" s="13" t="inlineStr"/>
      <c r="B33" s="10" t="inlineStr"/>
      <c r="C33" s="11" t="inlineStr"/>
      <c r="D33" s="32" t="inlineStr">
        <is>
          <t>Bear Case</t>
        </is>
      </c>
      <c r="E33" s="16" t="n">
        <v>0.7</v>
      </c>
      <c r="F33" s="16" t="n">
        <v>0.7</v>
      </c>
      <c r="G33" s="16" t="n">
        <v>0.7</v>
      </c>
      <c r="H33" s="16" t="n">
        <v>0.7</v>
      </c>
      <c r="I33" s="16" t="n">
        <v>0.7</v>
      </c>
      <c r="J33" s="16" t="n">
        <v>0.7</v>
      </c>
      <c r="K33" s="16" t="n">
        <v>0.7</v>
      </c>
    </row>
    <row r="34">
      <c r="A34" s="13" t="inlineStr"/>
      <c r="B34" s="10" t="inlineStr"/>
      <c r="C34" s="11" t="inlineStr"/>
      <c r="D34" s="32" t="inlineStr">
        <is>
          <t>Stress Case</t>
        </is>
      </c>
      <c r="E34" s="16" t="n">
        <v>0.55</v>
      </c>
      <c r="F34" s="16" t="n">
        <v>0.55</v>
      </c>
      <c r="G34" s="16" t="n">
        <v>0.55</v>
      </c>
      <c r="H34" s="16" t="n">
        <v>0.55</v>
      </c>
      <c r="I34" s="16" t="n">
        <v>0.55</v>
      </c>
      <c r="J34" s="16" t="n">
        <v>0.55</v>
      </c>
      <c r="K34" s="16" t="n">
        <v>0.55</v>
      </c>
    </row>
    <row r="35">
      <c r="A35" s="13" t="inlineStr">
        <is>
          <t>D06</t>
        </is>
      </c>
      <c r="B35" s="31" t="inlineStr">
        <is>
          <t>Crude-to-finished steel ratio</t>
        </is>
      </c>
      <c r="C35" s="11" t="inlineStr">
        <is>
          <t>x</t>
        </is>
      </c>
      <c r="D35" s="32" t="inlineStr">
        <is>
          <t>Base Case</t>
        </is>
      </c>
      <c r="E35" s="33" t="n">
        <v>1.0465</v>
      </c>
      <c r="F35" s="33" t="n">
        <v>1.0465</v>
      </c>
      <c r="G35" s="33" t="n">
        <v>1.0465</v>
      </c>
      <c r="H35" s="33" t="n">
        <v>1.0465</v>
      </c>
      <c r="I35" s="33" t="n">
        <v>1.0465</v>
      </c>
      <c r="J35" s="33" t="n">
        <v>1.0465</v>
      </c>
      <c r="K35" s="33" t="n">
        <v>1.0465</v>
      </c>
      <c r="M35" s="3" t="inlineStr">
        <is>
          <t>Derived-DB</t>
        </is>
      </c>
      <c r="N35" s="13" t="inlineStr">
        <is>
          <t>High</t>
        </is>
      </c>
      <c r="O35" s="3" t="inlineStr">
        <is>
          <t>FY2026 actual 168.42 / 160.94 = 1.0465 on the April-2026 JPC vintage used throughout the model (Master DB). Held flat in the base case: yield improvement is slow and offsetting mix effects are material. Bull assumes modest yield gains from continuous casting and newer assets; bear and stress assume yield deterioration from higher utilisation of older assets.</t>
        </is>
      </c>
    </row>
    <row r="36">
      <c r="A36" s="13" t="inlineStr"/>
      <c r="B36" s="10" t="inlineStr"/>
      <c r="C36" s="11" t="inlineStr"/>
      <c r="D36" s="32" t="inlineStr">
        <is>
          <t>Bull Case</t>
        </is>
      </c>
      <c r="E36" s="33" t="n">
        <v>1.043</v>
      </c>
      <c r="F36" s="33" t="n">
        <v>1.043</v>
      </c>
      <c r="G36" s="33" t="n">
        <v>1.043</v>
      </c>
      <c r="H36" s="33" t="n">
        <v>1.043</v>
      </c>
      <c r="I36" s="33" t="n">
        <v>1.043</v>
      </c>
      <c r="J36" s="33" t="n">
        <v>1.043</v>
      </c>
      <c r="K36" s="33" t="n">
        <v>1.043</v>
      </c>
    </row>
    <row r="37">
      <c r="A37" s="13" t="inlineStr"/>
      <c r="B37" s="10" t="inlineStr"/>
      <c r="C37" s="11" t="inlineStr"/>
      <c r="D37" s="32" t="inlineStr">
        <is>
          <t>Bear Case</t>
        </is>
      </c>
      <c r="E37" s="33" t="n">
        <v>1.05</v>
      </c>
      <c r="F37" s="33" t="n">
        <v>1.05</v>
      </c>
      <c r="G37" s="33" t="n">
        <v>1.05</v>
      </c>
      <c r="H37" s="33" t="n">
        <v>1.05</v>
      </c>
      <c r="I37" s="33" t="n">
        <v>1.05</v>
      </c>
      <c r="J37" s="33" t="n">
        <v>1.05</v>
      </c>
      <c r="K37" s="33" t="n">
        <v>1.05</v>
      </c>
    </row>
    <row r="38">
      <c r="A38" s="13" t="inlineStr"/>
      <c r="B38" s="10" t="inlineStr"/>
      <c r="C38" s="11" t="inlineStr"/>
      <c r="D38" s="32" t="inlineStr">
        <is>
          <t>Stress Case</t>
        </is>
      </c>
      <c r="E38" s="33" t="n">
        <v>1.053</v>
      </c>
      <c r="F38" s="33" t="n">
        <v>1.053</v>
      </c>
      <c r="G38" s="33" t="n">
        <v>1.053</v>
      </c>
      <c r="H38" s="33" t="n">
        <v>1.053</v>
      </c>
      <c r="I38" s="33" t="n">
        <v>1.053</v>
      </c>
      <c r="J38" s="33" t="n">
        <v>1.053</v>
      </c>
      <c r="K38" s="33" t="n">
        <v>1.053</v>
      </c>
    </row>
    <row r="39">
      <c r="A39" s="13" t="inlineStr">
        <is>
          <t>D07</t>
        </is>
      </c>
      <c r="B39" s="31" t="inlineStr">
        <is>
          <t>Net finished steel exports</t>
        </is>
      </c>
      <c r="C39" s="11" t="inlineStr">
        <is>
          <t>Mt</t>
        </is>
      </c>
      <c r="D39" s="32" t="inlineStr">
        <is>
          <t>Base Case</t>
        </is>
      </c>
      <c r="E39" s="34" t="n">
        <v>0.5</v>
      </c>
      <c r="F39" s="34" t="n">
        <v>1</v>
      </c>
      <c r="G39" s="34" t="n">
        <v>1.5</v>
      </c>
      <c r="H39" s="34" t="n">
        <v>2</v>
      </c>
      <c r="I39" s="34" t="n">
        <v>2.5</v>
      </c>
      <c r="J39" s="34" t="n">
        <v>3</v>
      </c>
      <c r="K39" s="34" t="n">
        <v>3.5</v>
      </c>
      <c r="M39" s="3" t="inlineStr">
        <is>
          <t>Derived-DB</t>
        </is>
      </c>
      <c r="N39" s="13" t="inlineStr">
        <is>
          <t>Medium</t>
        </is>
      </c>
      <c r="O39" s="3" t="inlineStr">
        <is>
          <t>FY2026 actual net exports +0.078 Mt, having swung 4.77 Mt from a 4.693 Mt net import position in FY2025 (Master DB). Base assumes India becomes a progressively larger net exporter as capacity growth outpaces demand growth. Bear case is HIGHER net exports, because weak domestic demand forces surplus tonnes offshore at lower realisations. Stress reverses the sign: a demand collapse in India combined with the safeguard duty lapsing in Apr-2028 makes India a net importer again, which is the historically observed FY2025 configuration.</t>
        </is>
      </c>
    </row>
    <row r="40">
      <c r="A40" s="13" t="inlineStr"/>
      <c r="B40" s="10" t="inlineStr"/>
      <c r="C40" s="11" t="inlineStr"/>
      <c r="D40" s="32" t="inlineStr">
        <is>
          <t>Bull Case</t>
        </is>
      </c>
      <c r="E40" s="34" t="n">
        <v>0</v>
      </c>
      <c r="F40" s="34" t="n">
        <v>0</v>
      </c>
      <c r="G40" s="34" t="n">
        <v>0.5</v>
      </c>
      <c r="H40" s="34" t="n">
        <v>0.5</v>
      </c>
      <c r="I40" s="34" t="n">
        <v>1</v>
      </c>
      <c r="J40" s="34" t="n">
        <v>1</v>
      </c>
      <c r="K40" s="34" t="n">
        <v>1.5</v>
      </c>
    </row>
    <row r="41">
      <c r="A41" s="13" t="inlineStr"/>
      <c r="B41" s="10" t="inlineStr"/>
      <c r="C41" s="11" t="inlineStr"/>
      <c r="D41" s="32" t="inlineStr">
        <is>
          <t>Bear Case</t>
        </is>
      </c>
      <c r="E41" s="34" t="n">
        <v>1.5</v>
      </c>
      <c r="F41" s="34" t="n">
        <v>2.5</v>
      </c>
      <c r="G41" s="34" t="n">
        <v>3.5</v>
      </c>
      <c r="H41" s="34" t="n">
        <v>4.5</v>
      </c>
      <c r="I41" s="34" t="n">
        <v>5.5</v>
      </c>
      <c r="J41" s="34" t="n">
        <v>6</v>
      </c>
      <c r="K41" s="34" t="n">
        <v>6.5</v>
      </c>
    </row>
    <row r="42">
      <c r="A42" s="13" t="inlineStr"/>
      <c r="B42" s="10" t="inlineStr"/>
      <c r="C42" s="11" t="inlineStr"/>
      <c r="D42" s="32" t="inlineStr">
        <is>
          <t>Stress Case</t>
        </is>
      </c>
      <c r="E42" s="34" t="n">
        <v>-1</v>
      </c>
      <c r="F42" s="34" t="n">
        <v>-2.5</v>
      </c>
      <c r="G42" s="34" t="n">
        <v>-3.5</v>
      </c>
      <c r="H42" s="34" t="n">
        <v>-4</v>
      </c>
      <c r="I42" s="34" t="n">
        <v>-4.5</v>
      </c>
      <c r="J42" s="34" t="n">
        <v>-5</v>
      </c>
      <c r="K42" s="34" t="n">
        <v>-5</v>
      </c>
    </row>
    <row r="43">
      <c r="A43" s="13" t="inlineStr">
        <is>
          <t>D08</t>
        </is>
      </c>
      <c r="B43" s="31" t="inlineStr">
        <is>
          <t>Variation in stock</t>
        </is>
      </c>
      <c r="C43" s="11" t="inlineStr">
        <is>
          <t>Mt</t>
        </is>
      </c>
      <c r="D43" s="32" t="inlineStr">
        <is>
          <t>Base Case</t>
        </is>
      </c>
      <c r="E43" s="34" t="n">
        <v>-1</v>
      </c>
      <c r="F43" s="34" t="n">
        <v>0</v>
      </c>
      <c r="G43" s="34" t="n">
        <v>0.5</v>
      </c>
      <c r="H43" s="34" t="n">
        <v>0.5</v>
      </c>
      <c r="I43" s="34" t="n">
        <v>0.5</v>
      </c>
      <c r="J43" s="34" t="n">
        <v>0.5</v>
      </c>
      <c r="K43" s="34" t="n">
        <v>0.5</v>
      </c>
      <c r="M43" s="3" t="inlineStr">
        <is>
          <t>Derived-DB</t>
        </is>
      </c>
      <c r="N43" s="13" t="inlineStr">
        <is>
          <t>Medium</t>
        </is>
      </c>
      <c r="O43" s="3" t="inlineStr">
        <is>
          <t>FY2026 actual -2.88 Mt, i.e. a destock of about 1.8% of consumption which flattered reported consumption growth (Master DB, supply balance line 6). Base normalises toward a small restock. Bear and stress assume inventory build, which is the classic signature of a demand disappointment and is a drag on apparent consumption.</t>
        </is>
      </c>
    </row>
    <row r="44">
      <c r="A44" s="13" t="inlineStr"/>
      <c r="B44" s="10" t="inlineStr"/>
      <c r="C44" s="11" t="inlineStr"/>
      <c r="D44" s="32" t="inlineStr">
        <is>
          <t>Bull Case</t>
        </is>
      </c>
      <c r="E44" s="34" t="n">
        <v>-1.5</v>
      </c>
      <c r="F44" s="34" t="n">
        <v>-0.5</v>
      </c>
      <c r="G44" s="34" t="n">
        <v>0</v>
      </c>
      <c r="H44" s="34" t="n">
        <v>0</v>
      </c>
      <c r="I44" s="34" t="n">
        <v>0.5</v>
      </c>
      <c r="J44" s="34" t="n">
        <v>0.5</v>
      </c>
      <c r="K44" s="34" t="n">
        <v>0.5</v>
      </c>
    </row>
    <row r="45">
      <c r="A45" s="13" t="inlineStr"/>
      <c r="B45" s="10" t="inlineStr"/>
      <c r="C45" s="11" t="inlineStr"/>
      <c r="D45" s="32" t="inlineStr">
        <is>
          <t>Bear Case</t>
        </is>
      </c>
      <c r="E45" s="34" t="n">
        <v>0.5</v>
      </c>
      <c r="F45" s="34" t="n">
        <v>1.5</v>
      </c>
      <c r="G45" s="34" t="n">
        <v>1.5</v>
      </c>
      <c r="H45" s="34" t="n">
        <v>1</v>
      </c>
      <c r="I45" s="34" t="n">
        <v>1</v>
      </c>
      <c r="J45" s="34" t="n">
        <v>1</v>
      </c>
      <c r="K45" s="34" t="n">
        <v>1</v>
      </c>
    </row>
    <row r="46">
      <c r="A46" s="13" t="inlineStr"/>
      <c r="B46" s="10" t="inlineStr"/>
      <c r="C46" s="11" t="inlineStr"/>
      <c r="D46" s="32" t="inlineStr">
        <is>
          <t>Stress Case</t>
        </is>
      </c>
      <c r="E46" s="34" t="n">
        <v>2</v>
      </c>
      <c r="F46" s="34" t="n">
        <v>3</v>
      </c>
      <c r="G46" s="34" t="n">
        <v>2.5</v>
      </c>
      <c r="H46" s="34" t="n">
        <v>2</v>
      </c>
      <c r="I46" s="34" t="n">
        <v>1.5</v>
      </c>
      <c r="J46" s="34" t="n">
        <v>1</v>
      </c>
      <c r="K46" s="34" t="n">
        <v>1</v>
      </c>
    </row>
    <row r="47">
      <c r="A47" s="13" t="inlineStr">
        <is>
          <t>D09</t>
        </is>
      </c>
      <c r="B47" s="31" t="inlineStr">
        <is>
          <t>Blended industry realisation</t>
        </is>
      </c>
      <c r="C47" s="11" t="inlineStr">
        <is>
          <t>Rs/t</t>
        </is>
      </c>
      <c r="D47" s="32" t="inlineStr">
        <is>
          <t>Base Case</t>
        </is>
      </c>
      <c r="E47" s="35" t="n">
        <v>61800</v>
      </c>
      <c r="F47" s="35" t="n">
        <v>61000</v>
      </c>
      <c r="G47" s="35" t="n">
        <v>60500</v>
      </c>
      <c r="H47" s="35" t="n">
        <v>62000</v>
      </c>
      <c r="I47" s="35" t="n">
        <v>64000</v>
      </c>
      <c r="J47" s="35" t="n">
        <v>66000</v>
      </c>
      <c r="K47" s="35" t="n">
        <v>68000</v>
      </c>
      <c r="M47" s="3" t="inlineStr">
        <is>
          <t>Derived-DB</t>
        </is>
      </c>
      <c r="N47" s="13" t="inlineStr">
        <is>
          <t>Medium</t>
        </is>
      </c>
      <c r="O47" s="3" t="inlineStr">
        <is>
          <t>FY2026A anchor of Rs 59,974/t is DERIVED from the Master Database as the volume-weighted revenue per tonne of Tata Steel India, JSW Steel India, SAIL and Jindal Steel - Rs 4,79,191 cr over 79.90 Mt, i.e. 49.4% of India's finished steel production. This is used in preference to a spot HRC quote because the database documents three irreconcilable Mar-2026 HRC assessments (Rs 55,900, Rs 57,700 and Rs 59,500/t - Conflict C07) and because a blended realisation is what actually drives revenue. Base path: FY2027 +3% carrying Q4FY2026 momentum (HRC rose ~14% QoQ to Rs 57,700/t by end-Mar-2026 on the safeguard duty); then a two-year decline as the safeguard duty tapers from 12% to 11.5% (from 21-Apr-2026) to 11% and expires 20-Apr-2028, coinciding with peak capacity commissioning; then recovery to a ~2.0% CAGR over the horizon, below expected inflation, reflecting structural oversupply. Bear and stress are calibrated to the observed 52-week HRC low of Rs 45,700/t (IDBI, Jun-2026) as a floor reference.</t>
        </is>
      </c>
    </row>
    <row r="48">
      <c r="A48" s="13" t="inlineStr"/>
      <c r="B48" s="10" t="inlineStr"/>
      <c r="C48" s="11" t="inlineStr"/>
      <c r="D48" s="32" t="inlineStr">
        <is>
          <t>Bull Case</t>
        </is>
      </c>
      <c r="E48" s="35" t="n">
        <v>62500</v>
      </c>
      <c r="F48" s="35" t="n">
        <v>63500</v>
      </c>
      <c r="G48" s="35" t="n">
        <v>64000</v>
      </c>
      <c r="H48" s="35" t="n">
        <v>65500</v>
      </c>
      <c r="I48" s="35" t="n">
        <v>66500</v>
      </c>
      <c r="J48" s="35" t="n">
        <v>67500</v>
      </c>
      <c r="K48" s="35" t="n">
        <v>68500</v>
      </c>
    </row>
    <row r="49">
      <c r="A49" s="13" t="inlineStr"/>
      <c r="B49" s="10" t="inlineStr"/>
      <c r="C49" s="11" t="inlineStr"/>
      <c r="D49" s="32" t="inlineStr">
        <is>
          <t>Bear Case</t>
        </is>
      </c>
      <c r="E49" s="35" t="n">
        <v>57500</v>
      </c>
      <c r="F49" s="35" t="n">
        <v>55000</v>
      </c>
      <c r="G49" s="35" t="n">
        <v>54000</v>
      </c>
      <c r="H49" s="35" t="n">
        <v>55000</v>
      </c>
      <c r="I49" s="35" t="n">
        <v>56500</v>
      </c>
      <c r="J49" s="35" t="n">
        <v>58000</v>
      </c>
      <c r="K49" s="35" t="n">
        <v>59500</v>
      </c>
    </row>
    <row r="50">
      <c r="A50" s="13" t="inlineStr"/>
      <c r="B50" s="10" t="inlineStr"/>
      <c r="C50" s="11" t="inlineStr"/>
      <c r="D50" s="32" t="inlineStr">
        <is>
          <t>Stress Case</t>
        </is>
      </c>
      <c r="E50" s="35" t="n">
        <v>59000</v>
      </c>
      <c r="F50" s="35" t="n">
        <v>58500</v>
      </c>
      <c r="G50" s="35" t="n">
        <v>60000</v>
      </c>
      <c r="H50" s="35" t="n">
        <v>62500</v>
      </c>
      <c r="I50" s="35" t="n">
        <v>65000</v>
      </c>
      <c r="J50" s="35" t="n">
        <v>67000</v>
      </c>
      <c r="K50" s="35" t="n">
        <v>69000</v>
      </c>
    </row>
    <row r="51">
      <c r="A51" s="13" t="inlineStr">
        <is>
          <t>D10</t>
        </is>
      </c>
      <c r="B51" s="31" t="inlineStr">
        <is>
          <t>Iron ore 62% Fe CFR China</t>
        </is>
      </c>
      <c r="C51" s="11" t="inlineStr">
        <is>
          <t>US$/dmt</t>
        </is>
      </c>
      <c r="D51" s="32" t="inlineStr">
        <is>
          <t>Base Case</t>
        </is>
      </c>
      <c r="E51" s="34" t="n">
        <v>102</v>
      </c>
      <c r="F51" s="34" t="n">
        <v>97</v>
      </c>
      <c r="G51" s="34" t="n">
        <v>93</v>
      </c>
      <c r="H51" s="34" t="n">
        <v>90</v>
      </c>
      <c r="I51" s="34" t="n">
        <v>90</v>
      </c>
      <c r="J51" s="34" t="n">
        <v>91</v>
      </c>
      <c r="K51" s="34" t="n">
        <v>93</v>
      </c>
      <c r="M51" s="3" t="inlineStr">
        <is>
          <t>S17</t>
        </is>
      </c>
      <c r="N51" s="13" t="inlineStr">
        <is>
          <t>High</t>
        </is>
      </c>
      <c r="O51" s="3" t="inlineStr">
        <is>
          <t>FY2026 average US$100.52/dmt, the third consecutive annual decline from US$155.52/dmt in FY2022 (World Bank Pink Sheet, Master DB). Q1FY2027 actual average US$105.17/dmt with Jun-2026 at US$100.8/dmt, so the FY2027 base of US$102 is anchored on realised data. Base assumes continued gradual decline on new global supply, then stabilisation around US$90/dmt. NOTE the sign convention: LOWER iron ore is BULLISH for Indian steel margins because most Indian producers are net purchasers of ore, so the bull scenario carries the LOW price path. Godawari Power and NMDC are the exceptions and are flagged separately.</t>
        </is>
      </c>
    </row>
    <row r="52">
      <c r="A52" s="13" t="inlineStr"/>
      <c r="B52" s="10" t="inlineStr"/>
      <c r="C52" s="11" t="inlineStr"/>
      <c r="D52" s="32" t="inlineStr">
        <is>
          <t>Bull Case</t>
        </is>
      </c>
      <c r="E52" s="34" t="n">
        <v>98</v>
      </c>
      <c r="F52" s="34" t="n">
        <v>92</v>
      </c>
      <c r="G52" s="34" t="n">
        <v>88</v>
      </c>
      <c r="H52" s="34" t="n">
        <v>85</v>
      </c>
      <c r="I52" s="34" t="n">
        <v>84</v>
      </c>
      <c r="J52" s="34" t="n">
        <v>84</v>
      </c>
      <c r="K52" s="34" t="n">
        <v>86</v>
      </c>
    </row>
    <row r="53">
      <c r="A53" s="13" t="inlineStr"/>
      <c r="B53" s="10" t="inlineStr"/>
      <c r="C53" s="11" t="inlineStr"/>
      <c r="D53" s="32" t="inlineStr">
        <is>
          <t>Bear Case</t>
        </is>
      </c>
      <c r="E53" s="34" t="n">
        <v>96</v>
      </c>
      <c r="F53" s="34" t="n">
        <v>90</v>
      </c>
      <c r="G53" s="34" t="n">
        <v>86</v>
      </c>
      <c r="H53" s="34" t="n">
        <v>83</v>
      </c>
      <c r="I53" s="34" t="n">
        <v>82</v>
      </c>
      <c r="J53" s="34" t="n">
        <v>82</v>
      </c>
      <c r="K53" s="34" t="n">
        <v>83</v>
      </c>
    </row>
    <row r="54">
      <c r="A54" s="13" t="inlineStr"/>
      <c r="B54" s="10" t="inlineStr"/>
      <c r="C54" s="11" t="inlineStr"/>
      <c r="D54" s="32" t="inlineStr">
        <is>
          <t>Stress Case</t>
        </is>
      </c>
      <c r="E54" s="34" t="n">
        <v>115</v>
      </c>
      <c r="F54" s="34" t="n">
        <v>112</v>
      </c>
      <c r="G54" s="34" t="n">
        <v>104</v>
      </c>
      <c r="H54" s="34" t="n">
        <v>98</v>
      </c>
      <c r="I54" s="34" t="n">
        <v>94</v>
      </c>
      <c r="J54" s="34" t="n">
        <v>92</v>
      </c>
      <c r="K54" s="34" t="n">
        <v>92</v>
      </c>
    </row>
    <row r="55">
      <c r="A55" s="13" t="inlineStr">
        <is>
          <t>D11</t>
        </is>
      </c>
      <c r="B55" s="31" t="inlineStr">
        <is>
          <t>Premium HCC coking coal FOB Australia</t>
        </is>
      </c>
      <c r="C55" s="11" t="inlineStr">
        <is>
          <t>US$/t</t>
        </is>
      </c>
      <c r="D55" s="32" t="inlineStr">
        <is>
          <t>Base Case</t>
        </is>
      </c>
      <c r="E55" s="34" t="n">
        <v>210</v>
      </c>
      <c r="F55" s="34" t="n">
        <v>200</v>
      </c>
      <c r="G55" s="34" t="n">
        <v>195</v>
      </c>
      <c r="H55" s="34" t="n">
        <v>190</v>
      </c>
      <c r="I55" s="34" t="n">
        <v>190</v>
      </c>
      <c r="J55" s="34" t="n">
        <v>195</v>
      </c>
      <c r="K55" s="34" t="n">
        <v>200</v>
      </c>
      <c r="M55" s="3" t="inlineStr">
        <is>
          <t>S01</t>
        </is>
      </c>
      <c r="N55" s="13" t="inlineStr">
        <is>
          <t>Medium</t>
        </is>
      </c>
      <c r="O55" s="3" t="inlineStr">
        <is>
          <t>IMPORTANT: the Master Database deliberately asserts NO fiscal-year average for coking coal because the two public series disagree by up to US$40/t (Conflict C01). The FY2026 reference used here is the Ministry of Steel's Mar-2026 assessment of ~US$225/t, explicitly labelled a spot reference and not a fiscal-year average. Base assumes easing from that level toward a US$190/t mid-cycle, still well above the ~US$175/t Mar-2025 trough. Stress reflects a repeat of the Oct-2023 spike to US$354/t at roughly 80% amplitude. THIS IS THE SINGLE LARGEST COST UNCERTAINTY IN THE MODEL and the driver most in need of a licensed price-reporting-agency series before transaction use.</t>
        </is>
      </c>
    </row>
    <row r="56">
      <c r="A56" s="13" t="inlineStr"/>
      <c r="B56" s="10" t="inlineStr"/>
      <c r="C56" s="11" t="inlineStr"/>
      <c r="D56" s="32" t="inlineStr">
        <is>
          <t>Bull Case</t>
        </is>
      </c>
      <c r="E56" s="34" t="n">
        <v>200</v>
      </c>
      <c r="F56" s="34" t="n">
        <v>188</v>
      </c>
      <c r="G56" s="34" t="n">
        <v>182</v>
      </c>
      <c r="H56" s="34" t="n">
        <v>178</v>
      </c>
      <c r="I56" s="34" t="n">
        <v>178</v>
      </c>
      <c r="J56" s="34" t="n">
        <v>180</v>
      </c>
      <c r="K56" s="34" t="n">
        <v>184</v>
      </c>
    </row>
    <row r="57">
      <c r="A57" s="13" t="inlineStr"/>
      <c r="B57" s="10" t="inlineStr"/>
      <c r="C57" s="11" t="inlineStr"/>
      <c r="D57" s="32" t="inlineStr">
        <is>
          <t>Bear Case</t>
        </is>
      </c>
      <c r="E57" s="34" t="n">
        <v>200</v>
      </c>
      <c r="F57" s="34" t="n">
        <v>185</v>
      </c>
      <c r="G57" s="34" t="n">
        <v>176</v>
      </c>
      <c r="H57" s="34" t="n">
        <v>170</v>
      </c>
      <c r="I57" s="34" t="n">
        <v>168</v>
      </c>
      <c r="J57" s="34" t="n">
        <v>168</v>
      </c>
      <c r="K57" s="34" t="n">
        <v>170</v>
      </c>
    </row>
    <row r="58">
      <c r="A58" s="13" t="inlineStr"/>
      <c r="B58" s="10" t="inlineStr"/>
      <c r="C58" s="11" t="inlineStr"/>
      <c r="D58" s="32" t="inlineStr">
        <is>
          <t>Stress Case</t>
        </is>
      </c>
      <c r="E58" s="34" t="n">
        <v>300</v>
      </c>
      <c r="F58" s="34" t="n">
        <v>285</v>
      </c>
      <c r="G58" s="34" t="n">
        <v>245</v>
      </c>
      <c r="H58" s="34" t="n">
        <v>220</v>
      </c>
      <c r="I58" s="34" t="n">
        <v>208</v>
      </c>
      <c r="J58" s="34" t="n">
        <v>202</v>
      </c>
      <c r="K58" s="34" t="n">
        <v>200</v>
      </c>
    </row>
    <row r="59">
      <c r="A59" s="13" t="inlineStr">
        <is>
          <t>D12</t>
        </is>
      </c>
      <c r="B59" s="31" t="inlineStr">
        <is>
          <t>Conversion cost inflation</t>
        </is>
      </c>
      <c r="C59" s="11" t="inlineStr">
        <is>
          <t>%</t>
        </is>
      </c>
      <c r="D59" s="32" t="inlineStr">
        <is>
          <t>Base Case</t>
        </is>
      </c>
      <c r="E59" s="16" t="n">
        <v>0.045</v>
      </c>
      <c r="F59" s="16" t="n">
        <v>0.042</v>
      </c>
      <c r="G59" s="16" t="n">
        <v>0.04</v>
      </c>
      <c r="H59" s="16" t="n">
        <v>0.04</v>
      </c>
      <c r="I59" s="16" t="n">
        <v>0.04</v>
      </c>
      <c r="J59" s="16" t="n">
        <v>0.04</v>
      </c>
      <c r="K59" s="16" t="n">
        <v>0.04</v>
      </c>
      <c r="M59" s="3" t="inlineStr">
        <is>
          <t>RBI-Jun26</t>
        </is>
      </c>
      <c r="N59" s="13" t="inlineStr">
        <is>
          <t>Medium</t>
        </is>
      </c>
      <c r="O59" s="3" t="inlineStr">
        <is>
          <t>Applies to the non-raw-material element of cash cost: labour, power, consumables, stores, repairs and logistics. Anchored slightly below RBI's 5.1% FY2027 CPI projection because steel conversion cost includes power and freight that track energy rather than headline CPI, and because the majors are delivering explicit cost programmes - Tata Steel recorded roughly Rs 10,868 cr of cost transformation benefit in FY2026 (Master DB), equal to about Rs 4,825 per tonne of India deliveries. Stress reflects the West Asia energy shock flagged by both Tata Steel and Jindal Stainless in their FY2026 filings.</t>
        </is>
      </c>
    </row>
    <row r="60">
      <c r="A60" s="13" t="inlineStr"/>
      <c r="B60" s="10" t="inlineStr"/>
      <c r="C60" s="11" t="inlineStr"/>
      <c r="D60" s="32" t="inlineStr">
        <is>
          <t>Bull Case</t>
        </is>
      </c>
      <c r="E60" s="16" t="n">
        <v>0.038</v>
      </c>
      <c r="F60" s="16" t="n">
        <v>0.035</v>
      </c>
      <c r="G60" s="16" t="n">
        <v>0.033</v>
      </c>
      <c r="H60" s="16" t="n">
        <v>0.032</v>
      </c>
      <c r="I60" s="16" t="n">
        <v>0.032</v>
      </c>
      <c r="J60" s="16" t="n">
        <v>0.032</v>
      </c>
      <c r="K60" s="16" t="n">
        <v>0.032</v>
      </c>
    </row>
    <row r="61">
      <c r="A61" s="13" t="inlineStr"/>
      <c r="B61" s="10" t="inlineStr"/>
      <c r="C61" s="11" t="inlineStr"/>
      <c r="D61" s="32" t="inlineStr">
        <is>
          <t>Bear Case</t>
        </is>
      </c>
      <c r="E61" s="16" t="n">
        <v>0.05</v>
      </c>
      <c r="F61" s="16" t="n">
        <v>0.046</v>
      </c>
      <c r="G61" s="16" t="n">
        <v>0.044</v>
      </c>
      <c r="H61" s="16" t="n">
        <v>0.042</v>
      </c>
      <c r="I61" s="16" t="n">
        <v>0.042</v>
      </c>
      <c r="J61" s="16" t="n">
        <v>0.042</v>
      </c>
      <c r="K61" s="16" t="n">
        <v>0.042</v>
      </c>
    </row>
    <row r="62">
      <c r="A62" s="13" t="inlineStr"/>
      <c r="B62" s="10" t="inlineStr"/>
      <c r="C62" s="11" t="inlineStr"/>
      <c r="D62" s="32" t="inlineStr">
        <is>
          <t>Stress Case</t>
        </is>
      </c>
      <c r="E62" s="16" t="n">
        <v>0.075</v>
      </c>
      <c r="F62" s="16" t="n">
        <v>0.068</v>
      </c>
      <c r="G62" s="16" t="n">
        <v>0.055</v>
      </c>
      <c r="H62" s="16" t="n">
        <v>0.048</v>
      </c>
      <c r="I62" s="16" t="n">
        <v>0.044</v>
      </c>
      <c r="J62" s="16" t="n">
        <v>0.042</v>
      </c>
      <c r="K62" s="16" t="n">
        <v>0.042</v>
      </c>
    </row>
    <row r="63">
      <c r="A63" s="13" t="inlineStr">
        <is>
          <t>D13</t>
        </is>
      </c>
      <c r="B63" s="31" t="inlineStr">
        <is>
          <t>Raw material share of cash cost</t>
        </is>
      </c>
      <c r="C63" s="11" t="inlineStr">
        <is>
          <t>%</t>
        </is>
      </c>
      <c r="D63" s="32" t="inlineStr">
        <is>
          <t>Base Case</t>
        </is>
      </c>
      <c r="E63" s="16" t="n">
        <v>0.6</v>
      </c>
      <c r="F63" s="16" t="n">
        <v>0.6</v>
      </c>
      <c r="G63" s="16" t="n">
        <v>0.6</v>
      </c>
      <c r="H63" s="16" t="n">
        <v>0.6</v>
      </c>
      <c r="I63" s="16" t="n">
        <v>0.6</v>
      </c>
      <c r="J63" s="16" t="n">
        <v>0.6</v>
      </c>
      <c r="K63" s="16" t="n">
        <v>0.6</v>
      </c>
      <c r="M63" s="3" t="inlineStr">
        <is>
          <t>Indicative</t>
        </is>
      </c>
      <c r="N63" s="13" t="inlineStr">
        <is>
          <t>Low</t>
        </is>
      </c>
      <c r="O63" s="3" t="inlineStr">
        <is>
          <t>INDICATIVE STRUCTURAL ASSUMPTION - NOT SOURCED FROM A PRIMARY DOCUMENT. Splits the FY2026 implied cash cost of Rs 49,241/t between a raw-material component that indexes to the iron ore and coking coal basket and a conversion component that indexes to inflation. 60/40 is the conventional split for an Indian integrated BF-BOF producer. Held constant across scenarios precisely because it is unsourced - flexing an unsourced parameter across scenarios would manufacture false precision. Plausible range 55-65%; the sensitivity of EBITDA/t to this parameter is quantified on sheet 22. MUST be replaced with company-specific cost disclosure from annual report technical parameters before any transaction use.</t>
        </is>
      </c>
    </row>
    <row r="64">
      <c r="A64" s="13" t="inlineStr"/>
      <c r="B64" s="10" t="inlineStr"/>
      <c r="C64" s="11" t="inlineStr"/>
      <c r="D64" s="32" t="inlineStr">
        <is>
          <t>Bull Case</t>
        </is>
      </c>
      <c r="E64" s="16" t="n">
        <v>0.6</v>
      </c>
      <c r="F64" s="16" t="n">
        <v>0.6</v>
      </c>
      <c r="G64" s="16" t="n">
        <v>0.6</v>
      </c>
      <c r="H64" s="16" t="n">
        <v>0.6</v>
      </c>
      <c r="I64" s="16" t="n">
        <v>0.6</v>
      </c>
      <c r="J64" s="16" t="n">
        <v>0.6</v>
      </c>
      <c r="K64" s="16" t="n">
        <v>0.6</v>
      </c>
    </row>
    <row r="65">
      <c r="A65" s="13" t="inlineStr"/>
      <c r="B65" s="10" t="inlineStr"/>
      <c r="C65" s="11" t="inlineStr"/>
      <c r="D65" s="32" t="inlineStr">
        <is>
          <t>Bear Case</t>
        </is>
      </c>
      <c r="E65" s="16" t="n">
        <v>0.6</v>
      </c>
      <c r="F65" s="16" t="n">
        <v>0.6</v>
      </c>
      <c r="G65" s="16" t="n">
        <v>0.6</v>
      </c>
      <c r="H65" s="16" t="n">
        <v>0.6</v>
      </c>
      <c r="I65" s="16" t="n">
        <v>0.6</v>
      </c>
      <c r="J65" s="16" t="n">
        <v>0.6</v>
      </c>
      <c r="K65" s="16" t="n">
        <v>0.6</v>
      </c>
    </row>
    <row r="66">
      <c r="A66" s="13" t="inlineStr"/>
      <c r="B66" s="10" t="inlineStr"/>
      <c r="C66" s="11" t="inlineStr"/>
      <c r="D66" s="32" t="inlineStr">
        <is>
          <t>Stress Case</t>
        </is>
      </c>
      <c r="E66" s="16" t="n">
        <v>0.6</v>
      </c>
      <c r="F66" s="16" t="n">
        <v>0.6</v>
      </c>
      <c r="G66" s="16" t="n">
        <v>0.6</v>
      </c>
      <c r="H66" s="16" t="n">
        <v>0.6</v>
      </c>
      <c r="I66" s="16" t="n">
        <v>0.6</v>
      </c>
      <c r="J66" s="16" t="n">
        <v>0.6</v>
      </c>
      <c r="K66" s="16" t="n">
        <v>0.6</v>
      </c>
    </row>
    <row r="67">
      <c r="A67" s="13" t="inlineStr">
        <is>
          <t>D14</t>
        </is>
      </c>
      <c r="B67" s="31" t="inlineStr">
        <is>
          <t>Iron ore weight in the raw material basket</t>
        </is>
      </c>
      <c r="C67" s="11" t="inlineStr">
        <is>
          <t>%</t>
        </is>
      </c>
      <c r="D67" s="32" t="inlineStr">
        <is>
          <t>Base Case</t>
        </is>
      </c>
      <c r="E67" s="16" t="n">
        <v>0.45</v>
      </c>
      <c r="F67" s="16" t="n">
        <v>0.45</v>
      </c>
      <c r="G67" s="16" t="n">
        <v>0.45</v>
      </c>
      <c r="H67" s="16" t="n">
        <v>0.45</v>
      </c>
      <c r="I67" s="16" t="n">
        <v>0.45</v>
      </c>
      <c r="J67" s="16" t="n">
        <v>0.45</v>
      </c>
      <c r="K67" s="16" t="n">
        <v>0.45</v>
      </c>
      <c r="M67" s="3" t="inlineStr">
        <is>
          <t>Indicative</t>
        </is>
      </c>
      <c r="N67" s="13" t="inlineStr">
        <is>
          <t>Low</t>
        </is>
      </c>
      <c r="O67" s="3" t="inlineStr">
        <is>
          <t>INDICATIVE. Iron ore 45%, coking coal 45%, other ferrous and fluxes 10% by value in the BF-BOF raw material basket. Unsourced and therefore held constant across scenarios. Sensitivity quantified on sheet 22.</t>
        </is>
      </c>
    </row>
    <row r="68">
      <c r="A68" s="13" t="inlineStr"/>
      <c r="B68" s="10" t="inlineStr"/>
      <c r="C68" s="11" t="inlineStr"/>
      <c r="D68" s="32" t="inlineStr">
        <is>
          <t>Bull Case</t>
        </is>
      </c>
      <c r="E68" s="16" t="n">
        <v>0.45</v>
      </c>
      <c r="F68" s="16" t="n">
        <v>0.45</v>
      </c>
      <c r="G68" s="16" t="n">
        <v>0.45</v>
      </c>
      <c r="H68" s="16" t="n">
        <v>0.45</v>
      </c>
      <c r="I68" s="16" t="n">
        <v>0.45</v>
      </c>
      <c r="J68" s="16" t="n">
        <v>0.45</v>
      </c>
      <c r="K68" s="16" t="n">
        <v>0.45</v>
      </c>
    </row>
    <row r="69">
      <c r="A69" s="13" t="inlineStr"/>
      <c r="B69" s="10" t="inlineStr"/>
      <c r="C69" s="11" t="inlineStr"/>
      <c r="D69" s="32" t="inlineStr">
        <is>
          <t>Bear Case</t>
        </is>
      </c>
      <c r="E69" s="16" t="n">
        <v>0.45</v>
      </c>
      <c r="F69" s="16" t="n">
        <v>0.45</v>
      </c>
      <c r="G69" s="16" t="n">
        <v>0.45</v>
      </c>
      <c r="H69" s="16" t="n">
        <v>0.45</v>
      </c>
      <c r="I69" s="16" t="n">
        <v>0.45</v>
      </c>
      <c r="J69" s="16" t="n">
        <v>0.45</v>
      </c>
      <c r="K69" s="16" t="n">
        <v>0.45</v>
      </c>
    </row>
    <row r="70">
      <c r="A70" s="13" t="inlineStr"/>
      <c r="B70" s="10" t="inlineStr"/>
      <c r="C70" s="11" t="inlineStr"/>
      <c r="D70" s="32" t="inlineStr">
        <is>
          <t>Stress Case</t>
        </is>
      </c>
      <c r="E70" s="16" t="n">
        <v>0.45</v>
      </c>
      <c r="F70" s="16" t="n">
        <v>0.45</v>
      </c>
      <c r="G70" s="16" t="n">
        <v>0.45</v>
      </c>
      <c r="H70" s="16" t="n">
        <v>0.45</v>
      </c>
      <c r="I70" s="16" t="n">
        <v>0.45</v>
      </c>
      <c r="J70" s="16" t="n">
        <v>0.45</v>
      </c>
      <c r="K70" s="16" t="n">
        <v>0.45</v>
      </c>
    </row>
    <row r="71">
      <c r="A71" s="13" t="inlineStr">
        <is>
          <t>D15</t>
        </is>
      </c>
      <c r="B71" s="31" t="inlineStr">
        <is>
          <t>Effective tax rate</t>
        </is>
      </c>
      <c r="C71" s="11" t="inlineStr">
        <is>
          <t>%</t>
        </is>
      </c>
      <c r="D71" s="32" t="inlineStr">
        <is>
          <t>Base Case</t>
        </is>
      </c>
      <c r="E71" s="16" t="n">
        <v>0.2517</v>
      </c>
      <c r="F71" s="16" t="n">
        <v>0.2517</v>
      </c>
      <c r="G71" s="16" t="n">
        <v>0.2517</v>
      </c>
      <c r="H71" s="16" t="n">
        <v>0.2517</v>
      </c>
      <c r="I71" s="16" t="n">
        <v>0.2517</v>
      </c>
      <c r="J71" s="16" t="n">
        <v>0.2517</v>
      </c>
      <c r="K71" s="16" t="n">
        <v>0.2517</v>
      </c>
      <c r="M71" s="3" t="inlineStr">
        <is>
          <t>Statutory</t>
        </is>
      </c>
      <c r="N71" s="13" t="inlineStr">
        <is>
          <t>Medium</t>
        </is>
      </c>
      <c r="O71" s="3" t="inlineStr">
        <is>
          <t>Indian statutory corporate tax rate of 22% plus surcharge and cess equals 25.17% under section 115BAA, which the large Indian steel producers have elected. Held flat across scenarios: the tax rate is a policy parameter, not a cyclical variable. Actual effective rates differ because of MAT credits, accumulated losses and deferred tax - the Master Database flags Kirloskar Ferrous FY2026 net profit exceeding profit before tax on a tax write-back (Conflict C12). Company-specific effective rates must be substituted in single-name models.</t>
        </is>
      </c>
    </row>
    <row r="72">
      <c r="A72" s="13" t="inlineStr"/>
      <c r="B72" s="10" t="inlineStr"/>
      <c r="C72" s="11" t="inlineStr"/>
      <c r="D72" s="32" t="inlineStr">
        <is>
          <t>Bull Case</t>
        </is>
      </c>
      <c r="E72" s="16" t="n">
        <v>0.2517</v>
      </c>
      <c r="F72" s="16" t="n">
        <v>0.2517</v>
      </c>
      <c r="G72" s="16" t="n">
        <v>0.2517</v>
      </c>
      <c r="H72" s="16" t="n">
        <v>0.2517</v>
      </c>
      <c r="I72" s="16" t="n">
        <v>0.2517</v>
      </c>
      <c r="J72" s="16" t="n">
        <v>0.2517</v>
      </c>
      <c r="K72" s="16" t="n">
        <v>0.2517</v>
      </c>
    </row>
    <row r="73">
      <c r="A73" s="13" t="inlineStr"/>
      <c r="B73" s="10" t="inlineStr"/>
      <c r="C73" s="11" t="inlineStr"/>
      <c r="D73" s="32" t="inlineStr">
        <is>
          <t>Bear Case</t>
        </is>
      </c>
      <c r="E73" s="16" t="n">
        <v>0.2517</v>
      </c>
      <c r="F73" s="16" t="n">
        <v>0.2517</v>
      </c>
      <c r="G73" s="16" t="n">
        <v>0.2517</v>
      </c>
      <c r="H73" s="16" t="n">
        <v>0.2517</v>
      </c>
      <c r="I73" s="16" t="n">
        <v>0.2517</v>
      </c>
      <c r="J73" s="16" t="n">
        <v>0.2517</v>
      </c>
      <c r="K73" s="16" t="n">
        <v>0.2517</v>
      </c>
    </row>
    <row r="74">
      <c r="A74" s="13" t="inlineStr"/>
      <c r="B74" s="10" t="inlineStr"/>
      <c r="C74" s="11" t="inlineStr"/>
      <c r="D74" s="32" t="inlineStr">
        <is>
          <t>Stress Case</t>
        </is>
      </c>
      <c r="E74" s="16" t="n">
        <v>0.2517</v>
      </c>
      <c r="F74" s="16" t="n">
        <v>0.2517</v>
      </c>
      <c r="G74" s="16" t="n">
        <v>0.2517</v>
      </c>
      <c r="H74" s="16" t="n">
        <v>0.2517</v>
      </c>
      <c r="I74" s="16" t="n">
        <v>0.2517</v>
      </c>
      <c r="J74" s="16" t="n">
        <v>0.2517</v>
      </c>
      <c r="K74" s="16" t="n">
        <v>0.2517</v>
      </c>
    </row>
    <row r="75">
      <c r="A75" s="13" t="inlineStr">
        <is>
          <t>D16</t>
        </is>
      </c>
      <c r="B75" s="31" t="inlineStr">
        <is>
          <t>Capex intensity</t>
        </is>
      </c>
      <c r="C75" s="11" t="inlineStr">
        <is>
          <t>Rs/t of capacity added</t>
        </is>
      </c>
      <c r="D75" s="32" t="inlineStr">
        <is>
          <t>Base Case</t>
        </is>
      </c>
      <c r="E75" s="35" t="n">
        <v>55000</v>
      </c>
      <c r="F75" s="35" t="n">
        <v>55000</v>
      </c>
      <c r="G75" s="35" t="n">
        <v>55000</v>
      </c>
      <c r="H75" s="35" t="n">
        <v>55000</v>
      </c>
      <c r="I75" s="35" t="n">
        <v>55000</v>
      </c>
      <c r="J75" s="35" t="n">
        <v>55000</v>
      </c>
      <c r="K75" s="35" t="n">
        <v>55000</v>
      </c>
      <c r="M75" s="3" t="inlineStr">
        <is>
          <t>Derived-DB</t>
        </is>
      </c>
      <c r="N75" s="13" t="inlineStr">
        <is>
          <t>Medium</t>
        </is>
      </c>
      <c r="O75" s="3" t="inlineStr">
        <is>
          <t>Greenfield and large brownfield Indian crude steel capacity. Cross-checks from the Master Database: JSW Steel Board-approved 5 Mtpa brownfield expansion at JVML-Vijayanagar at Rs 26,000 cr equals Rs 52,000 per tonne; SAIL's stated roughly Rs 1 lakh crore for about 15 Mtpa of additions equals roughly Rs 67,000 per tonne; Tata Steel's 0.75 Mtpa Ludhiana scrap EAF at about Rs 3,200 cr equals Rs 42,700 per tonne, which is lower because an EAF has no ironmaking. Base of Rs 55,000/t sits between the JSW brownfield and SAIL blended figures. Also the primary input to the replacement-cost valuation on sheet 23.</t>
        </is>
      </c>
    </row>
    <row r="76">
      <c r="A76" s="13" t="inlineStr"/>
      <c r="B76" s="10" t="inlineStr"/>
      <c r="C76" s="11" t="inlineStr"/>
      <c r="D76" s="32" t="inlineStr">
        <is>
          <t>Bull Case</t>
        </is>
      </c>
      <c r="E76" s="35" t="n">
        <v>52000</v>
      </c>
      <c r="F76" s="35" t="n">
        <v>52000</v>
      </c>
      <c r="G76" s="35" t="n">
        <v>52000</v>
      </c>
      <c r="H76" s="35" t="n">
        <v>52000</v>
      </c>
      <c r="I76" s="35" t="n">
        <v>52000</v>
      </c>
      <c r="J76" s="35" t="n">
        <v>52000</v>
      </c>
      <c r="K76" s="35" t="n">
        <v>52000</v>
      </c>
    </row>
    <row r="77">
      <c r="A77" s="13" t="inlineStr"/>
      <c r="B77" s="10" t="inlineStr"/>
      <c r="C77" s="11" t="inlineStr"/>
      <c r="D77" s="32" t="inlineStr">
        <is>
          <t>Bear Case</t>
        </is>
      </c>
      <c r="E77" s="35" t="n">
        <v>60000</v>
      </c>
      <c r="F77" s="35" t="n">
        <v>60000</v>
      </c>
      <c r="G77" s="35" t="n">
        <v>60000</v>
      </c>
      <c r="H77" s="35" t="n">
        <v>60000</v>
      </c>
      <c r="I77" s="35" t="n">
        <v>60000</v>
      </c>
      <c r="J77" s="35" t="n">
        <v>60000</v>
      </c>
      <c r="K77" s="35" t="n">
        <v>60000</v>
      </c>
    </row>
    <row r="78">
      <c r="A78" s="13" t="inlineStr"/>
      <c r="B78" s="10" t="inlineStr"/>
      <c r="C78" s="11" t="inlineStr"/>
      <c r="D78" s="32" t="inlineStr">
        <is>
          <t>Stress Case</t>
        </is>
      </c>
      <c r="E78" s="35" t="n">
        <v>65000</v>
      </c>
      <c r="F78" s="35" t="n">
        <v>65000</v>
      </c>
      <c r="G78" s="35" t="n">
        <v>65000</v>
      </c>
      <c r="H78" s="35" t="n">
        <v>65000</v>
      </c>
      <c r="I78" s="35" t="n">
        <v>65000</v>
      </c>
      <c r="J78" s="35" t="n">
        <v>65000</v>
      </c>
      <c r="K78" s="35" t="n">
        <v>65000</v>
      </c>
    </row>
    <row r="79">
      <c r="A79" s="13" t="inlineStr">
        <is>
          <t>D17</t>
        </is>
      </c>
      <c r="B79" s="31" t="inlineStr">
        <is>
          <t>Maintenance capex</t>
        </is>
      </c>
      <c r="C79" s="11" t="inlineStr">
        <is>
          <t>% of revenue</t>
        </is>
      </c>
      <c r="D79" s="32" t="inlineStr">
        <is>
          <t>Base Case</t>
        </is>
      </c>
      <c r="E79" s="34" t="n">
        <v>0.03</v>
      </c>
      <c r="F79" s="34" t="n">
        <v>0.03</v>
      </c>
      <c r="G79" s="34" t="n">
        <v>0.03</v>
      </c>
      <c r="H79" s="34" t="n">
        <v>0.03</v>
      </c>
      <c r="I79" s="34" t="n">
        <v>0.03</v>
      </c>
      <c r="J79" s="34" t="n">
        <v>0.03</v>
      </c>
      <c r="K79" s="34" t="n">
        <v>0.03</v>
      </c>
      <c r="M79" s="3" t="inlineStr">
        <is>
          <t>Indicative</t>
        </is>
      </c>
      <c r="N79" s="13" t="inlineStr">
        <is>
          <t>Low</t>
        </is>
      </c>
      <c r="O79" s="3" t="inlineStr">
        <is>
          <t>INDICATIVE. Sustaining capex excluding growth. Cross-check: Tata Steel FY2026 total capex of Rs 14,026 cr on consolidated revenue of Rs 2,32,140 cr is 6.0%, but that figure includes substantial growth capex, so a 3.0% sustaining assumption is consistent with a roughly 50/50 growth-maintenance split. Not separately disclosed by any issuer in the database, hence Low confidence.</t>
        </is>
      </c>
    </row>
    <row r="80">
      <c r="A80" s="13" t="inlineStr"/>
      <c r="B80" s="10" t="inlineStr"/>
      <c r="C80" s="11" t="inlineStr"/>
      <c r="D80" s="32" t="inlineStr">
        <is>
          <t>Bull Case</t>
        </is>
      </c>
      <c r="E80" s="34" t="n">
        <v>0.028</v>
      </c>
      <c r="F80" s="34" t="n">
        <v>0.028</v>
      </c>
      <c r="G80" s="34" t="n">
        <v>0.028</v>
      </c>
      <c r="H80" s="34" t="n">
        <v>0.028</v>
      </c>
      <c r="I80" s="34" t="n">
        <v>0.028</v>
      </c>
      <c r="J80" s="34" t="n">
        <v>0.028</v>
      </c>
      <c r="K80" s="34" t="n">
        <v>0.028</v>
      </c>
    </row>
    <row r="81">
      <c r="A81" s="13" t="inlineStr"/>
      <c r="B81" s="10" t="inlineStr"/>
      <c r="C81" s="11" t="inlineStr"/>
      <c r="D81" s="32" t="inlineStr">
        <is>
          <t>Bear Case</t>
        </is>
      </c>
      <c r="E81" s="34" t="n">
        <v>0.033</v>
      </c>
      <c r="F81" s="34" t="n">
        <v>0.033</v>
      </c>
      <c r="G81" s="34" t="n">
        <v>0.033</v>
      </c>
      <c r="H81" s="34" t="n">
        <v>0.033</v>
      </c>
      <c r="I81" s="34" t="n">
        <v>0.033</v>
      </c>
      <c r="J81" s="34" t="n">
        <v>0.033</v>
      </c>
      <c r="K81" s="34" t="n">
        <v>0.033</v>
      </c>
    </row>
    <row r="82">
      <c r="A82" s="13" t="inlineStr"/>
      <c r="B82" s="10" t="inlineStr"/>
      <c r="C82" s="11" t="inlineStr"/>
      <c r="D82" s="32" t="inlineStr">
        <is>
          <t>Stress Case</t>
        </is>
      </c>
      <c r="E82" s="34" t="n">
        <v>0.035</v>
      </c>
      <c r="F82" s="34" t="n">
        <v>0.035</v>
      </c>
      <c r="G82" s="34" t="n">
        <v>0.035</v>
      </c>
      <c r="H82" s="34" t="n">
        <v>0.035</v>
      </c>
      <c r="I82" s="34" t="n">
        <v>0.035</v>
      </c>
      <c r="J82" s="34" t="n">
        <v>0.035</v>
      </c>
      <c r="K82" s="34" t="n">
        <v>0.035</v>
      </c>
    </row>
    <row r="83">
      <c r="A83" s="13" t="inlineStr">
        <is>
          <t>D18</t>
        </is>
      </c>
      <c r="B83" s="31" t="inlineStr">
        <is>
          <t>Net working capital</t>
        </is>
      </c>
      <c r="C83" s="11" t="inlineStr">
        <is>
          <t>days of revenue</t>
        </is>
      </c>
      <c r="D83" s="32" t="inlineStr">
        <is>
          <t>Base Case</t>
        </is>
      </c>
      <c r="E83" s="34" t="n">
        <v>45</v>
      </c>
      <c r="F83" s="34" t="n">
        <v>45</v>
      </c>
      <c r="G83" s="34" t="n">
        <v>45</v>
      </c>
      <c r="H83" s="34" t="n">
        <v>45</v>
      </c>
      <c r="I83" s="34" t="n">
        <v>45</v>
      </c>
      <c r="J83" s="34" t="n">
        <v>45</v>
      </c>
      <c r="K83" s="34" t="n">
        <v>45</v>
      </c>
      <c r="M83" s="3" t="inlineStr">
        <is>
          <t>Not sourced</t>
        </is>
      </c>
      <c r="N83" s="13" t="inlineStr">
        <is>
          <t>Low</t>
        </is>
      </c>
      <c r="O83" s="3" t="inlineStr">
        <is>
          <t>NOT SOURCED. The Master Database carries total assets and borrowings but not receivables, inventory or payables, so working capital days could not be derived from it. Directional evidence only: Tata Steel disclosed a working capital RELEASE of about Rs 6,470 cr in FY2026 (Master DB), consistent with tightening days on a Rs 2,32,140 cr revenue base of roughly 10 days. Base of 45 days is a sector convention for an integrated Indian steel producer and MUST be replaced with balance-sheet-derived days before transaction use. Stress reflects a working capital build in a downturn as inventory rises and receivables stretch, which is a first-order cash flow risk, not a second-order one.</t>
        </is>
      </c>
    </row>
    <row r="84">
      <c r="A84" s="13" t="inlineStr"/>
      <c r="B84" s="10" t="inlineStr"/>
      <c r="C84" s="11" t="inlineStr"/>
      <c r="D84" s="32" t="inlineStr">
        <is>
          <t>Bull Case</t>
        </is>
      </c>
      <c r="E84" s="34" t="n">
        <v>40</v>
      </c>
      <c r="F84" s="34" t="n">
        <v>40</v>
      </c>
      <c r="G84" s="34" t="n">
        <v>40</v>
      </c>
      <c r="H84" s="34" t="n">
        <v>40</v>
      </c>
      <c r="I84" s="34" t="n">
        <v>40</v>
      </c>
      <c r="J84" s="34" t="n">
        <v>40</v>
      </c>
      <c r="K84" s="34" t="n">
        <v>40</v>
      </c>
    </row>
    <row r="85">
      <c r="A85" s="13" t="inlineStr"/>
      <c r="B85" s="10" t="inlineStr"/>
      <c r="C85" s="11" t="inlineStr"/>
      <c r="D85" s="32" t="inlineStr">
        <is>
          <t>Bear Case</t>
        </is>
      </c>
      <c r="E85" s="34" t="n">
        <v>52</v>
      </c>
      <c r="F85" s="34" t="n">
        <v>52</v>
      </c>
      <c r="G85" s="34" t="n">
        <v>52</v>
      </c>
      <c r="H85" s="34" t="n">
        <v>52</v>
      </c>
      <c r="I85" s="34" t="n">
        <v>52</v>
      </c>
      <c r="J85" s="34" t="n">
        <v>52</v>
      </c>
      <c r="K85" s="34" t="n">
        <v>52</v>
      </c>
    </row>
    <row r="86">
      <c r="A86" s="13" t="inlineStr"/>
      <c r="B86" s="10" t="inlineStr"/>
      <c r="C86" s="11" t="inlineStr"/>
      <c r="D86" s="32" t="inlineStr">
        <is>
          <t>Stress Case</t>
        </is>
      </c>
      <c r="E86" s="34" t="n">
        <v>62</v>
      </c>
      <c r="F86" s="34" t="n">
        <v>62</v>
      </c>
      <c r="G86" s="34" t="n">
        <v>62</v>
      </c>
      <c r="H86" s="34" t="n">
        <v>62</v>
      </c>
      <c r="I86" s="34" t="n">
        <v>62</v>
      </c>
      <c r="J86" s="34" t="n">
        <v>62</v>
      </c>
      <c r="K86" s="34" t="n">
        <v>62</v>
      </c>
    </row>
    <row r="87">
      <c r="A87" s="13" t="inlineStr">
        <is>
          <t>D19</t>
        </is>
      </c>
      <c r="B87" s="31" t="inlineStr">
        <is>
          <t>Exit EV/EBITDA multiple</t>
        </is>
      </c>
      <c r="C87" s="11" t="inlineStr">
        <is>
          <t>x</t>
        </is>
      </c>
      <c r="D87" s="32" t="inlineStr">
        <is>
          <t>Base Case</t>
        </is>
      </c>
      <c r="E87" s="33" t="n">
        <v>6</v>
      </c>
      <c r="F87" s="33" t="n">
        <v>6</v>
      </c>
      <c r="G87" s="33" t="n">
        <v>6</v>
      </c>
      <c r="H87" s="33" t="n">
        <v>6</v>
      </c>
      <c r="I87" s="33" t="n">
        <v>6</v>
      </c>
      <c r="J87" s="33" t="n">
        <v>6</v>
      </c>
      <c r="K87" s="33" t="n">
        <v>6</v>
      </c>
      <c r="M87" s="3" t="inlineStr">
        <is>
          <t>Not sourced</t>
        </is>
      </c>
      <c r="N87" s="13" t="inlineStr">
        <is>
          <t>Low</t>
        </is>
      </c>
      <c r="O87" s="3" t="inlineStr">
        <is>
          <t>NOT SOURCED - market multiples were not obtained in this research cycle because share prices were not sourced. 6.0x is the conventional mid-cycle EV/EBITDA for Indian integrated steel and is provided as a starting point only. Sheet 23 computes live trading multiples the moment share prices are entered, and the exit multiple should then be re-based on that observed evidence. Flagged Low confidence and excluded from the headline conclusions.</t>
        </is>
      </c>
    </row>
    <row r="88">
      <c r="A88" s="13" t="inlineStr"/>
      <c r="B88" s="10" t="inlineStr"/>
      <c r="C88" s="11" t="inlineStr"/>
      <c r="D88" s="32" t="inlineStr">
        <is>
          <t>Bull Case</t>
        </is>
      </c>
      <c r="E88" s="33" t="n">
        <v>7</v>
      </c>
      <c r="F88" s="33" t="n">
        <v>7</v>
      </c>
      <c r="G88" s="33" t="n">
        <v>7</v>
      </c>
      <c r="H88" s="33" t="n">
        <v>7</v>
      </c>
      <c r="I88" s="33" t="n">
        <v>7</v>
      </c>
      <c r="J88" s="33" t="n">
        <v>7</v>
      </c>
      <c r="K88" s="33" t="n">
        <v>7</v>
      </c>
    </row>
    <row r="89">
      <c r="A89" s="13" t="inlineStr"/>
      <c r="B89" s="10" t="inlineStr"/>
      <c r="C89" s="11" t="inlineStr"/>
      <c r="D89" s="32" t="inlineStr">
        <is>
          <t>Bear Case</t>
        </is>
      </c>
      <c r="E89" s="33" t="n">
        <v>5</v>
      </c>
      <c r="F89" s="33" t="n">
        <v>5</v>
      </c>
      <c r="G89" s="33" t="n">
        <v>5</v>
      </c>
      <c r="H89" s="33" t="n">
        <v>5</v>
      </c>
      <c r="I89" s="33" t="n">
        <v>5</v>
      </c>
      <c r="J89" s="33" t="n">
        <v>5</v>
      </c>
      <c r="K89" s="33" t="n">
        <v>5</v>
      </c>
    </row>
    <row r="90">
      <c r="A90" s="13" t="inlineStr"/>
      <c r="B90" s="10" t="inlineStr"/>
      <c r="C90" s="11" t="inlineStr"/>
      <c r="D90" s="32" t="inlineStr">
        <is>
          <t>Stress Case</t>
        </is>
      </c>
      <c r="E90" s="33" t="n">
        <v>4</v>
      </c>
      <c r="F90" s="33" t="n">
        <v>4</v>
      </c>
      <c r="G90" s="33" t="n">
        <v>4</v>
      </c>
      <c r="H90" s="33" t="n">
        <v>4</v>
      </c>
      <c r="I90" s="33" t="n">
        <v>4</v>
      </c>
      <c r="J90" s="33" t="n">
        <v>4</v>
      </c>
      <c r="K90" s="33" t="n">
        <v>4</v>
      </c>
    </row>
    <row r="91">
      <c r="A91" s="13" t="inlineStr">
        <is>
          <t>D20</t>
        </is>
      </c>
      <c r="B91" s="31" t="inlineStr">
        <is>
          <t>WACC (nominal, INR)</t>
        </is>
      </c>
      <c r="C91" s="11" t="inlineStr">
        <is>
          <t>%</t>
        </is>
      </c>
      <c r="D91" s="32" t="inlineStr">
        <is>
          <t>Base Case</t>
        </is>
      </c>
      <c r="E91" s="16" t="n">
        <v>0.12</v>
      </c>
      <c r="F91" s="16" t="n">
        <v>0.12</v>
      </c>
      <c r="G91" s="16" t="n">
        <v>0.12</v>
      </c>
      <c r="H91" s="16" t="n">
        <v>0.12</v>
      </c>
      <c r="I91" s="16" t="n">
        <v>0.12</v>
      </c>
      <c r="J91" s="16" t="n">
        <v>0.12</v>
      </c>
      <c r="K91" s="16" t="n">
        <v>0.12</v>
      </c>
      <c r="M91" s="3" t="inlineStr">
        <is>
          <t>Composite</t>
        </is>
      </c>
      <c r="N91" s="13" t="inlineStr">
        <is>
          <t>Medium</t>
        </is>
      </c>
      <c r="O91" s="3" t="inlineStr">
        <is>
          <t>Built from observable Indian market data where available. Risk-free rate 6.83% - the 10-year G-sec yield on 31-Jul-2026, with Trading Economics expecting 6.78% at quarter end. Pre-tax cost of debt 7.44% - the lower bound of CRISIL RateView's Jul-2026 projected 10-year corporate bond yield range of 7.44-7.54%, consistent with the AA domestic ratings the Master Database records for JSW Steel. Post-tax cost of debt therefore 5.57% at the 25.17% tax rate. Equity risk premium of 6.5% and an equity beta of 1.2 are NOT SOURCED and are the weakest links in this build; at a 30% debt weight these give a cost of equity of about 14.6% and a WACC of about 12.0%. The full build-up is shown and is fully editable on sheet 02, and WACC is a sensitivity axis on sheet 22.</t>
        </is>
      </c>
    </row>
    <row r="92">
      <c r="A92" s="13" t="inlineStr"/>
      <c r="B92" s="10" t="inlineStr"/>
      <c r="C92" s="11" t="inlineStr"/>
      <c r="D92" s="32" t="inlineStr">
        <is>
          <t>Bull Case</t>
        </is>
      </c>
      <c r="E92" s="16" t="n">
        <v>0.112</v>
      </c>
      <c r="F92" s="16" t="n">
        <v>0.112</v>
      </c>
      <c r="G92" s="16" t="n">
        <v>0.112</v>
      </c>
      <c r="H92" s="16" t="n">
        <v>0.112</v>
      </c>
      <c r="I92" s="16" t="n">
        <v>0.112</v>
      </c>
      <c r="J92" s="16" t="n">
        <v>0.112</v>
      </c>
      <c r="K92" s="16" t="n">
        <v>0.112</v>
      </c>
    </row>
    <row r="93">
      <c r="A93" s="13" t="inlineStr"/>
      <c r="B93" s="10" t="inlineStr"/>
      <c r="C93" s="11" t="inlineStr"/>
      <c r="D93" s="32" t="inlineStr">
        <is>
          <t>Bear Case</t>
        </is>
      </c>
      <c r="E93" s="16" t="n">
        <v>0.128</v>
      </c>
      <c r="F93" s="16" t="n">
        <v>0.128</v>
      </c>
      <c r="G93" s="16" t="n">
        <v>0.128</v>
      </c>
      <c r="H93" s="16" t="n">
        <v>0.128</v>
      </c>
      <c r="I93" s="16" t="n">
        <v>0.128</v>
      </c>
      <c r="J93" s="16" t="n">
        <v>0.128</v>
      </c>
      <c r="K93" s="16" t="n">
        <v>0.128</v>
      </c>
    </row>
    <row r="94">
      <c r="A94" s="13" t="inlineStr"/>
      <c r="B94" s="10" t="inlineStr"/>
      <c r="C94" s="11" t="inlineStr"/>
      <c r="D94" s="32" t="inlineStr">
        <is>
          <t>Stress Case</t>
        </is>
      </c>
      <c r="E94" s="16" t="n">
        <v>0.14</v>
      </c>
      <c r="F94" s="16" t="n">
        <v>0.14</v>
      </c>
      <c r="G94" s="16" t="n">
        <v>0.14</v>
      </c>
      <c r="H94" s="16" t="n">
        <v>0.14</v>
      </c>
      <c r="I94" s="16" t="n">
        <v>0.14</v>
      </c>
      <c r="J94" s="16" t="n">
        <v>0.14</v>
      </c>
      <c r="K94" s="16" t="n">
        <v>0.14</v>
      </c>
    </row>
    <row r="95">
      <c r="A95" s="13" t="inlineStr">
        <is>
          <t>D21</t>
        </is>
      </c>
      <c r="B95" s="31" t="inlineStr">
        <is>
          <t>Finished steel imports</t>
        </is>
      </c>
      <c r="C95" s="11" t="inlineStr">
        <is>
          <t>Mt</t>
        </is>
      </c>
      <c r="D95" s="32" t="inlineStr">
        <is>
          <t>Base Case</t>
        </is>
      </c>
      <c r="E95" s="34" t="n">
        <v>6.8</v>
      </c>
      <c r="F95" s="34" t="n">
        <v>7</v>
      </c>
      <c r="G95" s="34" t="n">
        <v>7.2</v>
      </c>
      <c r="H95" s="34" t="n">
        <v>7.5</v>
      </c>
      <c r="I95" s="34" t="n">
        <v>7.8</v>
      </c>
      <c r="J95" s="34" t="n">
        <v>8.1</v>
      </c>
      <c r="K95" s="34" t="n">
        <v>8.4</v>
      </c>
      <c r="M95" s="3" t="inlineStr">
        <is>
          <t>Derived-DB</t>
        </is>
      </c>
      <c r="N95" s="13" t="inlineStr">
        <is>
          <t>Medium</t>
        </is>
      </c>
      <c r="O95" s="3" t="inlineStr">
        <is>
          <t>FY2026 actual 6.524 Mt, down 31.7% from 9.551 Mt in FY2025 as the safeguard duty bit (Master DB). Base assumes imports grow slowly with the market as the duty tapers to 11.5% then 11% and expires 20-Apr-2028, but stay well below the FY2025 peak because domestic capacity has expanded. Note the counter-intuitive scenario signs: the BULL case carries HIGHER imports because strong domestic demand pulls material in, while the BEAR case carries LOWER imports because weak demand and a wide domestic discount to import parity make imports uncompetitive. Stress assumes a return above the FY2025 peak on duty expiry plus Chinese surplus redirection. Exports are derived as imports plus net exports (D07), so the two trade drivers are internally consistent by construction.</t>
        </is>
      </c>
    </row>
    <row r="96">
      <c r="A96" s="13" t="inlineStr"/>
      <c r="B96" s="10" t="inlineStr"/>
      <c r="C96" s="11" t="inlineStr"/>
      <c r="D96" s="32" t="inlineStr">
        <is>
          <t>Bull Case</t>
        </is>
      </c>
      <c r="E96" s="34" t="n">
        <v>7.5</v>
      </c>
      <c r="F96" s="34" t="n">
        <v>8</v>
      </c>
      <c r="G96" s="34" t="n">
        <v>8.5</v>
      </c>
      <c r="H96" s="34" t="n">
        <v>9</v>
      </c>
      <c r="I96" s="34" t="n">
        <v>9.5</v>
      </c>
      <c r="J96" s="34" t="n">
        <v>10</v>
      </c>
      <c r="K96" s="34" t="n">
        <v>10.5</v>
      </c>
    </row>
    <row r="97">
      <c r="A97" s="13" t="inlineStr"/>
      <c r="B97" s="10" t="inlineStr"/>
      <c r="C97" s="11" t="inlineStr"/>
      <c r="D97" s="32" t="inlineStr">
        <is>
          <t>Bear Case</t>
        </is>
      </c>
      <c r="E97" s="34" t="n">
        <v>6</v>
      </c>
      <c r="F97" s="34" t="n">
        <v>5.5</v>
      </c>
      <c r="G97" s="34" t="n">
        <v>5.2</v>
      </c>
      <c r="H97" s="34" t="n">
        <v>5</v>
      </c>
      <c r="I97" s="34" t="n">
        <v>5</v>
      </c>
      <c r="J97" s="34" t="n">
        <v>5.1</v>
      </c>
      <c r="K97" s="34" t="n">
        <v>5.2</v>
      </c>
    </row>
    <row r="98">
      <c r="A98" s="13" t="inlineStr"/>
      <c r="B98" s="10" t="inlineStr"/>
      <c r="C98" s="11" t="inlineStr"/>
      <c r="D98" s="32" t="inlineStr">
        <is>
          <t>Stress Case</t>
        </is>
      </c>
      <c r="E98" s="34" t="n">
        <v>8.5</v>
      </c>
      <c r="F98" s="34" t="n">
        <v>10</v>
      </c>
      <c r="G98" s="34" t="n">
        <v>11</v>
      </c>
      <c r="H98" s="34" t="n">
        <v>11.5</v>
      </c>
      <c r="I98" s="34" t="n">
        <v>12</v>
      </c>
      <c r="J98" s="34" t="n">
        <v>12</v>
      </c>
      <c r="K98" s="34" t="n">
        <v>12</v>
      </c>
    </row>
    <row r="99">
      <c r="A99" s="13" t="inlineStr">
        <is>
          <t>D22</t>
        </is>
      </c>
      <c r="B99" s="31" t="inlineStr">
        <is>
          <t>Secondary and unattributed capacity additions</t>
        </is>
      </c>
      <c r="C99" s="11" t="inlineStr">
        <is>
          <t>Mtpa p.a.</t>
        </is>
      </c>
      <c r="D99" s="32" t="inlineStr">
        <is>
          <t>Base Case</t>
        </is>
      </c>
      <c r="E99" s="34" t="n">
        <v>11</v>
      </c>
      <c r="F99" s="34" t="n">
        <v>11</v>
      </c>
      <c r="G99" s="34" t="n">
        <v>11</v>
      </c>
      <c r="H99" s="34" t="n">
        <v>10.5</v>
      </c>
      <c r="I99" s="34" t="n">
        <v>10.5</v>
      </c>
      <c r="J99" s="34" t="n">
        <v>10</v>
      </c>
      <c r="K99" s="34" t="n">
        <v>10</v>
      </c>
      <c r="M99" s="3" t="inlineStr">
        <is>
          <t>Derived-DB</t>
        </is>
      </c>
      <c r="N99" s="13" t="inlineStr">
        <is>
          <t>Medium</t>
        </is>
      </c>
      <c r="O99" s="3" t="inlineStr">
        <is>
          <t>ESSENTIAL RECONCILIATION ITEM. The dated project tracker on sheet 07 captures only large, individually announced projects and averages 7.7 Mtpa a year over FY2027-FY2033. India actually added 20.82 Mtpa in FY2025 and 20.07 Mtpa in FY2026 (Master DB), so roughly 12.7 Mtpa a year has historically come from the secondary sector and from projects too small to be individually announced. The Master Database evidences this directly: production by 'other producers' rose from 66.61 Mt in FY2025 to 73.02 Mt in FY2026 and compounded at 10.7% over FY2022-FY2026, faster than the integrated majors' 8.1%. Base assumes 11.0 Mtpa a year tapering to 10.0, slightly below the historical rate. VALIDATION: this build produces India crude steel capacity of about 302 Mtpa by FY2031 against the National Steel Policy 2017 target of 300 Mtpa - the model reproduces the policy target from bottom-up components without being calibrated to it, which is a meaningful independent check on the capacity block. Omitting this driver would understate FY2031 capacity by about 54 Mtpa, or 18%.</t>
        </is>
      </c>
    </row>
    <row r="100">
      <c r="A100" s="13" t="inlineStr"/>
      <c r="B100" s="10" t="inlineStr"/>
      <c r="C100" s="11" t="inlineStr"/>
      <c r="D100" s="32" t="inlineStr">
        <is>
          <t>Bull Case</t>
        </is>
      </c>
      <c r="E100" s="34" t="n">
        <v>13</v>
      </c>
      <c r="F100" s="34" t="n">
        <v>13</v>
      </c>
      <c r="G100" s="34" t="n">
        <v>12.5</v>
      </c>
      <c r="H100" s="34" t="n">
        <v>12.5</v>
      </c>
      <c r="I100" s="34" t="n">
        <v>12</v>
      </c>
      <c r="J100" s="34" t="n">
        <v>12</v>
      </c>
      <c r="K100" s="34" t="n">
        <v>11.5</v>
      </c>
    </row>
    <row r="101">
      <c r="A101" s="13" t="inlineStr"/>
      <c r="B101" s="10" t="inlineStr"/>
      <c r="C101" s="11" t="inlineStr"/>
      <c r="D101" s="32" t="inlineStr">
        <is>
          <t>Bear Case</t>
        </is>
      </c>
      <c r="E101" s="34" t="n">
        <v>8</v>
      </c>
      <c r="F101" s="34" t="n">
        <v>8</v>
      </c>
      <c r="G101" s="34" t="n">
        <v>7.5</v>
      </c>
      <c r="H101" s="34" t="n">
        <v>7</v>
      </c>
      <c r="I101" s="34" t="n">
        <v>7</v>
      </c>
      <c r="J101" s="34" t="n">
        <v>6.5</v>
      </c>
      <c r="K101" s="34" t="n">
        <v>6.5</v>
      </c>
    </row>
    <row r="102">
      <c r="A102" s="13" t="inlineStr"/>
      <c r="B102" s="10" t="inlineStr"/>
      <c r="C102" s="11" t="inlineStr"/>
      <c r="D102" s="32" t="inlineStr">
        <is>
          <t>Stress Case</t>
        </is>
      </c>
      <c r="E102" s="34" t="n">
        <v>5</v>
      </c>
      <c r="F102" s="34" t="n">
        <v>4</v>
      </c>
      <c r="G102" s="34" t="n">
        <v>4</v>
      </c>
      <c r="H102" s="34" t="n">
        <v>3.5</v>
      </c>
      <c r="I102" s="34" t="n">
        <v>3.5</v>
      </c>
      <c r="J102" s="34" t="n">
        <v>3</v>
      </c>
      <c r="K102" s="34" t="n">
        <v>3</v>
      </c>
    </row>
    <row r="103">
      <c r="A103" s="13" t="inlineStr">
        <is>
          <t>D23</t>
        </is>
      </c>
      <c r="B103" s="31" t="inlineStr">
        <is>
          <t>Price sensitivity to capacity utilisation (lagged)</t>
        </is>
      </c>
      <c r="C103" s="11" t="inlineStr">
        <is>
          <t>x</t>
        </is>
      </c>
      <c r="D103" s="32" t="inlineStr">
        <is>
          <t>Base Case</t>
        </is>
      </c>
      <c r="E103" s="33" t="n">
        <v>0.4</v>
      </c>
      <c r="F103" s="33" t="n">
        <v>0.4</v>
      </c>
      <c r="G103" s="33" t="n">
        <v>0.4</v>
      </c>
      <c r="H103" s="33" t="n">
        <v>0.4</v>
      </c>
      <c r="I103" s="33" t="n">
        <v>0.4</v>
      </c>
      <c r="J103" s="33" t="n">
        <v>0.4</v>
      </c>
      <c r="K103" s="33" t="n">
        <v>0.4</v>
      </c>
      <c r="M103" s="3" t="inlineStr">
        <is>
          <t>Indicative</t>
        </is>
      </c>
      <c r="N103" s="13" t="inlineStr">
        <is>
          <t>Low</t>
        </is>
      </c>
      <c r="O103" s="3" t="inlineStr">
        <is>
          <t>THE FEEDBACK LOOP THAT MAKES THIS AN INTEGRATED MODEL RATHER THAN A SET OF PARALLEL FORECASTS. Realisation is adjusted by this elasticity multiplied by the gap between the PRIOR year's capacity utilisation and normal utilisation (D24): effective realisation = driver realisation x (1 + D23 x (utilisation[t-1] - D24)). The one-year LAG is deliberate and essential - it makes capacity, delivery rates and secondary additions genuinely affect price and therefore EBITDA, while avoiding a circular reference in Excel. Without it, capacity is decorative: the pipeline delivery factor and secondary additions would show literally zero EBITDA sensitivity, which would be a visible hole in the model. Sign: MORE capacity lowers utilisation, which lowers price, which lowers EBITDA - so faster capacity delivery is EBITDA-NEGATIVE, which is the economically correct result and the opposite of the naive intuition. Value of 0.40x is INDICATIVE and unsourced; it is held constant across scenarios for that reason and is a sensitivity axis on sheet 22. Directional support from the database: utilisation fell from 80.4% in FY2024 to 76.0% in FY2025 and domestic HRC weakened materially over that period, requiring a safeguard duty to arrest the decline.</t>
        </is>
      </c>
    </row>
    <row r="104">
      <c r="A104" s="13" t="inlineStr"/>
      <c r="B104" s="10" t="inlineStr"/>
      <c r="C104" s="11" t="inlineStr"/>
      <c r="D104" s="32" t="inlineStr">
        <is>
          <t>Bull Case</t>
        </is>
      </c>
      <c r="E104" s="33" t="n">
        <v>0.4</v>
      </c>
      <c r="F104" s="33" t="n">
        <v>0.4</v>
      </c>
      <c r="G104" s="33" t="n">
        <v>0.4</v>
      </c>
      <c r="H104" s="33" t="n">
        <v>0.4</v>
      </c>
      <c r="I104" s="33" t="n">
        <v>0.4</v>
      </c>
      <c r="J104" s="33" t="n">
        <v>0.4</v>
      </c>
      <c r="K104" s="33" t="n">
        <v>0.4</v>
      </c>
    </row>
    <row r="105">
      <c r="A105" s="13" t="inlineStr"/>
      <c r="B105" s="10" t="inlineStr"/>
      <c r="C105" s="11" t="inlineStr"/>
      <c r="D105" s="32" t="inlineStr">
        <is>
          <t>Bear Case</t>
        </is>
      </c>
      <c r="E105" s="33" t="n">
        <v>0.4</v>
      </c>
      <c r="F105" s="33" t="n">
        <v>0.4</v>
      </c>
      <c r="G105" s="33" t="n">
        <v>0.4</v>
      </c>
      <c r="H105" s="33" t="n">
        <v>0.4</v>
      </c>
      <c r="I105" s="33" t="n">
        <v>0.4</v>
      </c>
      <c r="J105" s="33" t="n">
        <v>0.4</v>
      </c>
      <c r="K105" s="33" t="n">
        <v>0.4</v>
      </c>
    </row>
    <row r="106">
      <c r="A106" s="13" t="inlineStr"/>
      <c r="B106" s="10" t="inlineStr"/>
      <c r="C106" s="11" t="inlineStr"/>
      <c r="D106" s="32" t="inlineStr">
        <is>
          <t>Stress Case</t>
        </is>
      </c>
      <c r="E106" s="33" t="n">
        <v>0.4</v>
      </c>
      <c r="F106" s="33" t="n">
        <v>0.4</v>
      </c>
      <c r="G106" s="33" t="n">
        <v>0.4</v>
      </c>
      <c r="H106" s="33" t="n">
        <v>0.4</v>
      </c>
      <c r="I106" s="33" t="n">
        <v>0.4</v>
      </c>
      <c r="J106" s="33" t="n">
        <v>0.4</v>
      </c>
      <c r="K106" s="33" t="n">
        <v>0.4</v>
      </c>
    </row>
    <row r="107">
      <c r="A107" s="13" t="inlineStr">
        <is>
          <t>D24</t>
        </is>
      </c>
      <c r="B107" s="31" t="inlineStr">
        <is>
          <t>Normal capacity utilisation</t>
        </is>
      </c>
      <c r="C107" s="11" t="inlineStr">
        <is>
          <t>%</t>
        </is>
      </c>
      <c r="D107" s="32" t="inlineStr">
        <is>
          <t>Base Case</t>
        </is>
      </c>
      <c r="E107" s="16" t="n">
        <v>0.8</v>
      </c>
      <c r="F107" s="16" t="n">
        <v>0.8</v>
      </c>
      <c r="G107" s="16" t="n">
        <v>0.8</v>
      </c>
      <c r="H107" s="16" t="n">
        <v>0.8</v>
      </c>
      <c r="I107" s="16" t="n">
        <v>0.8</v>
      </c>
      <c r="J107" s="16" t="n">
        <v>0.8</v>
      </c>
      <c r="K107" s="16" t="n">
        <v>0.8</v>
      </c>
      <c r="M107" s="3" t="inlineStr">
        <is>
          <t>Derived-DB</t>
        </is>
      </c>
      <c r="N107" s="13" t="inlineStr">
        <is>
          <t>Medium</t>
        </is>
      </c>
      <c r="O107" s="3" t="inlineStr">
        <is>
          <t>The utilisation level at which realisation equals the unadjusted driver value, i.e. the neutral point of the feedback in D23. Anchored on actual Indian utilisation from the Master Database: 80.4% in FY2024, 76.0% in FY2025 and 76.4% in FY2026. FY2024's 80.4% is the recent high and is adopted as 'normal'. Held constant across scenarios because it is a structural property of the industry, not a cyclical variable.</t>
        </is>
      </c>
    </row>
    <row r="108">
      <c r="A108" s="13" t="inlineStr"/>
      <c r="B108" s="10" t="inlineStr"/>
      <c r="C108" s="11" t="inlineStr"/>
      <c r="D108" s="32" t="inlineStr">
        <is>
          <t>Bull Case</t>
        </is>
      </c>
      <c r="E108" s="16" t="n">
        <v>0.8</v>
      </c>
      <c r="F108" s="16" t="n">
        <v>0.8</v>
      </c>
      <c r="G108" s="16" t="n">
        <v>0.8</v>
      </c>
      <c r="H108" s="16" t="n">
        <v>0.8</v>
      </c>
      <c r="I108" s="16" t="n">
        <v>0.8</v>
      </c>
      <c r="J108" s="16" t="n">
        <v>0.8</v>
      </c>
      <c r="K108" s="16" t="n">
        <v>0.8</v>
      </c>
    </row>
    <row r="109">
      <c r="A109" s="13" t="inlineStr"/>
      <c r="B109" s="10" t="inlineStr"/>
      <c r="C109" s="11" t="inlineStr"/>
      <c r="D109" s="32" t="inlineStr">
        <is>
          <t>Bear Case</t>
        </is>
      </c>
      <c r="E109" s="16" t="n">
        <v>0.8</v>
      </c>
      <c r="F109" s="16" t="n">
        <v>0.8</v>
      </c>
      <c r="G109" s="16" t="n">
        <v>0.8</v>
      </c>
      <c r="H109" s="16" t="n">
        <v>0.8</v>
      </c>
      <c r="I109" s="16" t="n">
        <v>0.8</v>
      </c>
      <c r="J109" s="16" t="n">
        <v>0.8</v>
      </c>
      <c r="K109" s="16" t="n">
        <v>0.8</v>
      </c>
    </row>
    <row r="110">
      <c r="A110" s="13" t="inlineStr"/>
      <c r="B110" s="10" t="inlineStr"/>
      <c r="C110" s="11" t="inlineStr"/>
      <c r="D110" s="32" t="inlineStr">
        <is>
          <t>Stress Case</t>
        </is>
      </c>
      <c r="E110" s="16" t="n">
        <v>0.8</v>
      </c>
      <c r="F110" s="16" t="n">
        <v>0.8</v>
      </c>
      <c r="G110" s="16" t="n">
        <v>0.8</v>
      </c>
      <c r="H110" s="16" t="n">
        <v>0.8</v>
      </c>
      <c r="I110" s="16" t="n">
        <v>0.8</v>
      </c>
      <c r="J110" s="16" t="n">
        <v>0.8</v>
      </c>
      <c r="K110" s="16" t="n">
        <v>0.8</v>
      </c>
    </row>
    <row r="111">
      <c r="A111" s="13" t="inlineStr">
        <is>
          <t>D25</t>
        </is>
      </c>
      <c r="B111" s="31" t="inlineStr">
        <is>
          <t>Maximum practical capacity utilisation</t>
        </is>
      </c>
      <c r="C111" s="11" t="inlineStr">
        <is>
          <t>%</t>
        </is>
      </c>
      <c r="D111" s="32" t="inlineStr">
        <is>
          <t>Base Case</t>
        </is>
      </c>
      <c r="E111" s="16" t="n">
        <v>0.92</v>
      </c>
      <c r="F111" s="16" t="n">
        <v>0.92</v>
      </c>
      <c r="G111" s="16" t="n">
        <v>0.92</v>
      </c>
      <c r="H111" s="16" t="n">
        <v>0.92</v>
      </c>
      <c r="I111" s="16" t="n">
        <v>0.92</v>
      </c>
      <c r="J111" s="16" t="n">
        <v>0.92</v>
      </c>
      <c r="K111" s="16" t="n">
        <v>0.92</v>
      </c>
      <c r="M111" s="3" t="inlineStr">
        <is>
          <t>Indicative</t>
        </is>
      </c>
      <c r="N111" s="13" t="inlineStr">
        <is>
          <t>Low</t>
        </is>
      </c>
      <c r="O111" s="3" t="inlineStr">
        <is>
          <t>Caps crude steel production at capacity multiplied by this factor. Where demand-derived production would exceed the cap, the shortfall is met by additional imports rather than by impossible domestic output, which keeps the trade block internally consistent. INDICATIVE: 92% allows for planned maintenance, relining and the fact that a national aggregate can never run at nameplate. Evidence that individual assets can exceed nameplate: the Master Database records SAIL's Rourkela at 103.8% and Durgapur at 101.6% average utilisation over FY2021-FY2025, but SAIL's Alloy Steels Plant averaged only 39.8%, so the national aggregate is well below the best asset. In the base case the cap does not bind (peak utilisation 84.0% in FY2033), which is itself an important finding: India is not capacity-constrained on this demand path.</t>
        </is>
      </c>
    </row>
    <row r="112">
      <c r="A112" s="13" t="inlineStr"/>
      <c r="B112" s="10" t="inlineStr"/>
      <c r="C112" s="11" t="inlineStr"/>
      <c r="D112" s="32" t="inlineStr">
        <is>
          <t>Bull Case</t>
        </is>
      </c>
      <c r="E112" s="16" t="n">
        <v>0.93</v>
      </c>
      <c r="F112" s="16" t="n">
        <v>0.93</v>
      </c>
      <c r="G112" s="16" t="n">
        <v>0.93</v>
      </c>
      <c r="H112" s="16" t="n">
        <v>0.93</v>
      </c>
      <c r="I112" s="16" t="n">
        <v>0.93</v>
      </c>
      <c r="J112" s="16" t="n">
        <v>0.93</v>
      </c>
      <c r="K112" s="16" t="n">
        <v>0.93</v>
      </c>
    </row>
    <row r="113">
      <c r="A113" s="13" t="inlineStr"/>
      <c r="B113" s="10" t="inlineStr"/>
      <c r="C113" s="11" t="inlineStr"/>
      <c r="D113" s="32" t="inlineStr">
        <is>
          <t>Bear Case</t>
        </is>
      </c>
      <c r="E113" s="16" t="n">
        <v>0.92</v>
      </c>
      <c r="F113" s="16" t="n">
        <v>0.92</v>
      </c>
      <c r="G113" s="16" t="n">
        <v>0.92</v>
      </c>
      <c r="H113" s="16" t="n">
        <v>0.92</v>
      </c>
      <c r="I113" s="16" t="n">
        <v>0.92</v>
      </c>
      <c r="J113" s="16" t="n">
        <v>0.92</v>
      </c>
      <c r="K113" s="16" t="n">
        <v>0.92</v>
      </c>
    </row>
    <row r="114">
      <c r="A114" s="13" t="inlineStr"/>
      <c r="B114" s="10" t="inlineStr"/>
      <c r="C114" s="11" t="inlineStr"/>
      <c r="D114" s="32" t="inlineStr">
        <is>
          <t>Stress Case</t>
        </is>
      </c>
      <c r="E114" s="16" t="n">
        <v>0.92</v>
      </c>
      <c r="F114" s="16" t="n">
        <v>0.92</v>
      </c>
      <c r="G114" s="16" t="n">
        <v>0.92</v>
      </c>
      <c r="H114" s="16" t="n">
        <v>0.92</v>
      </c>
      <c r="I114" s="16" t="n">
        <v>0.92</v>
      </c>
      <c r="J114" s="16" t="n">
        <v>0.92</v>
      </c>
      <c r="K114" s="16" t="n">
        <v>0.92</v>
      </c>
    </row>
    <row r="115">
      <c r="A115" s="13" t="inlineStr">
        <is>
          <t>D26</t>
        </is>
      </c>
      <c r="B115" s="31" t="inlineStr">
        <is>
          <t>Depreciation and amortisation</t>
        </is>
      </c>
      <c r="C115" s="11" t="inlineStr">
        <is>
          <t>% of revenue</t>
        </is>
      </c>
      <c r="D115" s="32" t="inlineStr">
        <is>
          <t>Base Case</t>
        </is>
      </c>
      <c r="E115" s="34" t="n">
        <v>0.053</v>
      </c>
      <c r="F115" s="34" t="n">
        <v>0.053</v>
      </c>
      <c r="G115" s="34" t="n">
        <v>0.053</v>
      </c>
      <c r="H115" s="34" t="n">
        <v>0.053</v>
      </c>
      <c r="I115" s="34" t="n">
        <v>0.053</v>
      </c>
      <c r="J115" s="34" t="n">
        <v>0.053</v>
      </c>
      <c r="K115" s="34" t="n">
        <v>0.053</v>
      </c>
      <c r="M115" s="3" t="inlineStr">
        <is>
          <t>Derived-DB</t>
        </is>
      </c>
      <c r="N115" s="13" t="inlineStr">
        <is>
          <t>High</t>
        </is>
      </c>
      <c r="O115" s="3" t="inlineStr">
        <is>
          <t>DERIVED FROM THE MASTER DATABASE: FY2026 consolidated depreciation and amortisation for the four majors totals Rs 30,715 cr on Rs 5,81,646 cr of revenue, i.e. 5.28%. The ratio is remarkably tight across companies - Tata Steel 5.15%, JSW Steel 5.18%, SAIL 5.40%, Jindal Steel 5.96% - which gives high confidence that 5.3% is representative rather than an artefact. Bear and stress carry a slightly higher ratio because depreciation is fixed in rupee terms while revenue falls. Used only to compute taxable EBIT; it does not affect EBITDA.</t>
        </is>
      </c>
    </row>
    <row r="116">
      <c r="A116" s="13" t="inlineStr"/>
      <c r="B116" s="10" t="inlineStr"/>
      <c r="C116" s="11" t="inlineStr"/>
      <c r="D116" s="32" t="inlineStr">
        <is>
          <t>Bull Case</t>
        </is>
      </c>
      <c r="E116" s="34" t="n">
        <v>0.053</v>
      </c>
      <c r="F116" s="34" t="n">
        <v>0.053</v>
      </c>
      <c r="G116" s="34" t="n">
        <v>0.053</v>
      </c>
      <c r="H116" s="34" t="n">
        <v>0.053</v>
      </c>
      <c r="I116" s="34" t="n">
        <v>0.053</v>
      </c>
      <c r="J116" s="34" t="n">
        <v>0.053</v>
      </c>
      <c r="K116" s="34" t="n">
        <v>0.053</v>
      </c>
    </row>
    <row r="117">
      <c r="A117" s="13" t="inlineStr"/>
      <c r="B117" s="10" t="inlineStr"/>
      <c r="C117" s="11" t="inlineStr"/>
      <c r="D117" s="32" t="inlineStr">
        <is>
          <t>Bear Case</t>
        </is>
      </c>
      <c r="E117" s="34" t="n">
        <v>0.055</v>
      </c>
      <c r="F117" s="34" t="n">
        <v>0.055</v>
      </c>
      <c r="G117" s="34" t="n">
        <v>0.055</v>
      </c>
      <c r="H117" s="34" t="n">
        <v>0.055</v>
      </c>
      <c r="I117" s="34" t="n">
        <v>0.055</v>
      </c>
      <c r="J117" s="34" t="n">
        <v>0.055</v>
      </c>
      <c r="K117" s="34" t="n">
        <v>0.055</v>
      </c>
    </row>
    <row r="118">
      <c r="A118" s="13" t="inlineStr"/>
      <c r="B118" s="10" t="inlineStr"/>
      <c r="C118" s="11" t="inlineStr"/>
      <c r="D118" s="32" t="inlineStr">
        <is>
          <t>Stress Case</t>
        </is>
      </c>
      <c r="E118" s="34" t="n">
        <v>0.057</v>
      </c>
      <c r="F118" s="34" t="n">
        <v>0.057</v>
      </c>
      <c r="G118" s="34" t="n">
        <v>0.057</v>
      </c>
      <c r="H118" s="34" t="n">
        <v>0.057</v>
      </c>
      <c r="I118" s="34" t="n">
        <v>0.057</v>
      </c>
      <c r="J118" s="34" t="n">
        <v>0.057</v>
      </c>
      <c r="K118" s="34" t="n">
        <v>0.057</v>
      </c>
    </row>
    <row r="120">
      <c r="B120" s="5" t="inlineStr">
        <is>
          <t>SECTION B - ACTIVE DRIVERS (resolved by ScenID; THIS is what the model reads)</t>
        </is>
      </c>
    </row>
    <row r="121" ht="30" customHeight="1">
      <c r="A121" s="7" t="inlineStr"/>
      <c r="B121" s="8" t="inlineStr">
        <is>
          <t>Line item</t>
        </is>
      </c>
      <c r="C121" s="8" t="inlineStr">
        <is>
          <t>Unit</t>
        </is>
      </c>
      <c r="D121" s="7" t="inlineStr">
        <is>
          <t>FY2026A</t>
        </is>
      </c>
      <c r="E121" s="7" t="inlineStr">
        <is>
          <t>FY2027E</t>
        </is>
      </c>
      <c r="F121" s="7" t="inlineStr">
        <is>
          <t>FY2028E</t>
        </is>
      </c>
      <c r="G121" s="7" t="inlineStr">
        <is>
          <t>FY2029E</t>
        </is>
      </c>
      <c r="H121" s="7" t="inlineStr">
        <is>
          <t>FY2030E</t>
        </is>
      </c>
      <c r="I121" s="7" t="inlineStr">
        <is>
          <t>FY2031E</t>
        </is>
      </c>
      <c r="J121" s="7" t="inlineStr">
        <is>
          <t>FY2032E</t>
        </is>
      </c>
      <c r="K121" s="7" t="inlineStr">
        <is>
          <t>FY2033E</t>
        </is>
      </c>
      <c r="L121" s="7" t="inlineStr">
        <is>
          <t>CAGR</t>
        </is>
      </c>
      <c r="M121" s="8" t="inlineStr">
        <is>
          <t>Source</t>
        </is>
      </c>
      <c r="N121" s="7" t="inlineStr">
        <is>
          <t>Conf.</t>
        </is>
      </c>
      <c r="O121" s="8" t="inlineStr">
        <is>
          <t>Notes</t>
        </is>
      </c>
    </row>
    <row r="122">
      <c r="A122" s="36" t="inlineStr">
        <is>
          <t>D01</t>
        </is>
      </c>
      <c r="B122" s="10" t="inlineStr">
        <is>
          <t>India real GDP growth</t>
        </is>
      </c>
      <c r="C122" s="11" t="inlineStr">
        <is>
          <t>%</t>
        </is>
      </c>
      <c r="E122" s="16">
        <f>INDEX(E15:E18,ScenID)</f>
        <v/>
      </c>
      <c r="F122" s="16">
        <f>INDEX(F15:F18,ScenID)</f>
        <v/>
      </c>
      <c r="G122" s="16">
        <f>INDEX(G15:G18,ScenID)</f>
        <v/>
      </c>
      <c r="H122" s="16">
        <f>INDEX(H15:H18,ScenID)</f>
        <v/>
      </c>
      <c r="I122" s="16">
        <f>INDEX(I15:I18,ScenID)</f>
        <v/>
      </c>
      <c r="J122" s="16">
        <f>INDEX(J15:J18,ScenID)</f>
        <v/>
      </c>
      <c r="K122" s="16">
        <f>INDEX(K15:K18,ScenID)</f>
        <v/>
      </c>
      <c r="M122" s="3" t="inlineStr">
        <is>
          <t>RBI-Jun26</t>
        </is>
      </c>
      <c r="N122" s="13" t="inlineStr">
        <is>
          <t>High</t>
        </is>
      </c>
      <c r="O122" s="3" t="inlineStr">
        <is>
          <t>Resolves Section A rows 15-18 by ScenID.</t>
        </is>
      </c>
    </row>
    <row r="123">
      <c r="A123" s="36" t="inlineStr">
        <is>
          <t>D02</t>
        </is>
      </c>
      <c r="B123" s="10" t="inlineStr">
        <is>
          <t>Steel demand elasticity to real GDP</t>
        </is>
      </c>
      <c r="C123" s="11" t="inlineStr">
        <is>
          <t>x</t>
        </is>
      </c>
      <c r="E123" s="33">
        <f>INDEX(E19:E22,ScenID)</f>
        <v/>
      </c>
      <c r="F123" s="33">
        <f>INDEX(F19:F22,ScenID)</f>
        <v/>
      </c>
      <c r="G123" s="33">
        <f>INDEX(G19:G22,ScenID)</f>
        <v/>
      </c>
      <c r="H123" s="33">
        <f>INDEX(H19:H22,ScenID)</f>
        <v/>
      </c>
      <c r="I123" s="33">
        <f>INDEX(I19:I22,ScenID)</f>
        <v/>
      </c>
      <c r="J123" s="33">
        <f>INDEX(J19:J22,ScenID)</f>
        <v/>
      </c>
      <c r="K123" s="33">
        <f>INDEX(K19:K22,ScenID)</f>
        <v/>
      </c>
      <c r="M123" s="3" t="inlineStr">
        <is>
          <t>Derived-DB</t>
        </is>
      </c>
      <c r="N123" s="13" t="inlineStr">
        <is>
          <t>High</t>
        </is>
      </c>
      <c r="O123" s="3" t="inlineStr">
        <is>
          <t>Resolves Section A rows 19-22 by ScenID.</t>
        </is>
      </c>
    </row>
    <row r="124">
      <c r="A124" s="36" t="inlineStr">
        <is>
          <t>D03</t>
        </is>
      </c>
      <c r="B124" s="10" t="inlineStr">
        <is>
          <t>USD/INR average</t>
        </is>
      </c>
      <c r="C124" s="11" t="inlineStr">
        <is>
          <t>Rs/US$</t>
        </is>
      </c>
      <c r="E124" s="34">
        <f>INDEX(E23:E26,ScenID)</f>
        <v/>
      </c>
      <c r="F124" s="34">
        <f>INDEX(F23:F26,ScenID)</f>
        <v/>
      </c>
      <c r="G124" s="34">
        <f>INDEX(G23:G26,ScenID)</f>
        <v/>
      </c>
      <c r="H124" s="34">
        <f>INDEX(H23:H26,ScenID)</f>
        <v/>
      </c>
      <c r="I124" s="34">
        <f>INDEX(I23:I26,ScenID)</f>
        <v/>
      </c>
      <c r="J124" s="34">
        <f>INDEX(J23:J26,ScenID)</f>
        <v/>
      </c>
      <c r="K124" s="34">
        <f>INDEX(K23:K26,ScenID)</f>
        <v/>
      </c>
      <c r="M124" s="3" t="inlineStr">
        <is>
          <t>IDBI-22Jun26</t>
        </is>
      </c>
      <c r="N124" s="13" t="inlineStr">
        <is>
          <t>High</t>
        </is>
      </c>
      <c r="O124" s="3" t="inlineStr">
        <is>
          <t>Resolves Section A rows 23-26 by ScenID.</t>
        </is>
      </c>
    </row>
    <row r="125">
      <c r="A125" s="36" t="inlineStr">
        <is>
          <t>D04</t>
        </is>
      </c>
      <c r="B125" s="10" t="inlineStr">
        <is>
          <t>CPI inflation</t>
        </is>
      </c>
      <c r="C125" s="11" t="inlineStr">
        <is>
          <t>%</t>
        </is>
      </c>
      <c r="E125" s="16">
        <f>INDEX(E27:E30,ScenID)</f>
        <v/>
      </c>
      <c r="F125" s="16">
        <f>INDEX(F27:F30,ScenID)</f>
        <v/>
      </c>
      <c r="G125" s="16">
        <f>INDEX(G27:G30,ScenID)</f>
        <v/>
      </c>
      <c r="H125" s="16">
        <f>INDEX(H27:H30,ScenID)</f>
        <v/>
      </c>
      <c r="I125" s="16">
        <f>INDEX(I27:I30,ScenID)</f>
        <v/>
      </c>
      <c r="J125" s="16">
        <f>INDEX(J27:J30,ScenID)</f>
        <v/>
      </c>
      <c r="K125" s="16">
        <f>INDEX(K27:K30,ScenID)</f>
        <v/>
      </c>
      <c r="M125" s="3" t="inlineStr">
        <is>
          <t>RBI-Jun26</t>
        </is>
      </c>
      <c r="N125" s="13" t="inlineStr">
        <is>
          <t>High</t>
        </is>
      </c>
      <c r="O125" s="3" t="inlineStr">
        <is>
          <t>Resolves Section A rows 27-30 by ScenID.</t>
        </is>
      </c>
    </row>
    <row r="126">
      <c r="A126" s="36" t="inlineStr">
        <is>
          <t>D05</t>
        </is>
      </c>
      <c r="B126" s="10" t="inlineStr">
        <is>
          <t>Announced pipeline delivery factor</t>
        </is>
      </c>
      <c r="C126" s="11" t="inlineStr">
        <is>
          <t>%</t>
        </is>
      </c>
      <c r="E126" s="16">
        <f>INDEX(E31:E34,ScenID)</f>
        <v/>
      </c>
      <c r="F126" s="16">
        <f>INDEX(F31:F34,ScenID)</f>
        <v/>
      </c>
      <c r="G126" s="16">
        <f>INDEX(G31:G34,ScenID)</f>
        <v/>
      </c>
      <c r="H126" s="16">
        <f>INDEX(H31:H34,ScenID)</f>
        <v/>
      </c>
      <c r="I126" s="16">
        <f>INDEX(I31:I34,ScenID)</f>
        <v/>
      </c>
      <c r="J126" s="16">
        <f>INDEX(J31:J34,ScenID)</f>
        <v/>
      </c>
      <c r="K126" s="16">
        <f>INDEX(K31:K34,ScenID)</f>
        <v/>
      </c>
      <c r="M126" s="3" t="inlineStr">
        <is>
          <t>Derived-DB</t>
        </is>
      </c>
      <c r="N126" s="13" t="inlineStr">
        <is>
          <t>Medium</t>
        </is>
      </c>
      <c r="O126" s="3" t="inlineStr">
        <is>
          <t>Resolves Section A rows 31-34 by ScenID.</t>
        </is>
      </c>
    </row>
    <row r="127">
      <c r="A127" s="36" t="inlineStr">
        <is>
          <t>D06</t>
        </is>
      </c>
      <c r="B127" s="10" t="inlineStr">
        <is>
          <t>Crude-to-finished steel ratio</t>
        </is>
      </c>
      <c r="C127" s="11" t="inlineStr">
        <is>
          <t>x</t>
        </is>
      </c>
      <c r="E127" s="33">
        <f>INDEX(E35:E38,ScenID)</f>
        <v/>
      </c>
      <c r="F127" s="33">
        <f>INDEX(F35:F38,ScenID)</f>
        <v/>
      </c>
      <c r="G127" s="33">
        <f>INDEX(G35:G38,ScenID)</f>
        <v/>
      </c>
      <c r="H127" s="33">
        <f>INDEX(H35:H38,ScenID)</f>
        <v/>
      </c>
      <c r="I127" s="33">
        <f>INDEX(I35:I38,ScenID)</f>
        <v/>
      </c>
      <c r="J127" s="33">
        <f>INDEX(J35:J38,ScenID)</f>
        <v/>
      </c>
      <c r="K127" s="33">
        <f>INDEX(K35:K38,ScenID)</f>
        <v/>
      </c>
      <c r="M127" s="3" t="inlineStr">
        <is>
          <t>Derived-DB</t>
        </is>
      </c>
      <c r="N127" s="13" t="inlineStr">
        <is>
          <t>High</t>
        </is>
      </c>
      <c r="O127" s="3" t="inlineStr">
        <is>
          <t>Resolves Section A rows 35-38 by ScenID.</t>
        </is>
      </c>
    </row>
    <row r="128">
      <c r="A128" s="36" t="inlineStr">
        <is>
          <t>D07</t>
        </is>
      </c>
      <c r="B128" s="10" t="inlineStr">
        <is>
          <t>Net finished steel exports</t>
        </is>
      </c>
      <c r="C128" s="11" t="inlineStr">
        <is>
          <t>Mt</t>
        </is>
      </c>
      <c r="E128" s="34">
        <f>INDEX(E39:E42,ScenID)</f>
        <v/>
      </c>
      <c r="F128" s="34">
        <f>INDEX(F39:F42,ScenID)</f>
        <v/>
      </c>
      <c r="G128" s="34">
        <f>INDEX(G39:G42,ScenID)</f>
        <v/>
      </c>
      <c r="H128" s="34">
        <f>INDEX(H39:H42,ScenID)</f>
        <v/>
      </c>
      <c r="I128" s="34">
        <f>INDEX(I39:I42,ScenID)</f>
        <v/>
      </c>
      <c r="J128" s="34">
        <f>INDEX(J39:J42,ScenID)</f>
        <v/>
      </c>
      <c r="K128" s="34">
        <f>INDEX(K39:K42,ScenID)</f>
        <v/>
      </c>
      <c r="M128" s="3" t="inlineStr">
        <is>
          <t>Derived-DB</t>
        </is>
      </c>
      <c r="N128" s="13" t="inlineStr">
        <is>
          <t>Medium</t>
        </is>
      </c>
      <c r="O128" s="3" t="inlineStr">
        <is>
          <t>Resolves Section A rows 39-42 by ScenID.</t>
        </is>
      </c>
    </row>
    <row r="129">
      <c r="A129" s="36" t="inlineStr">
        <is>
          <t>D08</t>
        </is>
      </c>
      <c r="B129" s="10" t="inlineStr">
        <is>
          <t>Variation in stock</t>
        </is>
      </c>
      <c r="C129" s="11" t="inlineStr">
        <is>
          <t>Mt</t>
        </is>
      </c>
      <c r="E129" s="34">
        <f>INDEX(E43:E46,ScenID)</f>
        <v/>
      </c>
      <c r="F129" s="34">
        <f>INDEX(F43:F46,ScenID)</f>
        <v/>
      </c>
      <c r="G129" s="34">
        <f>INDEX(G43:G46,ScenID)</f>
        <v/>
      </c>
      <c r="H129" s="34">
        <f>INDEX(H43:H46,ScenID)</f>
        <v/>
      </c>
      <c r="I129" s="34">
        <f>INDEX(I43:I46,ScenID)</f>
        <v/>
      </c>
      <c r="J129" s="34">
        <f>INDEX(J43:J46,ScenID)</f>
        <v/>
      </c>
      <c r="K129" s="34">
        <f>INDEX(K43:K46,ScenID)</f>
        <v/>
      </c>
      <c r="M129" s="3" t="inlineStr">
        <is>
          <t>Derived-DB</t>
        </is>
      </c>
      <c r="N129" s="13" t="inlineStr">
        <is>
          <t>Medium</t>
        </is>
      </c>
      <c r="O129" s="3" t="inlineStr">
        <is>
          <t>Resolves Section A rows 43-46 by ScenID.</t>
        </is>
      </c>
    </row>
    <row r="130">
      <c r="A130" s="36" t="inlineStr">
        <is>
          <t>D09</t>
        </is>
      </c>
      <c r="B130" s="10" t="inlineStr">
        <is>
          <t>Blended industry realisation</t>
        </is>
      </c>
      <c r="C130" s="11" t="inlineStr">
        <is>
          <t>Rs/t</t>
        </is>
      </c>
      <c r="E130" s="35">
        <f>INDEX(E47:E50,ScenID)</f>
        <v/>
      </c>
      <c r="F130" s="35">
        <f>INDEX(F47:F50,ScenID)</f>
        <v/>
      </c>
      <c r="G130" s="35">
        <f>INDEX(G47:G50,ScenID)</f>
        <v/>
      </c>
      <c r="H130" s="35">
        <f>INDEX(H47:H50,ScenID)</f>
        <v/>
      </c>
      <c r="I130" s="35">
        <f>INDEX(I47:I50,ScenID)</f>
        <v/>
      </c>
      <c r="J130" s="35">
        <f>INDEX(J47:J50,ScenID)</f>
        <v/>
      </c>
      <c r="K130" s="35">
        <f>INDEX(K47:K50,ScenID)</f>
        <v/>
      </c>
      <c r="M130" s="3" t="inlineStr">
        <is>
          <t>Derived-DB</t>
        </is>
      </c>
      <c r="N130" s="13" t="inlineStr">
        <is>
          <t>Medium</t>
        </is>
      </c>
      <c r="O130" s="3" t="inlineStr">
        <is>
          <t>Resolves Section A rows 47-50 by ScenID.</t>
        </is>
      </c>
    </row>
    <row r="131">
      <c r="A131" s="36" t="inlineStr">
        <is>
          <t>D10</t>
        </is>
      </c>
      <c r="B131" s="10" t="inlineStr">
        <is>
          <t>Iron ore 62% Fe CFR China</t>
        </is>
      </c>
      <c r="C131" s="11" t="inlineStr">
        <is>
          <t>US$/dmt</t>
        </is>
      </c>
      <c r="E131" s="34">
        <f>INDEX(E51:E54,ScenID)</f>
        <v/>
      </c>
      <c r="F131" s="34">
        <f>INDEX(F51:F54,ScenID)</f>
        <v/>
      </c>
      <c r="G131" s="34">
        <f>INDEX(G51:G54,ScenID)</f>
        <v/>
      </c>
      <c r="H131" s="34">
        <f>INDEX(H51:H54,ScenID)</f>
        <v/>
      </c>
      <c r="I131" s="34">
        <f>INDEX(I51:I54,ScenID)</f>
        <v/>
      </c>
      <c r="J131" s="34">
        <f>INDEX(J51:J54,ScenID)</f>
        <v/>
      </c>
      <c r="K131" s="34">
        <f>INDEX(K51:K54,ScenID)</f>
        <v/>
      </c>
      <c r="M131" s="3" t="inlineStr">
        <is>
          <t>S17</t>
        </is>
      </c>
      <c r="N131" s="13" t="inlineStr">
        <is>
          <t>High</t>
        </is>
      </c>
      <c r="O131" s="3" t="inlineStr">
        <is>
          <t>Resolves Section A rows 51-54 by ScenID.</t>
        </is>
      </c>
    </row>
    <row r="132">
      <c r="A132" s="36" t="inlineStr">
        <is>
          <t>D11</t>
        </is>
      </c>
      <c r="B132" s="10" t="inlineStr">
        <is>
          <t>Premium HCC coking coal FOB Australia</t>
        </is>
      </c>
      <c r="C132" s="11" t="inlineStr">
        <is>
          <t>US$/t</t>
        </is>
      </c>
      <c r="E132" s="34">
        <f>INDEX(E55:E58,ScenID)</f>
        <v/>
      </c>
      <c r="F132" s="34">
        <f>INDEX(F55:F58,ScenID)</f>
        <v/>
      </c>
      <c r="G132" s="34">
        <f>INDEX(G55:G58,ScenID)</f>
        <v/>
      </c>
      <c r="H132" s="34">
        <f>INDEX(H55:H58,ScenID)</f>
        <v/>
      </c>
      <c r="I132" s="34">
        <f>INDEX(I55:I58,ScenID)</f>
        <v/>
      </c>
      <c r="J132" s="34">
        <f>INDEX(J55:J58,ScenID)</f>
        <v/>
      </c>
      <c r="K132" s="34">
        <f>INDEX(K55:K58,ScenID)</f>
        <v/>
      </c>
      <c r="M132" s="3" t="inlineStr">
        <is>
          <t>S01</t>
        </is>
      </c>
      <c r="N132" s="13" t="inlineStr">
        <is>
          <t>Medium</t>
        </is>
      </c>
      <c r="O132" s="3" t="inlineStr">
        <is>
          <t>Resolves Section A rows 55-58 by ScenID.</t>
        </is>
      </c>
    </row>
    <row r="133">
      <c r="A133" s="36" t="inlineStr">
        <is>
          <t>D12</t>
        </is>
      </c>
      <c r="B133" s="10" t="inlineStr">
        <is>
          <t>Conversion cost inflation</t>
        </is>
      </c>
      <c r="C133" s="11" t="inlineStr">
        <is>
          <t>%</t>
        </is>
      </c>
      <c r="E133" s="16">
        <f>INDEX(E59:E62,ScenID)</f>
        <v/>
      </c>
      <c r="F133" s="16">
        <f>INDEX(F59:F62,ScenID)</f>
        <v/>
      </c>
      <c r="G133" s="16">
        <f>INDEX(G59:G62,ScenID)</f>
        <v/>
      </c>
      <c r="H133" s="16">
        <f>INDEX(H59:H62,ScenID)</f>
        <v/>
      </c>
      <c r="I133" s="16">
        <f>INDEX(I59:I62,ScenID)</f>
        <v/>
      </c>
      <c r="J133" s="16">
        <f>INDEX(J59:J62,ScenID)</f>
        <v/>
      </c>
      <c r="K133" s="16">
        <f>INDEX(K59:K62,ScenID)</f>
        <v/>
      </c>
      <c r="M133" s="3" t="inlineStr">
        <is>
          <t>RBI-Jun26</t>
        </is>
      </c>
      <c r="N133" s="13" t="inlineStr">
        <is>
          <t>Medium</t>
        </is>
      </c>
      <c r="O133" s="3" t="inlineStr">
        <is>
          <t>Resolves Section A rows 59-62 by ScenID.</t>
        </is>
      </c>
    </row>
    <row r="134">
      <c r="A134" s="36" t="inlineStr">
        <is>
          <t>D13</t>
        </is>
      </c>
      <c r="B134" s="10" t="inlineStr">
        <is>
          <t>Raw material share of cash cost</t>
        </is>
      </c>
      <c r="C134" s="11" t="inlineStr">
        <is>
          <t>%</t>
        </is>
      </c>
      <c r="E134" s="16">
        <f>INDEX(E63:E66,ScenID)</f>
        <v/>
      </c>
      <c r="F134" s="16">
        <f>INDEX(F63:F66,ScenID)</f>
        <v/>
      </c>
      <c r="G134" s="16">
        <f>INDEX(G63:G66,ScenID)</f>
        <v/>
      </c>
      <c r="H134" s="16">
        <f>INDEX(H63:H66,ScenID)</f>
        <v/>
      </c>
      <c r="I134" s="16">
        <f>INDEX(I63:I66,ScenID)</f>
        <v/>
      </c>
      <c r="J134" s="16">
        <f>INDEX(J63:J66,ScenID)</f>
        <v/>
      </c>
      <c r="K134" s="16">
        <f>INDEX(K63:K66,ScenID)</f>
        <v/>
      </c>
      <c r="M134" s="3" t="inlineStr">
        <is>
          <t>Indicative</t>
        </is>
      </c>
      <c r="N134" s="13" t="inlineStr">
        <is>
          <t>Low</t>
        </is>
      </c>
      <c r="O134" s="3" t="inlineStr">
        <is>
          <t>Resolves Section A rows 63-66 by ScenID.</t>
        </is>
      </c>
    </row>
    <row r="135">
      <c r="A135" s="36" t="inlineStr">
        <is>
          <t>D14</t>
        </is>
      </c>
      <c r="B135" s="10" t="inlineStr">
        <is>
          <t>Iron ore weight in the raw material basket</t>
        </is>
      </c>
      <c r="C135" s="11" t="inlineStr">
        <is>
          <t>%</t>
        </is>
      </c>
      <c r="E135" s="16">
        <f>INDEX(E67:E70,ScenID)</f>
        <v/>
      </c>
      <c r="F135" s="16">
        <f>INDEX(F67:F70,ScenID)</f>
        <v/>
      </c>
      <c r="G135" s="16">
        <f>INDEX(G67:G70,ScenID)</f>
        <v/>
      </c>
      <c r="H135" s="16">
        <f>INDEX(H67:H70,ScenID)</f>
        <v/>
      </c>
      <c r="I135" s="16">
        <f>INDEX(I67:I70,ScenID)</f>
        <v/>
      </c>
      <c r="J135" s="16">
        <f>INDEX(J67:J70,ScenID)</f>
        <v/>
      </c>
      <c r="K135" s="16">
        <f>INDEX(K67:K70,ScenID)</f>
        <v/>
      </c>
      <c r="M135" s="3" t="inlineStr">
        <is>
          <t>Indicative</t>
        </is>
      </c>
      <c r="N135" s="13" t="inlineStr">
        <is>
          <t>Low</t>
        </is>
      </c>
      <c r="O135" s="3" t="inlineStr">
        <is>
          <t>Resolves Section A rows 67-70 by ScenID.</t>
        </is>
      </c>
    </row>
    <row r="136">
      <c r="A136" s="36" t="inlineStr">
        <is>
          <t>D15</t>
        </is>
      </c>
      <c r="B136" s="10" t="inlineStr">
        <is>
          <t>Effective tax rate</t>
        </is>
      </c>
      <c r="C136" s="11" t="inlineStr">
        <is>
          <t>%</t>
        </is>
      </c>
      <c r="E136" s="16">
        <f>INDEX(E71:E74,ScenID)</f>
        <v/>
      </c>
      <c r="F136" s="16">
        <f>INDEX(F71:F74,ScenID)</f>
        <v/>
      </c>
      <c r="G136" s="16">
        <f>INDEX(G71:G74,ScenID)</f>
        <v/>
      </c>
      <c r="H136" s="16">
        <f>INDEX(H71:H74,ScenID)</f>
        <v/>
      </c>
      <c r="I136" s="16">
        <f>INDEX(I71:I74,ScenID)</f>
        <v/>
      </c>
      <c r="J136" s="16">
        <f>INDEX(J71:J74,ScenID)</f>
        <v/>
      </c>
      <c r="K136" s="16">
        <f>INDEX(K71:K74,ScenID)</f>
        <v/>
      </c>
      <c r="M136" s="3" t="inlineStr">
        <is>
          <t>Statutory</t>
        </is>
      </c>
      <c r="N136" s="13" t="inlineStr">
        <is>
          <t>Medium</t>
        </is>
      </c>
      <c r="O136" s="3" t="inlineStr">
        <is>
          <t>Resolves Section A rows 71-74 by ScenID.</t>
        </is>
      </c>
    </row>
    <row r="137">
      <c r="A137" s="36" t="inlineStr">
        <is>
          <t>D16</t>
        </is>
      </c>
      <c r="B137" s="10" t="inlineStr">
        <is>
          <t>Capex intensity</t>
        </is>
      </c>
      <c r="C137" s="11" t="inlineStr">
        <is>
          <t>Rs/t of capacity added</t>
        </is>
      </c>
      <c r="E137" s="35">
        <f>INDEX(E75:E78,ScenID)</f>
        <v/>
      </c>
      <c r="F137" s="35">
        <f>INDEX(F75:F78,ScenID)</f>
        <v/>
      </c>
      <c r="G137" s="35">
        <f>INDEX(G75:G78,ScenID)</f>
        <v/>
      </c>
      <c r="H137" s="35">
        <f>INDEX(H75:H78,ScenID)</f>
        <v/>
      </c>
      <c r="I137" s="35">
        <f>INDEX(I75:I78,ScenID)</f>
        <v/>
      </c>
      <c r="J137" s="35">
        <f>INDEX(J75:J78,ScenID)</f>
        <v/>
      </c>
      <c r="K137" s="35">
        <f>INDEX(K75:K78,ScenID)</f>
        <v/>
      </c>
      <c r="M137" s="3" t="inlineStr">
        <is>
          <t>Derived-DB</t>
        </is>
      </c>
      <c r="N137" s="13" t="inlineStr">
        <is>
          <t>Medium</t>
        </is>
      </c>
      <c r="O137" s="3" t="inlineStr">
        <is>
          <t>Resolves Section A rows 75-78 by ScenID.</t>
        </is>
      </c>
    </row>
    <row r="138">
      <c r="A138" s="36" t="inlineStr">
        <is>
          <t>D17</t>
        </is>
      </c>
      <c r="B138" s="10" t="inlineStr">
        <is>
          <t>Maintenance capex</t>
        </is>
      </c>
      <c r="C138" s="11" t="inlineStr">
        <is>
          <t>% of revenue</t>
        </is>
      </c>
      <c r="E138" s="34">
        <f>INDEX(E79:E82,ScenID)</f>
        <v/>
      </c>
      <c r="F138" s="34">
        <f>INDEX(F79:F82,ScenID)</f>
        <v/>
      </c>
      <c r="G138" s="34">
        <f>INDEX(G79:G82,ScenID)</f>
        <v/>
      </c>
      <c r="H138" s="34">
        <f>INDEX(H79:H82,ScenID)</f>
        <v/>
      </c>
      <c r="I138" s="34">
        <f>INDEX(I79:I82,ScenID)</f>
        <v/>
      </c>
      <c r="J138" s="34">
        <f>INDEX(J79:J82,ScenID)</f>
        <v/>
      </c>
      <c r="K138" s="34">
        <f>INDEX(K79:K82,ScenID)</f>
        <v/>
      </c>
      <c r="M138" s="3" t="inlineStr">
        <is>
          <t>Indicative</t>
        </is>
      </c>
      <c r="N138" s="13" t="inlineStr">
        <is>
          <t>Low</t>
        </is>
      </c>
      <c r="O138" s="3" t="inlineStr">
        <is>
          <t>Resolves Section A rows 79-82 by ScenID.</t>
        </is>
      </c>
    </row>
    <row r="139">
      <c r="A139" s="36" t="inlineStr">
        <is>
          <t>D18</t>
        </is>
      </c>
      <c r="B139" s="10" t="inlineStr">
        <is>
          <t>Net working capital</t>
        </is>
      </c>
      <c r="C139" s="11" t="inlineStr">
        <is>
          <t>days of revenue</t>
        </is>
      </c>
      <c r="E139" s="34">
        <f>INDEX(E83:E86,ScenID)</f>
        <v/>
      </c>
      <c r="F139" s="34">
        <f>INDEX(F83:F86,ScenID)</f>
        <v/>
      </c>
      <c r="G139" s="34">
        <f>INDEX(G83:G86,ScenID)</f>
        <v/>
      </c>
      <c r="H139" s="34">
        <f>INDEX(H83:H86,ScenID)</f>
        <v/>
      </c>
      <c r="I139" s="34">
        <f>INDEX(I83:I86,ScenID)</f>
        <v/>
      </c>
      <c r="J139" s="34">
        <f>INDEX(J83:J86,ScenID)</f>
        <v/>
      </c>
      <c r="K139" s="34">
        <f>INDEX(K83:K86,ScenID)</f>
        <v/>
      </c>
      <c r="M139" s="3" t="inlineStr">
        <is>
          <t>Not sourced</t>
        </is>
      </c>
      <c r="N139" s="13" t="inlineStr">
        <is>
          <t>Low</t>
        </is>
      </c>
      <c r="O139" s="3" t="inlineStr">
        <is>
          <t>Resolves Section A rows 83-86 by ScenID.</t>
        </is>
      </c>
    </row>
    <row r="140">
      <c r="A140" s="36" t="inlineStr">
        <is>
          <t>D19</t>
        </is>
      </c>
      <c r="B140" s="10" t="inlineStr">
        <is>
          <t>Exit EV/EBITDA multiple</t>
        </is>
      </c>
      <c r="C140" s="11" t="inlineStr">
        <is>
          <t>x</t>
        </is>
      </c>
      <c r="E140" s="33">
        <f>INDEX(E87:E90,ScenID)</f>
        <v/>
      </c>
      <c r="F140" s="33">
        <f>INDEX(F87:F90,ScenID)</f>
        <v/>
      </c>
      <c r="G140" s="33">
        <f>INDEX(G87:G90,ScenID)</f>
        <v/>
      </c>
      <c r="H140" s="33">
        <f>INDEX(H87:H90,ScenID)</f>
        <v/>
      </c>
      <c r="I140" s="33">
        <f>INDEX(I87:I90,ScenID)</f>
        <v/>
      </c>
      <c r="J140" s="33">
        <f>INDEX(J87:J90,ScenID)</f>
        <v/>
      </c>
      <c r="K140" s="33">
        <f>INDEX(K87:K90,ScenID)</f>
        <v/>
      </c>
      <c r="M140" s="3" t="inlineStr">
        <is>
          <t>Not sourced</t>
        </is>
      </c>
      <c r="N140" s="13" t="inlineStr">
        <is>
          <t>Low</t>
        </is>
      </c>
      <c r="O140" s="3" t="inlineStr">
        <is>
          <t>Resolves Section A rows 87-90 by ScenID.</t>
        </is>
      </c>
    </row>
    <row r="141">
      <c r="A141" s="36" t="inlineStr">
        <is>
          <t>D20</t>
        </is>
      </c>
      <c r="B141" s="10" t="inlineStr">
        <is>
          <t>WACC (nominal, INR)</t>
        </is>
      </c>
      <c r="C141" s="11" t="inlineStr">
        <is>
          <t>%</t>
        </is>
      </c>
      <c r="E141" s="16">
        <f>INDEX(E91:E94,ScenID)</f>
        <v/>
      </c>
      <c r="F141" s="16">
        <f>INDEX(F91:F94,ScenID)</f>
        <v/>
      </c>
      <c r="G141" s="16">
        <f>INDEX(G91:G94,ScenID)</f>
        <v/>
      </c>
      <c r="H141" s="16">
        <f>INDEX(H91:H94,ScenID)</f>
        <v/>
      </c>
      <c r="I141" s="16">
        <f>INDEX(I91:I94,ScenID)</f>
        <v/>
      </c>
      <c r="J141" s="16">
        <f>INDEX(J91:J94,ScenID)</f>
        <v/>
      </c>
      <c r="K141" s="16">
        <f>INDEX(K91:K94,ScenID)</f>
        <v/>
      </c>
      <c r="M141" s="3" t="inlineStr">
        <is>
          <t>Composite</t>
        </is>
      </c>
      <c r="N141" s="13" t="inlineStr">
        <is>
          <t>Medium</t>
        </is>
      </c>
      <c r="O141" s="3" t="inlineStr">
        <is>
          <t>Resolves Section A rows 91-94 by ScenID.</t>
        </is>
      </c>
    </row>
    <row r="142">
      <c r="A142" s="36" t="inlineStr">
        <is>
          <t>D21</t>
        </is>
      </c>
      <c r="B142" s="10" t="inlineStr">
        <is>
          <t>Finished steel imports</t>
        </is>
      </c>
      <c r="C142" s="11" t="inlineStr">
        <is>
          <t>Mt</t>
        </is>
      </c>
      <c r="E142" s="34">
        <f>INDEX(E95:E98,ScenID)</f>
        <v/>
      </c>
      <c r="F142" s="34">
        <f>INDEX(F95:F98,ScenID)</f>
        <v/>
      </c>
      <c r="G142" s="34">
        <f>INDEX(G95:G98,ScenID)</f>
        <v/>
      </c>
      <c r="H142" s="34">
        <f>INDEX(H95:H98,ScenID)</f>
        <v/>
      </c>
      <c r="I142" s="34">
        <f>INDEX(I95:I98,ScenID)</f>
        <v/>
      </c>
      <c r="J142" s="34">
        <f>INDEX(J95:J98,ScenID)</f>
        <v/>
      </c>
      <c r="K142" s="34">
        <f>INDEX(K95:K98,ScenID)</f>
        <v/>
      </c>
      <c r="M142" s="3" t="inlineStr">
        <is>
          <t>Derived-DB</t>
        </is>
      </c>
      <c r="N142" s="13" t="inlineStr">
        <is>
          <t>Medium</t>
        </is>
      </c>
      <c r="O142" s="3" t="inlineStr">
        <is>
          <t>Resolves Section A rows 95-98 by ScenID.</t>
        </is>
      </c>
    </row>
    <row r="143">
      <c r="A143" s="36" t="inlineStr">
        <is>
          <t>D22</t>
        </is>
      </c>
      <c r="B143" s="10" t="inlineStr">
        <is>
          <t>Secondary and unattributed capacity additions</t>
        </is>
      </c>
      <c r="C143" s="11" t="inlineStr">
        <is>
          <t>Mtpa p.a.</t>
        </is>
      </c>
      <c r="E143" s="34">
        <f>INDEX(E99:E102,ScenID)</f>
        <v/>
      </c>
      <c r="F143" s="34">
        <f>INDEX(F99:F102,ScenID)</f>
        <v/>
      </c>
      <c r="G143" s="34">
        <f>INDEX(G99:G102,ScenID)</f>
        <v/>
      </c>
      <c r="H143" s="34">
        <f>INDEX(H99:H102,ScenID)</f>
        <v/>
      </c>
      <c r="I143" s="34">
        <f>INDEX(I99:I102,ScenID)</f>
        <v/>
      </c>
      <c r="J143" s="34">
        <f>INDEX(J99:J102,ScenID)</f>
        <v/>
      </c>
      <c r="K143" s="34">
        <f>INDEX(K99:K102,ScenID)</f>
        <v/>
      </c>
      <c r="M143" s="3" t="inlineStr">
        <is>
          <t>Derived-DB</t>
        </is>
      </c>
      <c r="N143" s="13" t="inlineStr">
        <is>
          <t>Medium</t>
        </is>
      </c>
      <c r="O143" s="3" t="inlineStr">
        <is>
          <t>Resolves Section A rows 99-102 by ScenID.</t>
        </is>
      </c>
    </row>
    <row r="144">
      <c r="A144" s="36" t="inlineStr">
        <is>
          <t>D23</t>
        </is>
      </c>
      <c r="B144" s="10" t="inlineStr">
        <is>
          <t>Price sensitivity to capacity utilisation (lagged)</t>
        </is>
      </c>
      <c r="C144" s="11" t="inlineStr">
        <is>
          <t>x</t>
        </is>
      </c>
      <c r="E144" s="33">
        <f>INDEX(E103:E106,ScenID)</f>
        <v/>
      </c>
      <c r="F144" s="33">
        <f>INDEX(F103:F106,ScenID)</f>
        <v/>
      </c>
      <c r="G144" s="33">
        <f>INDEX(G103:G106,ScenID)</f>
        <v/>
      </c>
      <c r="H144" s="33">
        <f>INDEX(H103:H106,ScenID)</f>
        <v/>
      </c>
      <c r="I144" s="33">
        <f>INDEX(I103:I106,ScenID)</f>
        <v/>
      </c>
      <c r="J144" s="33">
        <f>INDEX(J103:J106,ScenID)</f>
        <v/>
      </c>
      <c r="K144" s="33">
        <f>INDEX(K103:K106,ScenID)</f>
        <v/>
      </c>
      <c r="M144" s="3" t="inlineStr">
        <is>
          <t>Indicative</t>
        </is>
      </c>
      <c r="N144" s="13" t="inlineStr">
        <is>
          <t>Low</t>
        </is>
      </c>
      <c r="O144" s="3" t="inlineStr">
        <is>
          <t>Resolves Section A rows 103-106 by ScenID.</t>
        </is>
      </c>
    </row>
    <row r="145">
      <c r="A145" s="36" t="inlineStr">
        <is>
          <t>D24</t>
        </is>
      </c>
      <c r="B145" s="10" t="inlineStr">
        <is>
          <t>Normal capacity utilisation</t>
        </is>
      </c>
      <c r="C145" s="11" t="inlineStr">
        <is>
          <t>%</t>
        </is>
      </c>
      <c r="E145" s="16">
        <f>INDEX(E107:E110,ScenID)</f>
        <v/>
      </c>
      <c r="F145" s="16">
        <f>INDEX(F107:F110,ScenID)</f>
        <v/>
      </c>
      <c r="G145" s="16">
        <f>INDEX(G107:G110,ScenID)</f>
        <v/>
      </c>
      <c r="H145" s="16">
        <f>INDEX(H107:H110,ScenID)</f>
        <v/>
      </c>
      <c r="I145" s="16">
        <f>INDEX(I107:I110,ScenID)</f>
        <v/>
      </c>
      <c r="J145" s="16">
        <f>INDEX(J107:J110,ScenID)</f>
        <v/>
      </c>
      <c r="K145" s="16">
        <f>INDEX(K107:K110,ScenID)</f>
        <v/>
      </c>
      <c r="M145" s="3" t="inlineStr">
        <is>
          <t>Derived-DB</t>
        </is>
      </c>
      <c r="N145" s="13" t="inlineStr">
        <is>
          <t>Medium</t>
        </is>
      </c>
      <c r="O145" s="3" t="inlineStr">
        <is>
          <t>Resolves Section A rows 107-110 by ScenID.</t>
        </is>
      </c>
    </row>
    <row r="146">
      <c r="A146" s="36" t="inlineStr">
        <is>
          <t>D25</t>
        </is>
      </c>
      <c r="B146" s="10" t="inlineStr">
        <is>
          <t>Maximum practical capacity utilisation</t>
        </is>
      </c>
      <c r="C146" s="11" t="inlineStr">
        <is>
          <t>%</t>
        </is>
      </c>
      <c r="E146" s="16">
        <f>INDEX(E111:E114,ScenID)</f>
        <v/>
      </c>
      <c r="F146" s="16">
        <f>INDEX(F111:F114,ScenID)</f>
        <v/>
      </c>
      <c r="G146" s="16">
        <f>INDEX(G111:G114,ScenID)</f>
        <v/>
      </c>
      <c r="H146" s="16">
        <f>INDEX(H111:H114,ScenID)</f>
        <v/>
      </c>
      <c r="I146" s="16">
        <f>INDEX(I111:I114,ScenID)</f>
        <v/>
      </c>
      <c r="J146" s="16">
        <f>INDEX(J111:J114,ScenID)</f>
        <v/>
      </c>
      <c r="K146" s="16">
        <f>INDEX(K111:K114,ScenID)</f>
        <v/>
      </c>
      <c r="M146" s="3" t="inlineStr">
        <is>
          <t>Indicative</t>
        </is>
      </c>
      <c r="N146" s="13" t="inlineStr">
        <is>
          <t>Low</t>
        </is>
      </c>
      <c r="O146" s="3" t="inlineStr">
        <is>
          <t>Resolves Section A rows 111-114 by ScenID.</t>
        </is>
      </c>
    </row>
    <row r="147">
      <c r="A147" s="36" t="inlineStr">
        <is>
          <t>D26</t>
        </is>
      </c>
      <c r="B147" s="10" t="inlineStr">
        <is>
          <t>Depreciation and amortisation</t>
        </is>
      </c>
      <c r="C147" s="11" t="inlineStr">
        <is>
          <t>% of revenue</t>
        </is>
      </c>
      <c r="E147" s="34">
        <f>INDEX(E115:E118,ScenID)</f>
        <v/>
      </c>
      <c r="F147" s="34">
        <f>INDEX(F115:F118,ScenID)</f>
        <v/>
      </c>
      <c r="G147" s="34">
        <f>INDEX(G115:G118,ScenID)</f>
        <v/>
      </c>
      <c r="H147" s="34">
        <f>INDEX(H115:H118,ScenID)</f>
        <v/>
      </c>
      <c r="I147" s="34">
        <f>INDEX(I115:I118,ScenID)</f>
        <v/>
      </c>
      <c r="J147" s="34">
        <f>INDEX(J115:J118,ScenID)</f>
        <v/>
      </c>
      <c r="K147" s="34">
        <f>INDEX(K115:K118,ScenID)</f>
        <v/>
      </c>
      <c r="M147" s="3" t="inlineStr">
        <is>
          <t>Derived-DB</t>
        </is>
      </c>
      <c r="N147" s="13" t="inlineStr">
        <is>
          <t>High</t>
        </is>
      </c>
      <c r="O147" s="3" t="inlineStr">
        <is>
          <t>Resolves Section A rows 115-118 by ScenID.</t>
        </is>
      </c>
    </row>
    <row r="149">
      <c r="B149" s="5" t="inlineStr">
        <is>
          <t>SECTION C - ASSUMPTION REGISTER (thirteen mandated fields)</t>
        </is>
      </c>
    </row>
    <row r="150" ht="30" customHeight="1">
      <c r="A150" s="8" t="inlineStr">
        <is>
          <t>Assumption ID</t>
        </is>
      </c>
      <c r="B150" s="8" t="inlineStr">
        <is>
          <t>Assumption</t>
        </is>
      </c>
      <c r="C150" s="8" t="inlineStr">
        <is>
          <t>Unit</t>
        </is>
      </c>
      <c r="D150" s="8" t="inlineStr">
        <is>
          <t>Current Value (FY2026A / spot)</t>
        </is>
      </c>
      <c r="E150" s="8" t="inlineStr">
        <is>
          <t>Historical Range</t>
        </is>
      </c>
      <c r="F150" s="8" t="inlineStr">
        <is>
          <t>Forecast Value (Base, terminal year)</t>
        </is>
      </c>
      <c r="G150" s="8" t="inlineStr">
        <is>
          <t>Source</t>
        </is>
      </c>
      <c r="H150" s="8" t="inlineStr">
        <is>
          <t>Publication Date</t>
        </is>
      </c>
      <c r="I150" s="8" t="inlineStr">
        <is>
          <t>Confidence Rating</t>
        </is>
      </c>
      <c r="J150" s="8" t="inlineStr">
        <is>
          <t>Evidence</t>
        </is>
      </c>
      <c r="K150" s="8" t="inlineStr">
        <is>
          <t>Reasoning</t>
        </is>
      </c>
      <c r="L150" s="8" t="inlineStr">
        <is>
          <t>Sensitivity (impact of a 10% adverse move)</t>
        </is>
      </c>
      <c r="M150" s="8" t="inlineStr">
        <is>
          <t>Dependencies</t>
        </is>
      </c>
      <c r="N150" s="8" t="inlineStr">
        <is>
          <t>Review Date</t>
        </is>
      </c>
      <c r="O150" s="8" t="inlineStr">
        <is>
          <t>Owner</t>
        </is>
      </c>
    </row>
    <row r="151">
      <c r="A151" s="37" t="inlineStr">
        <is>
          <t>R01</t>
        </is>
      </c>
      <c r="B151" s="37" t="inlineStr">
        <is>
          <t>India real GDP growth</t>
        </is>
      </c>
      <c r="C151" s="37" t="inlineStr">
        <is>
          <t>%</t>
        </is>
      </c>
      <c r="D151" s="37" t="inlineStr">
        <is>
          <t>6.6% (FY2027 projection)</t>
        </is>
      </c>
      <c r="E151" s="3" t="inlineStr">
        <is>
          <t>FY2021 -5.8% to FY2026 7.6%</t>
        </is>
      </c>
      <c r="F151" s="3" t="inlineStr">
        <is>
          <t>6.5% (FY2033)</t>
        </is>
      </c>
      <c r="G151" s="3" t="inlineStr">
        <is>
          <t>Reserve Bank of India, Monetary Policy Committee statement</t>
        </is>
      </c>
      <c r="H151" s="3" t="inlineStr">
        <is>
          <t>05-Jun-2026</t>
        </is>
      </c>
      <c r="I151" s="3" t="inlineStr">
        <is>
          <t>High</t>
        </is>
      </c>
      <c r="J151" s="3" t="inlineStr">
        <is>
          <t>RBI cut its FY2027 projection to 6.6% from 6.9%, citing West Asia conflict, energy prices, supply disruption and monsoon risk; repo held at 5.25%; FY2027 CPI projection raised 50bps to 5.1%. FY2026 growth estimated at 7.6%; Q4FY2026 actual 7.7%.</t>
        </is>
      </c>
      <c r="K151" s="3" t="inlineStr">
        <is>
          <t>The RBI is the authoritative domestic forecaster and its projection is adopted unadjusted for FY2027. Beyond FY2027 no Indian official body publishes a real GDP path, so the model converges to a 6.5% steady state, which is below the FY2015-FY2026 realised average and therefore not an aggressive assumption.</t>
        </is>
      </c>
      <c r="L151" s="3" t="inlineStr">
        <is>
          <t>A 10% adverse move (66bps of growth) reduces FY2033 steel demand by roughly 5.0 Mt and industry EBITDA by roughly 4%.</t>
        </is>
      </c>
      <c r="M151" s="3" t="inlineStr">
        <is>
          <t>Drives D02 steel demand elasticity, hence all volume, revenue and EBITDA lines.</t>
        </is>
      </c>
      <c r="N151" s="3" t="inlineStr">
        <is>
          <t>Next RBI MPC statement</t>
        </is>
      </c>
      <c r="O151" s="3" t="inlineStr">
        <is>
          <t>Head of Metals &amp; Mining Research</t>
        </is>
      </c>
    </row>
    <row r="152">
      <c r="A152" s="37" t="inlineStr">
        <is>
          <t>R02</t>
        </is>
      </c>
      <c r="B152" s="37" t="inlineStr">
        <is>
          <t>Steel demand elasticity to GDP</t>
        </is>
      </c>
      <c r="C152" s="37" t="inlineStr">
        <is>
          <t>x</t>
        </is>
      </c>
      <c r="D152" s="37" t="inlineStr">
        <is>
          <t>1.10x realised FY2015-FY2026</t>
        </is>
      </c>
      <c r="E152" s="3" t="inlineStr">
        <is>
          <t>1.06x to 1.13x depending on the GDP deflator used</t>
        </is>
      </c>
      <c r="F152" s="3" t="inlineStr">
        <is>
          <t>1.05x (FY2033)</t>
        </is>
      </c>
      <c r="G152" s="3" t="inlineStr">
        <is>
          <t>Derived from Master Industry Database; corroborated by worldsteel Short Range Outlook</t>
        </is>
      </c>
      <c r="H152" s="3" t="inlineStr">
        <is>
          <t>Master DB 03-Aug-2026; worldsteel SRO Apr-2026</t>
        </is>
      </c>
      <c r="I152" s="3" t="inlineStr">
        <is>
          <t>High</t>
        </is>
      </c>
      <c r="J152" s="3" t="inlineStr">
        <is>
          <t>Apparent consumption compounded at 7.13% from 76.99 Mt in FY2015 to 164.19 Mt in FY2026 against real GDP CAGR of roughly 6.3-6.7%. worldsteel's Apr-2026 SRO forecasts Indian demand +7.4% in CY2026 and +9.2% in CY2027, the fastest of any major market, against RBI GDP of 6.6% - implying near-term elasticity of 1.1x to 1.4x.</t>
        </is>
      </c>
      <c r="K152" s="3" t="inlineStr">
        <is>
          <t>Set at 1.15x near term to reflect the worldsteel-implied strength, tapering to 1.05x by FY2033 on maturing steel intensity as per capita consumption rises from 115.7 kg. India is at roughly half the world average of 215 kg, so intensity decay should be slow.</t>
        </is>
      </c>
      <c r="L152" s="3" t="inlineStr">
        <is>
          <t>A 10% adverse move (0.115x) reduces FY2033 demand by roughly 9.5 Mt, about 3.6%.</t>
        </is>
      </c>
      <c r="M152" s="3" t="inlineStr">
        <is>
          <t>Depends on R01. Drives the entire demand, supply and revenue chain.</t>
        </is>
      </c>
      <c r="N152" s="3" t="inlineStr">
        <is>
          <t>On each worldsteel SRO release (April and October)</t>
        </is>
      </c>
      <c r="O152" s="3" t="inlineStr">
        <is>
          <t>Head of Metals &amp; Mining Research</t>
        </is>
      </c>
    </row>
    <row r="153">
      <c r="A153" s="37" t="inlineStr">
        <is>
          <t>R03</t>
        </is>
      </c>
      <c r="B153" s="37" t="inlineStr">
        <is>
          <t>Blended industry realisation</t>
        </is>
      </c>
      <c r="C153" s="37" t="inlineStr">
        <is>
          <t>Rs/t</t>
        </is>
      </c>
      <c r="D153" s="37" t="inlineStr">
        <is>
          <t>Rs 59,974/t (FY2026A)</t>
        </is>
      </c>
      <c r="E153" s="3" t="inlineStr">
        <is>
          <t>Implied Rs 55,600/t (SAIL) to Rs 62,273/t (Tata Steel India) across the four majors</t>
        </is>
      </c>
      <c r="F153" s="3" t="inlineStr">
        <is>
          <t>Rs 68,000/t (FY2033)</t>
        </is>
      </c>
      <c r="G153" s="3" t="inlineStr">
        <is>
          <t>Derived from Master Industry Database company disclosures</t>
        </is>
      </c>
      <c r="H153" s="3" t="inlineStr">
        <is>
          <t>Master DB 03-Aug-2026</t>
        </is>
      </c>
      <c r="I153" s="3" t="inlineStr">
        <is>
          <t>Medium</t>
        </is>
      </c>
      <c r="J153" s="3" t="inlineStr">
        <is>
          <t>Volume-weighted revenue per tonne of Tata Steel India, JSW Steel India, SAIL and Jindal Steel: Rs 4,79,191 cr over 79.90 Mt, which is 49.4% of India's FY2026 finished steel production. Cross-check: implied EBITDA of Rs 85,759 cr against the Rs 86,318 cr sum of reported EBITDAs, a 0.6% rounding difference.</t>
        </is>
      </c>
      <c r="K153" s="3" t="inlineStr">
        <is>
          <t>A blended realisation is used in preference to a spot HRC quote for two reasons. First, the database documents three irreconcilable Mar-2026 HRC assessments spanning Rs 55,900 to Rs 59,500/t (Conflict C07), so no single spot number is defensible. Second, revenue is driven by the actual product mix, not by HRC alone. The forecast path reflects the safeguard duty taper from 12% to 11.5% to 11% and its expiry on 20-Apr-2028 coinciding with peak capacity commissioning.</t>
        </is>
      </c>
      <c r="L153" s="3" t="inlineStr">
        <is>
          <t>A 10% adverse move (Rs 6,000/t) reduces FY2033 industry EBITDA by roughly Rs 1.1 lakh crore, or roughly 60% - realisation is by far the highest-leverage driver in the model.</t>
        </is>
      </c>
      <c r="M153" s="3" t="inlineStr">
        <is>
          <t>Drives revenue, EBITDA, margin, cash flow and valuation. Interacts with D07 net exports via import and export parity.</t>
        </is>
      </c>
      <c r="N153" s="3" t="inlineStr">
        <is>
          <t>Quarterly, on each results season</t>
        </is>
      </c>
      <c r="O153" s="3" t="inlineStr">
        <is>
          <t>Head of Metals &amp; Mining Research</t>
        </is>
      </c>
    </row>
    <row r="154">
      <c r="A154" s="37" t="inlineStr">
        <is>
          <t>R04</t>
        </is>
      </c>
      <c r="B154" s="37" t="inlineStr">
        <is>
          <t>Implied cash cost per tonne</t>
        </is>
      </c>
      <c r="C154" s="37" t="inlineStr">
        <is>
          <t>Rs/t</t>
        </is>
      </c>
      <c r="D154" s="37" t="inlineStr">
        <is>
          <t>Rs 49,241/t (FY2026A)</t>
        </is>
      </c>
      <c r="E154" s="3" t="inlineStr">
        <is>
          <t>Rs 47,060/t (Tata Steel India) to Rs 50,837/t (Jindal Steel)</t>
        </is>
      </c>
      <c r="F154" s="3" t="inlineStr">
        <is>
          <t>Rs 55,900/t (FY2033)</t>
        </is>
      </c>
      <c r="G154" s="3" t="inlineStr">
        <is>
          <t>Derived from Master Industry Database</t>
        </is>
      </c>
      <c r="H154" s="3" t="inlineStr">
        <is>
          <t>Master DB 03-Aug-2026</t>
        </is>
      </c>
      <c r="I154" s="3" t="inlineStr">
        <is>
          <t>Medium</t>
        </is>
      </c>
      <c r="J154" s="3" t="inlineStr">
        <is>
          <t>Realisation of Rs 59,974/t less weighted EBITDA of Rs 10,733/t. The dispersion across the four majors is only about Rs 3,800/t, i.e. under 8%, which gives confidence that the weighted figure is representative rather than an artefact of one company.</t>
        </is>
      </c>
      <c r="K154" s="3" t="inlineStr">
        <is>
          <t>Forecast by splitting cash cost into a raw-material component indexed to the iron ore and coking coal basket in rupee terms, and a conversion component indexed to inflation. This top-down calibration is used instead of a bottom-up build with consumption coefficients because those coefficients could not be sourced from a primary document, and inventing them would create false precision.</t>
        </is>
      </c>
      <c r="L154" s="3" t="inlineStr">
        <is>
          <t>A 10% adverse move (Rs 4,924/t) reduces FY2033 industry EBITDA by roughly 50%.</t>
        </is>
      </c>
      <c r="M154" s="3" t="inlineStr">
        <is>
          <t>Depends on D10 iron ore, D11 coking coal, D03 USD/INR, D12 conversion inflation, D13 and D14 basket structure.</t>
        </is>
      </c>
      <c r="N154" s="3" t="inlineStr">
        <is>
          <t>Quarterly</t>
        </is>
      </c>
      <c r="O154" s="3" t="inlineStr">
        <is>
          <t>Head of Metals &amp; Mining Research</t>
        </is>
      </c>
    </row>
    <row r="155">
      <c r="A155" s="37" t="inlineStr">
        <is>
          <t>R05</t>
        </is>
      </c>
      <c r="B155" s="37" t="inlineStr">
        <is>
          <t>Premium HCC coking coal</t>
        </is>
      </c>
      <c r="C155" s="37" t="inlineStr">
        <is>
          <t>US$/t</t>
        </is>
      </c>
      <c r="D155" s="37" t="inlineStr">
        <is>
          <t>US$225/t (Mar-2026 spot reference)</t>
        </is>
      </c>
      <c r="E155" s="3" t="inlineStr">
        <is>
          <t>US$175/t (Mar-2025) to US$354/t (Oct-2023)</t>
        </is>
      </c>
      <c r="F155" s="3" t="inlineStr">
        <is>
          <t>US$200/t (FY2033)</t>
        </is>
      </c>
      <c r="G155" s="3" t="inlineStr">
        <is>
          <t>Ministry of Steel Monthly Economic Report</t>
        </is>
      </c>
      <c r="H155" s="3" t="inlineStr">
        <is>
          <t>Apr-2026 vintage</t>
        </is>
      </c>
      <c r="I155" s="3" t="inlineStr">
        <is>
          <t>Medium</t>
        </is>
      </c>
      <c r="J155" s="3" t="inlineStr">
        <is>
          <t>The Master Database deliberately asserts no fiscal-year average because the Ministry of Steel and broker series disagree by up to US$40/t and the broker 52-week high of US$217/t sits below the Ministry's Feb-2026 level of US$246/t (Conflict C01).</t>
        </is>
      </c>
      <c r="K155" s="3" t="inlineStr">
        <is>
          <t>The Ministry series is preferred as the Government's own published benchmark. The FY2026 reference is explicitly a spot observation, not an average, and this limitation is carried through to every dependent output.</t>
        </is>
      </c>
      <c r="L155" s="3" t="inlineStr">
        <is>
          <t>A 10% adverse move (US$22.5/t) raises FY2033 cash cost by roughly Rs 1,050/t and reduces industry EBITDA by roughly 9%.</t>
        </is>
      </c>
      <c r="M155" s="3" t="inlineStr">
        <is>
          <t>Depends on D03 USD/INR for rupee conversion. Drives D13 raw material cost.</t>
        </is>
      </c>
      <c r="N155" s="3" t="inlineStr">
        <is>
          <t>Monthly, on each Ministry of Steel report</t>
        </is>
      </c>
      <c r="O155" s="3" t="inlineStr">
        <is>
          <t>Head of Metals &amp; Mining Research</t>
        </is>
      </c>
    </row>
    <row r="156">
      <c r="A156" s="37" t="inlineStr">
        <is>
          <t>R06</t>
        </is>
      </c>
      <c r="B156" s="37" t="inlineStr">
        <is>
          <t>Iron ore 62% Fe CFR China</t>
        </is>
      </c>
      <c r="C156" s="37" t="inlineStr">
        <is>
          <t>US$/dmt</t>
        </is>
      </c>
      <c r="D156" s="37" t="inlineStr">
        <is>
          <t>US$100.52/dmt (FY2026 average)</t>
        </is>
      </c>
      <c r="E156" s="3" t="inlineStr">
        <is>
          <t>US$52.18/dmt (FY2016) to US$155.52/dmt (FY2022)</t>
        </is>
      </c>
      <c r="F156" s="3" t="inlineStr">
        <is>
          <t>US$93/dmt (FY2033)</t>
        </is>
      </c>
      <c r="G156" s="3" t="inlineStr">
        <is>
          <t>World Bank Commodity Price Data (Pink Sheet)</t>
        </is>
      </c>
      <c r="H156" s="3" t="inlineStr">
        <is>
          <t>Monthly file updated 02-Jul-2026</t>
        </is>
      </c>
      <c r="I156" s="3" t="inlineStr">
        <is>
          <t>High</t>
        </is>
      </c>
      <c r="J156" s="3" t="inlineStr">
        <is>
          <t>Complete monthly history to Jun-2026. FY2026 average US$100.52/dmt, the third consecutive annual decline. Q1FY2027 actual average US$105.17/dmt.</t>
        </is>
      </c>
      <c r="K156" s="3" t="inlineStr">
        <is>
          <t>The highest-quality price series available to the model: an official publisher, a documented definition (62% Fe fines, CFR China) and a complete monthly history allowing genuine fiscal-year averages. The FY2027 assumption is anchored on realised Q1 data.</t>
        </is>
      </c>
      <c r="L156" s="3" t="inlineStr">
        <is>
          <t>A 10% adverse move (US$10/dmt) raises FY2033 cash cost by roughly Rs 470/t and reduces industry EBITDA by roughly 4%.</t>
        </is>
      </c>
      <c r="M156" s="3" t="inlineStr">
        <is>
          <t>Depends on D03 USD/INR. Note the inverse exposure for ore-integrated names.</t>
        </is>
      </c>
      <c r="N156" s="3" t="inlineStr">
        <is>
          <t>Monthly, on each Pink Sheet release</t>
        </is>
      </c>
      <c r="O156" s="3" t="inlineStr">
        <is>
          <t>Head of Metals &amp; Mining Research</t>
        </is>
      </c>
    </row>
    <row r="157">
      <c r="A157" s="37" t="inlineStr">
        <is>
          <t>R07</t>
        </is>
      </c>
      <c r="B157" s="37" t="inlineStr">
        <is>
          <t>Announced pipeline delivery factor</t>
        </is>
      </c>
      <c r="C157" s="37" t="inlineStr">
        <is>
          <t>%</t>
        </is>
      </c>
      <c r="D157" s="37" t="inlineStr">
        <is>
          <t>85% (base assumption)</t>
        </is>
      </c>
      <c r="E157" s="3" t="inlineStr">
        <is>
          <t>20.82 Mtpa added FY2025; 20.07 Mtpa added FY2026</t>
        </is>
      </c>
      <c r="F157" s="3" t="inlineStr">
        <is>
          <t>85% (held flat)</t>
        </is>
      </c>
      <c r="G157" s="3" t="inlineStr">
        <is>
          <t>Derived from Master Industry Database capacity series and project tracker</t>
        </is>
      </c>
      <c r="H157" s="3" t="inlineStr">
        <is>
          <t>Master DB 03-Aug-2026</t>
        </is>
      </c>
      <c r="I157" s="3" t="inlineStr">
        <is>
          <t>Medium</t>
        </is>
      </c>
      <c r="J157" s="3" t="inlineStr">
        <is>
          <t>India added 20.82 Mtpa in FY2025 and 20.07 Mtpa in FY2026 against a National Steel Policy path to 300 Mtpa by FY2031 requiring roughly 16 Mtpa a year, i.e. recent delivery has run ahead of the required rate. Offsetting evidence of slippage: JSW Vijayanagar BF-3 was still under testing at FY2026 year-end and AM/NS Hazira 9 to 15 Mtpa has been in progress for several years.</t>
        </is>
      </c>
      <c r="K157" s="3" t="inlineStr">
        <is>
          <t>85% balances a demonstrated ability to deliver roughly 20 Mtpa a year against project-level slippage. Applied only to projects not already commissioned, and only to genuinely incremental India crude steel capacity - acquisitions, downstream lines and overseas assets are excluded.</t>
        </is>
      </c>
      <c r="L157" s="3" t="inlineStr">
        <is>
          <t>A 10% adverse move (to 76.5%) reduces FY2033 capacity by roughly 5.2 Mtpa and raises utilisation by roughly 180bps, which is EBITDA-positive - so this driver works in the opposite direction to intuition and is a genuine model insight.</t>
        </is>
      </c>
      <c r="M157" s="3" t="inlineStr">
        <is>
          <t>Drives capacity, hence utilisation, hence the price and margin cycle.</t>
        </is>
      </c>
      <c r="N157" s="3" t="inlineStr">
        <is>
          <t>Quarterly, on results and project announcements</t>
        </is>
      </c>
      <c r="O157" s="3" t="inlineStr">
        <is>
          <t>Head of Metals &amp; Mining Research</t>
        </is>
      </c>
    </row>
    <row r="158">
      <c r="A158" s="37" t="inlineStr">
        <is>
          <t>R08</t>
        </is>
      </c>
      <c r="B158" s="37" t="inlineStr">
        <is>
          <t>WACC (nominal, INR)</t>
        </is>
      </c>
      <c r="C158" s="37" t="inlineStr">
        <is>
          <t>%</t>
        </is>
      </c>
      <c r="D158" s="37" t="inlineStr">
        <is>
          <t>12.0%</t>
        </is>
      </c>
      <c r="E158" s="3" t="inlineStr">
        <is>
          <t>Not applicable - a constructed parameter</t>
        </is>
      </c>
      <c r="F158" s="3" t="inlineStr">
        <is>
          <t>12.0% (held flat)</t>
        </is>
      </c>
      <c r="G158" s="3" t="inlineStr">
        <is>
          <t>Composite: RBI, investing.com, CRISIL RateView, modeller judgement</t>
        </is>
      </c>
      <c r="H158" s="3" t="inlineStr">
        <is>
          <t>10-year G-sec 31-Jul-2026; CRISIL RateView Jul-2026</t>
        </is>
      </c>
      <c r="I158" s="3" t="inlineStr">
        <is>
          <t>Medium</t>
        </is>
      </c>
      <c r="J158" s="3" t="inlineStr">
        <is>
          <t>Risk-free rate 6.83% - the 10-year G-sec yield on 31-Jul-2026, with Trading Economics expecting 6.78% at quarter end. Pre-tax cost of debt 7.44% - the lower bound of CRISIL RateView's projected 10-year corporate bond yield range of 7.44-7.54%, consistent with the AA domestic ratings recorded in the database for JSW Steel.</t>
        </is>
      </c>
      <c r="K158" s="3" t="inlineStr">
        <is>
          <t>Two inputs are NOT sourced and are the weakest links: an equity risk premium of 6.5% and an equity beta of 1.2. These are flagged, fully editable, and form a sensitivity axis. The full build-up is displayed rather than the output alone, so a reviewer can substitute their own house assumptions in one place.</t>
        </is>
      </c>
      <c r="L158" s="3" t="inlineStr">
        <is>
          <t>A 10% adverse move (120bps) reduces enterprise value by roughly 11% at the base exit multiple.</t>
        </is>
      </c>
      <c r="M158" s="3" t="inlineStr">
        <is>
          <t>Depends on D15 tax rate and the capital structure. Drives all discounted valuation output.</t>
        </is>
      </c>
      <c r="N158" s="3" t="inlineStr">
        <is>
          <t>Quarterly, or on any material rate move</t>
        </is>
      </c>
      <c r="O158" s="3" t="inlineStr">
        <is>
          <t>Head of Metals &amp; Mining Research</t>
        </is>
      </c>
    </row>
    <row r="159">
      <c r="A159" s="37" t="inlineStr">
        <is>
          <t>R09</t>
        </is>
      </c>
      <c r="B159" s="37" t="inlineStr">
        <is>
          <t>Net working capital</t>
        </is>
      </c>
      <c r="C159" s="37" t="inlineStr">
        <is>
          <t>days of revenue</t>
        </is>
      </c>
      <c r="D159" s="37" t="inlineStr">
        <is>
          <t>Not sourced</t>
        </is>
      </c>
      <c r="E159" s="3" t="inlineStr">
        <is>
          <t>Not derivable from the Master Database</t>
        </is>
      </c>
      <c r="F159" s="3" t="inlineStr">
        <is>
          <t>45 days (held flat)</t>
        </is>
      </c>
      <c r="G159" s="3" t="inlineStr">
        <is>
          <t>Sector convention; directional corroboration from Tata Steel disclosure</t>
        </is>
      </c>
      <c r="H159" s="3" t="inlineStr">
        <is>
          <t>Master DB 03-Aug-2026</t>
        </is>
      </c>
      <c r="I159" s="3" t="inlineStr">
        <is>
          <t>Low</t>
        </is>
      </c>
      <c r="J159" s="3" t="inlineStr">
        <is>
          <t>The Master Database carries total assets and borrowings but not receivables, inventory or payables, so working capital days could not be derived. The only directional evidence is Tata Steel's disclosed FY2026 working capital RELEASE of about Rs 6,470 cr, which on a Rs 2,32,140 cr revenue base is roughly 10 days of tightening.</t>
        </is>
      </c>
      <c r="K159" s="3" t="inlineStr">
        <is>
          <t>45 days is a sector convention for an integrated Indian producer and is explicitly provisional. It is flexed hard in the stress case to 62 days because a working capital build in a downturn is a first-order cash flow risk, not a second-order one.</t>
        </is>
      </c>
      <c r="L159" s="3" t="inlineStr">
        <is>
          <t>A 10% adverse move (4.5 days) consumes roughly Rs 12,000 cr of industry cash flow in the terminal year.</t>
        </is>
      </c>
      <c r="M159" s="3" t="inlineStr">
        <is>
          <t>Drives cash flow and net debt, not EBITDA.</t>
        </is>
      </c>
      <c r="N159" s="3" t="inlineStr">
        <is>
          <t>MUST be replaced before transaction use</t>
        </is>
      </c>
      <c r="O159" s="3" t="inlineStr">
        <is>
          <t>Head of Metals &amp; Mining Research</t>
        </is>
      </c>
    </row>
    <row r="160">
      <c r="A160" s="37" t="inlineStr">
        <is>
          <t>R10</t>
        </is>
      </c>
      <c r="B160" s="37" t="inlineStr">
        <is>
          <t>Raw material share of cash cost</t>
        </is>
      </c>
      <c r="C160" s="37" t="inlineStr">
        <is>
          <t>%</t>
        </is>
      </c>
      <c r="D160" s="37" t="inlineStr">
        <is>
          <t>60% (indicative)</t>
        </is>
      </c>
      <c r="E160" s="3" t="inlineStr">
        <is>
          <t>Not sourced</t>
        </is>
      </c>
      <c r="F160" s="3" t="inlineStr">
        <is>
          <t>60% (held flat)</t>
        </is>
      </c>
      <c r="G160" s="3" t="inlineStr">
        <is>
          <t>Indicative structural assumption - not sourced</t>
        </is>
      </c>
      <c r="H160" s="3" t="inlineStr">
        <is>
          <t>Not applicable</t>
        </is>
      </c>
      <c r="I160" s="3" t="inlineStr">
        <is>
          <t>Low</t>
        </is>
      </c>
      <c r="J160" s="3" t="inlineStr">
        <is>
          <t>No primary document was located that discloses the raw-material versus conversion split of cash cost for the Indian majors. 60/40 is the conventional split for an integrated BF-BOF producer.</t>
        </is>
      </c>
      <c r="K160" s="3" t="inlineStr">
        <is>
          <t>Held constant across all four scenarios precisely because it is unsourced: flexing an unsourced parameter across scenarios would manufacture false precision. Its influence is instead quantified explicitly on the sensitivity sheet, so a reviewer can see exactly how much of the answer depends on it. Plausible range 55-65%.</t>
        </is>
      </c>
      <c r="L160" s="3" t="inlineStr">
        <is>
          <t>A 5 percentage point change alters FY2033 EBITDA/t by roughly Rs 600/t, about 4%.</t>
        </is>
      </c>
      <c r="M160" s="3" t="inlineStr">
        <is>
          <t>Determines how D10, D11 and D12 transmit into cash cost.</t>
        </is>
      </c>
      <c r="N160" s="3" t="inlineStr">
        <is>
          <t>MUST be replaced with company cost disclosure before transaction use</t>
        </is>
      </c>
      <c r="O160" s="3" t="inlineStr">
        <is>
          <t>Head of Metals &amp; Mining Research</t>
        </is>
      </c>
    </row>
    <row r="162">
      <c r="B162" s="5" t="inlineStr">
        <is>
          <t>SECTION D - WACC BUILD-UP (every component shown and editable)</t>
        </is>
      </c>
    </row>
    <row r="163" ht="30" customHeight="1">
      <c r="A163" s="7" t="inlineStr"/>
      <c r="B163" s="8" t="inlineStr">
        <is>
          <t>Component</t>
        </is>
      </c>
      <c r="C163" s="7" t="inlineStr">
        <is>
          <t>Unit</t>
        </is>
      </c>
      <c r="D163" s="7" t="inlineStr">
        <is>
          <t>Value</t>
        </is>
      </c>
      <c r="E163" s="8" t="inlineStr">
        <is>
          <t>Source</t>
        </is>
      </c>
      <c r="F163" s="8" t="inlineStr">
        <is>
          <t>Publication date</t>
        </is>
      </c>
      <c r="G163" s="7" t="inlineStr">
        <is>
          <t>Confidence</t>
        </is>
      </c>
      <c r="H163" s="8" t="inlineStr">
        <is>
          <t>Evidence and caveats</t>
        </is>
      </c>
    </row>
    <row r="164">
      <c r="B164" s="10" t="inlineStr">
        <is>
          <t>Risk-free rate (10-year G-sec)</t>
        </is>
      </c>
      <c r="C164" s="11" t="inlineStr">
        <is>
          <t>%</t>
        </is>
      </c>
      <c r="D164" s="16" t="n">
        <v>0.0683</v>
      </c>
      <c r="E164" s="3" t="inlineStr">
        <is>
          <t>investing.com / NSE</t>
        </is>
      </c>
      <c r="F164" s="13" t="inlineStr">
        <is>
          <t>31-Jul-2026</t>
        </is>
      </c>
      <c r="G164" s="13" t="inlineStr">
        <is>
          <t>High</t>
        </is>
      </c>
      <c r="H164" s="3" t="inlineStr">
        <is>
          <t>10-year benchmark G-sec yield 6.833% on 31-Jul-2026. Trading Economics expects 6.78% at quarter end. RBI repo rate held at 5.25% on 05-Jun-2026.</t>
        </is>
      </c>
    </row>
    <row r="165">
      <c r="B165" s="10" t="inlineStr">
        <is>
          <t>Equity risk premium</t>
        </is>
      </c>
      <c r="C165" s="11" t="inlineStr">
        <is>
          <t>%</t>
        </is>
      </c>
      <c r="D165" s="38" t="n">
        <v>0.065</v>
      </c>
      <c r="E165" s="3" t="inlineStr">
        <is>
          <t>NOT SOURCED - modeller assumption</t>
        </is>
      </c>
      <c r="F165" s="13" t="inlineStr">
        <is>
          <t>n/a</t>
        </is>
      </c>
      <c r="G165" s="13" t="inlineStr">
        <is>
          <t>Low</t>
        </is>
      </c>
      <c r="H165" s="3" t="inlineStr">
        <is>
          <t>Not sourced in this research cycle. 6.5% is a conventional India ERP. THIS IS ONE OF THE TWO WEAKEST INPUTS IN THE MODEL - substitute your house assumption.</t>
        </is>
      </c>
    </row>
    <row r="166">
      <c r="B166" s="10" t="inlineStr">
        <is>
          <t>Equity beta (sector, levered)</t>
        </is>
      </c>
      <c r="C166" s="11" t="inlineStr">
        <is>
          <t>x</t>
        </is>
      </c>
      <c r="D166" s="39" t="n">
        <v>1.2</v>
      </c>
      <c r="E166" s="3" t="inlineStr">
        <is>
          <t>NOT SOURCED - modeller assumption</t>
        </is>
      </c>
      <c r="F166" s="13" t="inlineStr">
        <is>
          <t>n/a</t>
        </is>
      </c>
      <c r="G166" s="13" t="inlineStr">
        <is>
          <t>Low</t>
        </is>
      </c>
      <c r="H166" s="3" t="inlineStr">
        <is>
          <t>Not sourced. 1.2 reflects the conventional view that steel is a high-beta cyclical. Substitute a regression beta or a peer-median unlevered beta relevered to target gearing.</t>
        </is>
      </c>
    </row>
    <row r="167">
      <c r="B167" s="31" t="inlineStr">
        <is>
          <t>Cost of equity</t>
        </is>
      </c>
      <c r="C167" s="11" t="inlineStr">
        <is>
          <t>%</t>
        </is>
      </c>
      <c r="D167" s="28">
        <f>D164+D166*D165</f>
        <v/>
      </c>
      <c r="E167" s="3" t="inlineStr">
        <is>
          <t>Computed</t>
        </is>
      </c>
      <c r="F167" s="13" t="inlineStr">
        <is>
          <t>n/a</t>
        </is>
      </c>
      <c r="G167" s="13" t="inlineStr">
        <is>
          <t>Medium</t>
        </is>
      </c>
      <c r="H167" s="3" t="inlineStr">
        <is>
          <t>Risk-free rate plus beta times equity risk premium. Live formula.</t>
        </is>
      </c>
    </row>
    <row r="168">
      <c r="B168" s="10" t="inlineStr">
        <is>
          <t>Pre-tax cost of debt</t>
        </is>
      </c>
      <c r="C168" s="11" t="inlineStr">
        <is>
          <t>%</t>
        </is>
      </c>
      <c r="D168" s="16" t="n">
        <v>0.07439999999999999</v>
      </c>
      <c r="E168" s="3" t="inlineStr">
        <is>
          <t>CRISIL RateView</t>
        </is>
      </c>
      <c r="F168" s="13" t="inlineStr">
        <is>
          <t>Jul-2026</t>
        </is>
      </c>
      <c r="G168" s="13" t="inlineStr">
        <is>
          <t>Medium</t>
        </is>
      </c>
      <c r="H168" s="3" t="inlineStr">
        <is>
          <t>Lower bound of CRISIL's projected 10-year corporate bond yield range of 7.44-7.54%. Consistent with the ICRA and India Ratings AA domestic ratings the Master Database records for JSW Steel, and with Moody's Ba1 positive at the international level.</t>
        </is>
      </c>
    </row>
    <row r="169">
      <c r="B169" s="10" t="inlineStr">
        <is>
          <t>Effective tax rate</t>
        </is>
      </c>
      <c r="C169" s="11" t="inlineStr">
        <is>
          <t>%</t>
        </is>
      </c>
      <c r="D169" s="16" t="n">
        <v>0.2517</v>
      </c>
      <c r="E169" s="3" t="inlineStr">
        <is>
          <t>Statutory section 115BAA</t>
        </is>
      </c>
      <c r="F169" s="13" t="inlineStr">
        <is>
          <t>n/a</t>
        </is>
      </c>
      <c r="G169" s="13" t="inlineStr">
        <is>
          <t>Medium</t>
        </is>
      </c>
      <c r="H169" s="3" t="inlineStr">
        <is>
          <t>22% plus surcharge and cess. See D15.</t>
        </is>
      </c>
    </row>
    <row r="170">
      <c r="B170" s="31" t="inlineStr">
        <is>
          <t>Post-tax cost of debt</t>
        </is>
      </c>
      <c r="C170" s="11" t="inlineStr">
        <is>
          <t>%</t>
        </is>
      </c>
      <c r="D170" s="28">
        <f>D168*(1-D169)</f>
        <v/>
      </c>
      <c r="E170" s="3" t="inlineStr">
        <is>
          <t>Computed</t>
        </is>
      </c>
      <c r="F170" s="13" t="inlineStr">
        <is>
          <t>n/a</t>
        </is>
      </c>
      <c r="G170" s="13" t="inlineStr">
        <is>
          <t>Medium</t>
        </is>
      </c>
      <c r="H170" s="3" t="inlineStr">
        <is>
          <t>Pre-tax cost of debt times one minus the tax rate. Live formula.</t>
        </is>
      </c>
    </row>
    <row r="171">
      <c r="B171" s="10" t="inlineStr">
        <is>
          <t>Target debt weight</t>
        </is>
      </c>
      <c r="C171" s="11" t="inlineStr">
        <is>
          <t>%</t>
        </is>
      </c>
      <c r="D171" s="16" t="n">
        <v>0.3</v>
      </c>
      <c r="E171" s="3" t="inlineStr">
        <is>
          <t>Derived from Master Industry Database</t>
        </is>
      </c>
      <c r="F171" s="13" t="inlineStr">
        <is>
          <t>03-Aug-2026</t>
        </is>
      </c>
      <c r="G171" s="13" t="inlineStr">
        <is>
          <t>Medium</t>
        </is>
      </c>
      <c r="H171" s="3" t="inlineStr">
        <is>
          <t>Indicative sector gearing. Cross-check from the database: JSW Steel net debt to equity fell to 0.51x at Mar-2026 from 0.94x; Jindal Steel debt to equity 0.43x; Jindal Stainless net debt to equity 0.15x. A 30% debt weight is consistent with the middle of that range.</t>
        </is>
      </c>
    </row>
    <row r="172">
      <c r="B172" s="31" t="inlineStr">
        <is>
          <t>Target equity weight</t>
        </is>
      </c>
      <c r="C172" s="11" t="inlineStr">
        <is>
          <t>%</t>
        </is>
      </c>
      <c r="D172" s="28">
        <f>1-D171</f>
        <v/>
      </c>
      <c r="E172" s="3" t="inlineStr">
        <is>
          <t>Computed</t>
        </is>
      </c>
      <c r="F172" s="13" t="inlineStr">
        <is>
          <t>n/a</t>
        </is>
      </c>
      <c r="G172" s="13" t="inlineStr">
        <is>
          <t>Medium</t>
        </is>
      </c>
      <c r="H172" s="3" t="inlineStr">
        <is>
          <t>One minus the target debt weight. Live formula.</t>
        </is>
      </c>
    </row>
    <row r="173">
      <c r="B173" s="31" t="inlineStr">
        <is>
          <t>WACC (nominal, INR)</t>
        </is>
      </c>
      <c r="C173" s="11" t="inlineStr">
        <is>
          <t>%</t>
        </is>
      </c>
      <c r="D173" s="28">
        <f>D172*D167+D171*D170</f>
        <v/>
      </c>
      <c r="E173" s="3" t="inlineStr">
        <is>
          <t>Computed</t>
        </is>
      </c>
      <c r="F173" s="13" t="inlineStr">
        <is>
          <t>n/a</t>
        </is>
      </c>
      <c r="G173" s="13" t="inlineStr">
        <is>
          <t>Medium</t>
        </is>
      </c>
      <c r="H173" s="3" t="inlineStr">
        <is>
          <t>Equity weight times cost of equity plus debt weight times post-tax cost of debt. Live formula. Cross-check against D20, which is the value used downstream.</t>
        </is>
      </c>
    </row>
    <row r="175">
      <c r="B175" s="30" t="inlineStr">
        <is>
          <t>Shaded value cells are UNSOURCED modeller assumptions and are the weakest inputs in the model. The computed WACC here is a cross-check on driver D20, which is the value actually used downstream; 25 Audit Checks compares the two.</t>
        </is>
      </c>
    </row>
  </sheetData>
  <printOptions horizontalCentered="1"/>
  <pageMargins left="0.75" right="0.75" top="1" bottom="1" header="0.5" footer="0.5"/>
  <pageSetup orientation="landscape" fitToHeight="0" fitToWidth="1"/>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7.xml><?xml version="1.0" encoding="utf-8"?>
<worksheet xmlns="http://schemas.openxmlformats.org/spreadsheetml/2006/main">
  <sheetPr>
    <tabColor rgb="001F3864"/>
    <outlinePr summaryBelow="1" summaryRight="1"/>
    <pageSetUpPr fitToPage="1"/>
  </sheetPr>
  <dimension ref="A1:O26"/>
  <sheetViews>
    <sheetView showGridLines="0" workbookViewId="0">
      <selection activeCell="A1" sqref="A1"/>
    </sheetView>
  </sheetViews>
  <sheetFormatPr baseColWidth="8" defaultRowHeight="15"/>
  <cols>
    <col width="7" customWidth="1" min="1" max="1"/>
    <col width="52" customWidth="1" min="2" max="2"/>
    <col width="1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95" customWidth="1" min="15" max="15"/>
  </cols>
  <sheetData>
    <row r="1" ht="19" customHeight="1">
      <c r="B1" s="1" t="inlineStr">
        <is>
          <t>03  Macroeconomic Model</t>
        </is>
      </c>
    </row>
    <row r="2">
      <c r="B2" s="4" t="inlineStr">
        <is>
          <t>Industry Financial Model  |  Indian Steel Industry  |  Horizon FY2027E-FY2033E  |  Base year FY2026A  |  Built 03-Aug-2026</t>
        </is>
      </c>
    </row>
    <row r="3">
      <c r="B3" s="3" t="inlineStr"/>
    </row>
    <row r="4">
      <c r="B4" s="4" t="inlineStr">
        <is>
          <t>OBJECTIVE</t>
        </is>
      </c>
    </row>
    <row r="5">
      <c r="B5" s="3" t="inlineStr">
        <is>
          <t>The macro spine: real GDP, inflation, the exchange rate and interest rates. Every demand and cost forecast in the workbook is anchored here.</t>
        </is>
      </c>
    </row>
    <row r="6">
      <c r="B6" s="4" t="inlineStr">
        <is>
          <t>METHODOLOGY</t>
        </is>
      </c>
    </row>
    <row r="7">
      <c r="B7" s="3" t="inlineStr">
        <is>
          <t>Real GDP growth and CPI are taken from RBI's June-2026 Monetary Policy Committee projections for FY2027 and converge to a steady state thereafter, because no Indian official body publishes a real GDP path beyond roughly five years. USD/INR is anchored on the 22-Jun-2026 spot of 94. Index rows compound the growth rates so that cumulative effects are visible rather than implied.</t>
        </is>
      </c>
    </row>
    <row r="8">
      <c r="B8" s="4" t="inlineStr">
        <is>
          <t>UNITS</t>
        </is>
      </c>
    </row>
    <row r="9">
      <c r="B9" s="3" t="inlineStr">
        <is>
          <t>Percentages as decimals. Indices FY2026A = 100. USD/INR in rupees per dollar.</t>
        </is>
      </c>
    </row>
    <row r="10">
      <c r="B10" s="4" t="inlineStr">
        <is>
          <t>DEPENDENCIES</t>
        </is>
      </c>
    </row>
    <row r="11">
      <c r="B11" s="3" t="inlineStr">
        <is>
          <t>Reads 02 Model Assumptions. Read by 04 Steel Demand, 10 Raw Material, 16 Cash Flow.</t>
        </is>
      </c>
    </row>
    <row r="12">
      <c r="B12" s="3" t="inlineStr"/>
    </row>
    <row r="13" ht="30" customHeight="1">
      <c r="A13" s="7" t="inlineStr"/>
      <c r="B13" s="8" t="inlineStr">
        <is>
          <t>Line item</t>
        </is>
      </c>
      <c r="C13" s="8" t="inlineStr">
        <is>
          <t>Unit</t>
        </is>
      </c>
      <c r="D13" s="7" t="inlineStr">
        <is>
          <t>FY2026A</t>
        </is>
      </c>
      <c r="E13" s="7" t="inlineStr">
        <is>
          <t>FY2027E</t>
        </is>
      </c>
      <c r="F13" s="7" t="inlineStr">
        <is>
          <t>FY2028E</t>
        </is>
      </c>
      <c r="G13" s="7" t="inlineStr">
        <is>
          <t>FY2029E</t>
        </is>
      </c>
      <c r="H13" s="7" t="inlineStr">
        <is>
          <t>FY2030E</t>
        </is>
      </c>
      <c r="I13" s="7" t="inlineStr">
        <is>
          <t>FY2031E</t>
        </is>
      </c>
      <c r="J13" s="7" t="inlineStr">
        <is>
          <t>FY2032E</t>
        </is>
      </c>
      <c r="K13" s="7" t="inlineStr">
        <is>
          <t>FY2033E</t>
        </is>
      </c>
      <c r="L13" s="7" t="inlineStr">
        <is>
          <t>CAGR</t>
        </is>
      </c>
      <c r="M13" s="8" t="inlineStr">
        <is>
          <t>Source</t>
        </is>
      </c>
      <c r="N13" s="7" t="inlineStr">
        <is>
          <t>Conf.</t>
        </is>
      </c>
      <c r="O13" s="8" t="inlineStr">
        <is>
          <t>Notes / methodology</t>
        </is>
      </c>
    </row>
    <row r="14">
      <c r="B14" s="5" t="inlineStr">
        <is>
          <t>GROWTH AND PRICES</t>
        </is>
      </c>
    </row>
    <row r="15">
      <c r="B15" s="10" t="inlineStr">
        <is>
          <t>India real GDP growth</t>
        </is>
      </c>
      <c r="C15" s="11" t="inlineStr">
        <is>
          <t>%</t>
        </is>
      </c>
      <c r="D15" s="16" t="n">
        <v>0.076</v>
      </c>
      <c r="E15" s="16" t="inlineStr">
        <is>
          <t>'02 Model Assumptions'!E$122</t>
        </is>
      </c>
      <c r="F15" s="16" t="inlineStr">
        <is>
          <t>'02 Model Assumptions'!F$122</t>
        </is>
      </c>
      <c r="G15" s="16" t="inlineStr">
        <is>
          <t>'02 Model Assumptions'!G$122</t>
        </is>
      </c>
      <c r="H15" s="16" t="inlineStr">
        <is>
          <t>'02 Model Assumptions'!H$122</t>
        </is>
      </c>
      <c r="I15" s="16" t="inlineStr">
        <is>
          <t>'02 Model Assumptions'!I$122</t>
        </is>
      </c>
      <c r="J15" s="16" t="inlineStr">
        <is>
          <t>'02 Model Assumptions'!J$122</t>
        </is>
      </c>
      <c r="K15" s="16" t="inlineStr">
        <is>
          <t>'02 Model Assumptions'!K$122</t>
        </is>
      </c>
      <c r="M15" s="3" t="inlineStr">
        <is>
          <t>RBI MPC 05-Jun-2026</t>
        </is>
      </c>
      <c r="N15" s="13" t="inlineStr">
        <is>
          <t>High</t>
        </is>
      </c>
      <c r="O15" s="3" t="inlineStr">
        <is>
          <t>FY2026A of 7.6% is the RBI's own estimate for FY2026. FY2027E of 6.6% is the RBI projection, revised down from 6.9% on West Asia conflict, energy prices and monsoon risk. Beyond FY2027 the path converges to 6.5%.</t>
        </is>
      </c>
    </row>
    <row r="16">
      <c r="B16" s="10" t="inlineStr">
        <is>
          <t>Real GDP index</t>
        </is>
      </c>
      <c r="C16" s="11" t="inlineStr">
        <is>
          <t>FY2026A=100</t>
        </is>
      </c>
      <c r="D16" s="40" t="n">
        <v>100</v>
      </c>
      <c r="E16" s="40">
        <f>D16*(1+E15)</f>
        <v/>
      </c>
      <c r="F16" s="40">
        <f>E16*(1+F15)</f>
        <v/>
      </c>
      <c r="G16" s="40">
        <f>F16*(1+G15)</f>
        <v/>
      </c>
      <c r="H16" s="40">
        <f>G16*(1+H15)</f>
        <v/>
      </c>
      <c r="I16" s="40">
        <f>H16*(1+I15)</f>
        <v/>
      </c>
      <c r="J16" s="40">
        <f>I16*(1+J15)</f>
        <v/>
      </c>
      <c r="K16" s="40">
        <f>J16*(1+K15)</f>
        <v/>
      </c>
      <c r="L16" s="16">
        <f>IFERROR(IF(AND(ISNUMBER(D16),ISNUMBER(K16),D16&gt;0),(K16/D16)^(1/7)-1,""),"")</f>
        <v/>
      </c>
      <c r="M16" s="3" t="inlineStr">
        <is>
          <t>Computed</t>
        </is>
      </c>
      <c r="N16" s="13" t="inlineStr">
        <is>
          <t>High</t>
        </is>
      </c>
      <c r="O16" s="3" t="inlineStr">
        <is>
          <t>Compounds the growth rate above.</t>
        </is>
      </c>
    </row>
    <row r="17">
      <c r="B17" s="10" t="inlineStr">
        <is>
          <t>CPI inflation</t>
        </is>
      </c>
      <c r="C17" s="11" t="inlineStr">
        <is>
          <t>%</t>
        </is>
      </c>
      <c r="D17" s="16" t="n">
        <v>0.051</v>
      </c>
      <c r="E17" s="16" t="inlineStr">
        <is>
          <t>'02 Model Assumptions'!E$125</t>
        </is>
      </c>
      <c r="F17" s="16" t="inlineStr">
        <is>
          <t>'02 Model Assumptions'!F$125</t>
        </is>
      </c>
      <c r="G17" s="16" t="inlineStr">
        <is>
          <t>'02 Model Assumptions'!G$125</t>
        </is>
      </c>
      <c r="H17" s="16" t="inlineStr">
        <is>
          <t>'02 Model Assumptions'!H$125</t>
        </is>
      </c>
      <c r="I17" s="16" t="inlineStr">
        <is>
          <t>'02 Model Assumptions'!I$125</t>
        </is>
      </c>
      <c r="J17" s="16" t="inlineStr">
        <is>
          <t>'02 Model Assumptions'!J$125</t>
        </is>
      </c>
      <c r="K17" s="16" t="inlineStr">
        <is>
          <t>'02 Model Assumptions'!K$125</t>
        </is>
      </c>
      <c r="M17" s="3" t="inlineStr">
        <is>
          <t>RBI MPC 05-Jun-2026</t>
        </is>
      </c>
      <c r="N17" s="13" t="inlineStr">
        <is>
          <t>High</t>
        </is>
      </c>
      <c r="O17" s="3" t="inlineStr">
        <is>
          <t>RBI raised its FY2027 CPI projection by 50bps to 5.1%. Converges to the 4.5% mid-point of the 4% plus or minus 2% target band.</t>
        </is>
      </c>
    </row>
    <row r="18">
      <c r="B18" s="10" t="inlineStr">
        <is>
          <t>Nominal GDP index</t>
        </is>
      </c>
      <c r="C18" s="11" t="inlineStr">
        <is>
          <t>FY2026A=100</t>
        </is>
      </c>
      <c r="D18" s="40" t="n">
        <v>100</v>
      </c>
      <c r="E18" s="40">
        <f>D18*(1+E15)*(1+E17)</f>
        <v/>
      </c>
      <c r="F18" s="40">
        <f>E18*(1+F15)*(1+F17)</f>
        <v/>
      </c>
      <c r="G18" s="40">
        <f>F18*(1+G15)*(1+G17)</f>
        <v/>
      </c>
      <c r="H18" s="40">
        <f>G18*(1+H15)*(1+H17)</f>
        <v/>
      </c>
      <c r="I18" s="40">
        <f>H18*(1+I15)*(1+I17)</f>
        <v/>
      </c>
      <c r="J18" s="40">
        <f>I18*(1+J15)*(1+J17)</f>
        <v/>
      </c>
      <c r="K18" s="40">
        <f>J18*(1+K15)*(1+K17)</f>
        <v/>
      </c>
      <c r="L18" s="16">
        <f>IFERROR(IF(AND(ISNUMBER(D18),ISNUMBER(K18),D18&gt;0),(K18/D18)^(1/7)-1,""),"")</f>
        <v/>
      </c>
      <c r="M18" s="3" t="inlineStr">
        <is>
          <t>Computed</t>
        </is>
      </c>
      <c r="N18" s="13" t="inlineStr">
        <is>
          <t>High</t>
        </is>
      </c>
      <c r="O18" s="3" t="inlineStr">
        <is>
          <t>Real growth compounded with inflation.</t>
        </is>
      </c>
    </row>
    <row r="20">
      <c r="B20" s="5" t="inlineStr">
        <is>
          <t>EXCHANGE RATE AND INTEREST RATES</t>
        </is>
      </c>
    </row>
    <row r="21">
      <c r="B21" s="10" t="inlineStr">
        <is>
          <t>USD/INR (average)</t>
        </is>
      </c>
      <c r="C21" s="11" t="inlineStr">
        <is>
          <t>Rs/US$</t>
        </is>
      </c>
      <c r="D21" s="34" t="n">
        <v>88.40000000000001</v>
      </c>
      <c r="E21" s="34" t="inlineStr">
        <is>
          <t>'02 Model Assumptions'!E$124</t>
        </is>
      </c>
      <c r="F21" s="34" t="inlineStr">
        <is>
          <t>'02 Model Assumptions'!F$124</t>
        </is>
      </c>
      <c r="G21" s="34" t="inlineStr">
        <is>
          <t>'02 Model Assumptions'!G$124</t>
        </is>
      </c>
      <c r="H21" s="34" t="inlineStr">
        <is>
          <t>'02 Model Assumptions'!H$124</t>
        </is>
      </c>
      <c r="I21" s="34" t="inlineStr">
        <is>
          <t>'02 Model Assumptions'!I$124</t>
        </is>
      </c>
      <c r="J21" s="34" t="inlineStr">
        <is>
          <t>'02 Model Assumptions'!J$124</t>
        </is>
      </c>
      <c r="K21" s="34" t="inlineStr">
        <is>
          <t>'02 Model Assumptions'!K$124</t>
        </is>
      </c>
      <c r="L21" s="16">
        <f>IFERROR(IF(AND(ISNUMBER(D21),ISNUMBER(K21),D21&gt;0),(K21/D21)^(1/7)-1,""),"")</f>
        <v/>
      </c>
      <c r="M21" s="3" t="inlineStr">
        <is>
          <t>IDBI Capital 22-Jun-2026</t>
        </is>
      </c>
      <c r="N21" s="13" t="inlineStr">
        <is>
          <t>High</t>
        </is>
      </c>
      <c r="O21" s="3" t="inlineStr">
        <is>
          <t>FY2026A of 88.4 is DERIVED from Tata Steel's dual-currency disclosure in the database - consolidated EBITDA/t of Rs 10,900 against US$124 gives 87.90, India EBITDA/t of Rs 15,213 against US$172 gives 88.45, and group turnover of Rs 2,32,140 cr against US$26bn gives 89.28. Spot was 94 on 22-Jun-2026 with a 52-week range of 85 to 98.</t>
        </is>
      </c>
    </row>
    <row r="22">
      <c r="B22" s="10" t="inlineStr">
        <is>
          <t>INR depreciation</t>
        </is>
      </c>
      <c r="C22" s="11" t="inlineStr">
        <is>
          <t>%</t>
        </is>
      </c>
      <c r="E22" s="16">
        <f>E21/D21-1</f>
        <v/>
      </c>
      <c r="F22" s="16">
        <f>F21/E21-1</f>
        <v/>
      </c>
      <c r="G22" s="16">
        <f>G21/F21-1</f>
        <v/>
      </c>
      <c r="H22" s="16">
        <f>H21/G21-1</f>
        <v/>
      </c>
      <c r="I22" s="16">
        <f>I21/H21-1</f>
        <v/>
      </c>
      <c r="J22" s="16">
        <f>J21/I21-1</f>
        <v/>
      </c>
      <c r="K22" s="16">
        <f>K21/J21-1</f>
        <v/>
      </c>
      <c r="M22" s="3" t="inlineStr">
        <is>
          <t>Computed</t>
        </is>
      </c>
      <c r="N22" s="13" t="inlineStr">
        <is>
          <t>High</t>
        </is>
      </c>
      <c r="O22" s="3" t="inlineStr">
        <is>
          <t>Positive equals depreciation, which raises rupee raw-material cost but also raises the rupee landed cost of imports and therefore supports domestic realisations.</t>
        </is>
      </c>
    </row>
    <row r="23">
      <c r="B23" s="10" t="inlineStr">
        <is>
          <t>10-year G-sec yield</t>
        </is>
      </c>
      <c r="C23" s="11" t="inlineStr">
        <is>
          <t>%</t>
        </is>
      </c>
      <c r="D23" s="16" t="n">
        <v>0.0683</v>
      </c>
      <c r="E23" s="16">
        <f>'02 Model Assumptions'!$D$164</f>
        <v/>
      </c>
      <c r="F23" s="16">
        <f>'02 Model Assumptions'!$D$164</f>
        <v/>
      </c>
      <c r="G23" s="16">
        <f>'02 Model Assumptions'!$D$164</f>
        <v/>
      </c>
      <c r="H23" s="16">
        <f>'02 Model Assumptions'!$D$164</f>
        <v/>
      </c>
      <c r="I23" s="16">
        <f>'02 Model Assumptions'!$D$164</f>
        <v/>
      </c>
      <c r="J23" s="16">
        <f>'02 Model Assumptions'!$D$164</f>
        <v/>
      </c>
      <c r="K23" s="16">
        <f>'02 Model Assumptions'!$D$164</f>
        <v/>
      </c>
      <c r="M23" s="3" t="inlineStr">
        <is>
          <t>investing.com 31-Jul-2026</t>
        </is>
      </c>
      <c r="N23" s="13" t="inlineStr">
        <is>
          <t>High</t>
        </is>
      </c>
      <c r="O23" s="3" t="inlineStr">
        <is>
          <t>6.833% on 31-Jul-2026. Trading Economics expects 6.78% at quarter end. Held flat across the horizon - a term-structure forecast is not attempted.</t>
        </is>
      </c>
    </row>
    <row r="24">
      <c r="B24" s="10" t="inlineStr">
        <is>
          <t>WACC (nominal, INR)</t>
        </is>
      </c>
      <c r="C24" s="11" t="inlineStr">
        <is>
          <t>%</t>
        </is>
      </c>
      <c r="E24" s="16" t="inlineStr">
        <is>
          <t>'02 Model Assumptions'!E$141</t>
        </is>
      </c>
      <c r="F24" s="16" t="inlineStr">
        <is>
          <t>'02 Model Assumptions'!F$141</t>
        </is>
      </c>
      <c r="G24" s="16" t="inlineStr">
        <is>
          <t>'02 Model Assumptions'!G$141</t>
        </is>
      </c>
      <c r="H24" s="16" t="inlineStr">
        <is>
          <t>'02 Model Assumptions'!H$141</t>
        </is>
      </c>
      <c r="I24" s="16" t="inlineStr">
        <is>
          <t>'02 Model Assumptions'!I$141</t>
        </is>
      </c>
      <c r="J24" s="16" t="inlineStr">
        <is>
          <t>'02 Model Assumptions'!J$141</t>
        </is>
      </c>
      <c r="K24" s="16" t="inlineStr">
        <is>
          <t>'02 Model Assumptions'!K$141</t>
        </is>
      </c>
      <c r="M24" s="3" t="inlineStr">
        <is>
          <t>Composite - see 02 Section D</t>
        </is>
      </c>
      <c r="N24" s="13" t="inlineStr">
        <is>
          <t>Medium</t>
        </is>
      </c>
      <c r="O24" s="3" t="inlineStr">
        <is>
          <t>Used for discounting on 23 Comparable Valuation. Cross-checked against the build-up on 02 Section D by 25 Audit Checks.</t>
        </is>
      </c>
    </row>
    <row r="26">
      <c r="B26" s="30" t="inlineStr">
        <is>
          <t>Macro drivers are scenario-dependent: the stress case applies a 220bps FY2027 GDP shock and takes USD/INR beyond its 52-week low.</t>
        </is>
      </c>
    </row>
  </sheetData>
  <printOptions horizontalCentered="1"/>
  <pageMargins left="0.75" right="0.75" top="1" bottom="1" header="0.5" footer="0.5"/>
  <pageSetup orientation="landscape" fitToHeight="0" fitToWidth="1"/>
</worksheet>
</file>

<file path=xl/worksheets/sheet8.xml><?xml version="1.0" encoding="utf-8"?>
<worksheet xmlns="http://schemas.openxmlformats.org/spreadsheetml/2006/main">
  <sheetPr>
    <tabColor rgb="001F3864"/>
    <outlinePr summaryBelow="1" summaryRight="1"/>
    <pageSetUpPr fitToPage="1"/>
  </sheetPr>
  <dimension ref="A1:O25"/>
  <sheetViews>
    <sheetView showGridLines="0" workbookViewId="0">
      <selection activeCell="A1" sqref="A1"/>
    </sheetView>
  </sheetViews>
  <sheetFormatPr baseColWidth="8" defaultRowHeight="15"/>
  <cols>
    <col width="7" customWidth="1" min="1" max="1"/>
    <col width="52" customWidth="1" min="2" max="2"/>
    <col width="1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95" customWidth="1" min="15" max="15"/>
  </cols>
  <sheetData>
    <row r="1" ht="19" customHeight="1">
      <c r="B1" s="1" t="inlineStr">
        <is>
          <t>04  Steel Demand Model</t>
        </is>
      </c>
    </row>
    <row r="2">
      <c r="B2" s="4" t="inlineStr">
        <is>
          <t>Industry Financial Model  |  Indian Steel Industry  |  Horizon FY2027E-FY2033E  |  Base year FY2026A  |  Built 03-Aug-2026</t>
        </is>
      </c>
    </row>
    <row r="3">
      <c r="B3" s="3" t="inlineStr"/>
    </row>
    <row r="4">
      <c r="B4" s="4" t="inlineStr">
        <is>
          <t>OBJECTIVE</t>
        </is>
      </c>
    </row>
    <row r="5">
      <c r="B5" s="3" t="inlineStr">
        <is>
          <t>Forecasts India's apparent finished steel consumption, the demand anchor for the whole model.</t>
        </is>
      </c>
    </row>
    <row r="6">
      <c r="B6" s="4" t="inlineStr">
        <is>
          <t>METHODOLOGY</t>
        </is>
      </c>
    </row>
    <row r="7">
      <c r="B7" s="3" t="inlineStr">
        <is>
          <t>Consumption growth equals real GDP growth multiplied by a steel demand elasticity. The elasticity is not assumed - it is calibrated to realised history: consumption compounded at 7.13% from 76.99 Mt in FY2015 to 164.19 Mt in FY2026 against real GDP CAGR of roughly 6.3-6.7%, giving 1.06x to 1.13x. It is set at 1.15x near term, consistent with worldsteel's Apr-2026 forecast of +7.4% in CY2026 and +9.2% in CY2027 against RBI GDP of 6.6%, then tapers to 1.05x on maturing intensity.</t>
        </is>
      </c>
    </row>
    <row r="8">
      <c r="B8" s="4" t="inlineStr">
        <is>
          <t>UNITS</t>
        </is>
      </c>
    </row>
    <row r="9">
      <c r="B9" s="3" t="inlineStr">
        <is>
          <t>Mt. Population in billions. Per capita in kg.</t>
        </is>
      </c>
    </row>
    <row r="10">
      <c r="B10" s="4" t="inlineStr">
        <is>
          <t>DEPENDENCIES</t>
        </is>
      </c>
    </row>
    <row r="11">
      <c r="B11" s="3" t="inlineStr">
        <is>
          <t>Reads 03 Macroeconomic Model and 02 Model Assumptions. Read by 05 Steel Supply.</t>
        </is>
      </c>
    </row>
    <row r="12">
      <c r="B12" s="3" t="inlineStr"/>
    </row>
    <row r="13" ht="30" customHeight="1">
      <c r="A13" s="7" t="inlineStr"/>
      <c r="B13" s="8" t="inlineStr">
        <is>
          <t>Line item</t>
        </is>
      </c>
      <c r="C13" s="8" t="inlineStr">
        <is>
          <t>Unit</t>
        </is>
      </c>
      <c r="D13" s="7" t="inlineStr">
        <is>
          <t>FY2026A</t>
        </is>
      </c>
      <c r="E13" s="7" t="inlineStr">
        <is>
          <t>FY2027E</t>
        </is>
      </c>
      <c r="F13" s="7" t="inlineStr">
        <is>
          <t>FY2028E</t>
        </is>
      </c>
      <c r="G13" s="7" t="inlineStr">
        <is>
          <t>FY2029E</t>
        </is>
      </c>
      <c r="H13" s="7" t="inlineStr">
        <is>
          <t>FY2030E</t>
        </is>
      </c>
      <c r="I13" s="7" t="inlineStr">
        <is>
          <t>FY2031E</t>
        </is>
      </c>
      <c r="J13" s="7" t="inlineStr">
        <is>
          <t>FY2032E</t>
        </is>
      </c>
      <c r="K13" s="7" t="inlineStr">
        <is>
          <t>FY2033E</t>
        </is>
      </c>
      <c r="L13" s="7" t="inlineStr">
        <is>
          <t>CAGR</t>
        </is>
      </c>
      <c r="M13" s="8" t="inlineStr">
        <is>
          <t>Source</t>
        </is>
      </c>
      <c r="N13" s="7" t="inlineStr">
        <is>
          <t>Conf.</t>
        </is>
      </c>
      <c r="O13" s="8" t="inlineStr">
        <is>
          <t>Notes / methodology</t>
        </is>
      </c>
    </row>
    <row r="14">
      <c r="B14" s="10" t="inlineStr">
        <is>
          <t>India real GDP growth</t>
        </is>
      </c>
      <c r="C14" s="11" t="inlineStr">
        <is>
          <t>%</t>
        </is>
      </c>
      <c r="D14" s="16" t="n">
        <v>0.076</v>
      </c>
      <c r="E14" s="16">
        <f>'03 Macroeconomic Model'!E$15</f>
        <v/>
      </c>
      <c r="F14" s="16">
        <f>'03 Macroeconomic Model'!F$15</f>
        <v/>
      </c>
      <c r="G14" s="16">
        <f>'03 Macroeconomic Model'!G$15</f>
        <v/>
      </c>
      <c r="H14" s="16">
        <f>'03 Macroeconomic Model'!H$15</f>
        <v/>
      </c>
      <c r="I14" s="16">
        <f>'03 Macroeconomic Model'!I$15</f>
        <v/>
      </c>
      <c r="J14" s="16">
        <f>'03 Macroeconomic Model'!J$15</f>
        <v/>
      </c>
      <c r="K14" s="16">
        <f>'03 Macroeconomic Model'!K$15</f>
        <v/>
      </c>
      <c r="M14" s="3" t="inlineStr">
        <is>
          <t>03 Macro</t>
        </is>
      </c>
      <c r="N14" s="13" t="inlineStr">
        <is>
          <t>High</t>
        </is>
      </c>
      <c r="O14" s="3" t="inlineStr">
        <is>
          <t>Linked, not re-entered.</t>
        </is>
      </c>
    </row>
    <row r="15">
      <c r="B15" s="10" t="inlineStr">
        <is>
          <t>Steel demand elasticity to GDP</t>
        </is>
      </c>
      <c r="C15" s="11" t="inlineStr">
        <is>
          <t>x</t>
        </is>
      </c>
      <c r="D15" s="33" t="n">
        <v>1.1</v>
      </c>
      <c r="E15" s="33" t="inlineStr">
        <is>
          <t>'02 Model Assumptions'!E$123</t>
        </is>
      </c>
      <c r="F15" s="33" t="inlineStr">
        <is>
          <t>'02 Model Assumptions'!F$123</t>
        </is>
      </c>
      <c r="G15" s="33" t="inlineStr">
        <is>
          <t>'02 Model Assumptions'!G$123</t>
        </is>
      </c>
      <c r="H15" s="33" t="inlineStr">
        <is>
          <t>'02 Model Assumptions'!H$123</t>
        </is>
      </c>
      <c r="I15" s="33" t="inlineStr">
        <is>
          <t>'02 Model Assumptions'!I$123</t>
        </is>
      </c>
      <c r="J15" s="33" t="inlineStr">
        <is>
          <t>'02 Model Assumptions'!J$123</t>
        </is>
      </c>
      <c r="K15" s="33" t="inlineStr">
        <is>
          <t>'02 Model Assumptions'!K$123</t>
        </is>
      </c>
      <c r="M15" s="3" t="inlineStr">
        <is>
          <t>Derived from Master DB</t>
        </is>
      </c>
      <c r="N15" s="13" t="inlineStr">
        <is>
          <t>High</t>
        </is>
      </c>
      <c r="O15" s="3" t="inlineStr">
        <is>
          <t>FY2026A of 1.10x is the realised FY2015-FY2026 average, the midpoint of the 1.06x-1.13x range depending on the GDP deflator used.</t>
        </is>
      </c>
    </row>
    <row r="16">
      <c r="B16" s="10" t="inlineStr">
        <is>
          <t>Implied consumption growth</t>
        </is>
      </c>
      <c r="C16" s="11" t="inlineStr">
        <is>
          <t>%</t>
        </is>
      </c>
      <c r="D16" s="16" t="n">
        <v>0.079</v>
      </c>
      <c r="E16" s="16">
        <f>E14*E15</f>
        <v/>
      </c>
      <c r="F16" s="16">
        <f>F14*F15</f>
        <v/>
      </c>
      <c r="G16" s="16">
        <f>G14*G15</f>
        <v/>
      </c>
      <c r="H16" s="16">
        <f>H14*H15</f>
        <v/>
      </c>
      <c r="I16" s="16">
        <f>I14*I15</f>
        <v/>
      </c>
      <c r="J16" s="16">
        <f>J14*J15</f>
        <v/>
      </c>
      <c r="K16" s="16">
        <f>K14*K15</f>
        <v/>
      </c>
      <c r="M16" s="3" t="inlineStr">
        <is>
          <t>Computed</t>
        </is>
      </c>
      <c r="N16" s="13" t="inlineStr">
        <is>
          <t>High</t>
        </is>
      </c>
      <c r="O16" s="3" t="inlineStr">
        <is>
          <t>FY2026A of 7.9% is the actual reported growth, against 7.6% GDP times 1.04x realised elasticity - the model's structure reproduces the actual outturn.</t>
        </is>
      </c>
    </row>
    <row r="17">
      <c r="B17" s="26" t="inlineStr">
        <is>
          <t>Apparent finished steel consumption</t>
        </is>
      </c>
      <c r="C17" s="11" t="inlineStr">
        <is>
          <t>Mt</t>
        </is>
      </c>
      <c r="D17" s="41" t="n">
        <v>163.74</v>
      </c>
      <c r="E17" s="41">
        <f>D17*(1+E16)</f>
        <v/>
      </c>
      <c r="F17" s="41">
        <f>E17*(1+F16)</f>
        <v/>
      </c>
      <c r="G17" s="41">
        <f>F17*(1+G16)</f>
        <v/>
      </c>
      <c r="H17" s="41">
        <f>G17*(1+H16)</f>
        <v/>
      </c>
      <c r="I17" s="41">
        <f>H17*(1+I16)</f>
        <v/>
      </c>
      <c r="J17" s="41">
        <f>I17*(1+J16)</f>
        <v/>
      </c>
      <c r="K17" s="41">
        <f>J17*(1+K16)</f>
        <v/>
      </c>
      <c r="L17" s="16">
        <f>IFERROR(IF(AND(ISNUMBER(D17),ISNUMBER(K17),D17&gt;0),(K17/D17)^(1/7)-1,""),"")</f>
        <v/>
      </c>
      <c r="M17" s="3" t="inlineStr">
        <is>
          <t>00 Database Import A03</t>
        </is>
      </c>
      <c r="N17" s="13" t="inlineStr">
        <is>
          <t>High</t>
        </is>
      </c>
      <c r="O17" s="3" t="inlineStr">
        <is>
          <t>FY2026A of 163.74 Mt is the April-2026 JPC vintage, which is the internally self-reconciling balance. The June-2026 vintage of 164.19 Mt is a memo below.</t>
        </is>
      </c>
    </row>
    <row r="18">
      <c r="B18" s="10" t="inlineStr">
        <is>
          <t xml:space="preserve">  Memo: June-2026 JPC vintage, FY2026 actual</t>
        </is>
      </c>
      <c r="C18" s="11" t="inlineStr">
        <is>
          <t>Mt</t>
        </is>
      </c>
      <c r="D18" s="34" t="n">
        <v>164.19</v>
      </c>
      <c r="M18" s="3" t="inlineStr">
        <is>
          <t>Master DB</t>
        </is>
      </c>
      <c r="N18" s="13" t="inlineStr">
        <is>
          <t>High</t>
        </is>
      </c>
      <c r="O18" s="3" t="inlineStr">
        <is>
          <t>Carried so the vintage difference is visible rather than buried - Master DB Conflict C03. The 0.45 Mt difference is 0.27%.</t>
        </is>
      </c>
    </row>
    <row r="20">
      <c r="B20" s="5" t="inlineStr">
        <is>
          <t>DEMAND INTENSITY</t>
        </is>
      </c>
    </row>
    <row r="21">
      <c r="B21" s="10" t="inlineStr">
        <is>
          <t>Population</t>
        </is>
      </c>
      <c r="C21" s="11" t="inlineStr">
        <is>
          <t>bn</t>
        </is>
      </c>
      <c r="D21" s="42" t="n">
        <v>1.4191</v>
      </c>
      <c r="E21" s="42">
        <f>D21*(1+$D$22)</f>
        <v/>
      </c>
      <c r="F21" s="42">
        <f>E21*(1+$D$22)</f>
        <v/>
      </c>
      <c r="G21" s="42">
        <f>F21*(1+$D$22)</f>
        <v/>
      </c>
      <c r="H21" s="42">
        <f>G21*(1+$D$22)</f>
        <v/>
      </c>
      <c r="I21" s="42">
        <f>H21*(1+$D$22)</f>
        <v/>
      </c>
      <c r="J21" s="42">
        <f>I21*(1+$D$22)</f>
        <v/>
      </c>
      <c r="K21" s="42">
        <f>J21*(1+$D$22)</f>
        <v/>
      </c>
      <c r="M21" s="3" t="inlineStr">
        <is>
          <t>Derived</t>
        </is>
      </c>
      <c r="N21" s="13" t="inlineStr">
        <is>
          <t>Medium</t>
        </is>
      </c>
      <c r="O21" s="3" t="inlineStr">
        <is>
          <t>DERIVED from the database: consumption of 163.74 Mt divided by per capita consumption of 115.7 kg gives 1.4152 bn; the 1.4191 bn shown uses the June-vintage consumption of 164.19 Mt against 115.7 kg, which is the internally consistent pairing the database publishes.</t>
        </is>
      </c>
    </row>
    <row r="22">
      <c r="B22" s="10" t="inlineStr">
        <is>
          <t>Population growth</t>
        </is>
      </c>
      <c r="C22" s="11" t="inlineStr">
        <is>
          <t>%</t>
        </is>
      </c>
      <c r="D22" s="16" t="n">
        <v>0.008500000000000001</v>
      </c>
      <c r="M22" s="3" t="inlineStr">
        <is>
          <t>NOT SOURCED</t>
        </is>
      </c>
      <c r="N22" s="13" t="inlineStr">
        <is>
          <t>Low</t>
        </is>
      </c>
      <c r="O22" s="3" t="inlineStr">
        <is>
          <t>0.85% per annum is NOT sourced in this research cycle. Replace with a UN World Population Prospects series. Affects per capita consumption only, not tonnage, so it does not propagate into revenue or EBITDA.</t>
        </is>
      </c>
    </row>
    <row r="23">
      <c r="B23" s="10" t="inlineStr">
        <is>
          <t>Per capita finished steel consumption</t>
        </is>
      </c>
      <c r="C23" s="11" t="inlineStr">
        <is>
          <t>kg</t>
        </is>
      </c>
      <c r="D23" s="40" t="n">
        <v>115.7</v>
      </c>
      <c r="E23" s="40">
        <f>E17/E21</f>
        <v/>
      </c>
      <c r="F23" s="40">
        <f>F17/F21</f>
        <v/>
      </c>
      <c r="G23" s="40">
        <f>G17/G21</f>
        <v/>
      </c>
      <c r="H23" s="40">
        <f>H17/H21</f>
        <v/>
      </c>
      <c r="I23" s="40">
        <f>I17/I21</f>
        <v/>
      </c>
      <c r="J23" s="40">
        <f>J17/J21</f>
        <v/>
      </c>
      <c r="K23" s="40">
        <f>K17/K21</f>
        <v/>
      </c>
      <c r="L23" s="16">
        <f>IFERROR(IF(AND(ISNUMBER(D23),ISNUMBER(K23),D23&gt;0),(K23/D23)^(1/7)-1,""),"")</f>
        <v/>
      </c>
      <c r="M23" s="3" t="inlineStr">
        <is>
          <t>Computed</t>
        </is>
      </c>
      <c r="N23" s="13" t="inlineStr">
        <is>
          <t>Medium</t>
        </is>
      </c>
      <c r="O23" s="3" t="inlineStr">
        <is>
          <t>Consumption in Mt divided by population in bn gives kg per head directly. India is at roughly half the world average of 215 kg and about a fifth of China's 604 kg.</t>
        </is>
      </c>
    </row>
    <row r="25">
      <c r="B25" s="30" t="inlineStr">
        <is>
          <t>Demand is the ONLY block in this model that is not capacity-aware. The capacity ceiling is applied on 05 Steel Supply, so consumption here is unconstrained demand.</t>
        </is>
      </c>
    </row>
  </sheetData>
  <printOptions horizontalCentered="1"/>
  <pageMargins left="0.75" right="0.75" top="1" bottom="1" header="0.5" footer="0.5"/>
  <pageSetup orientation="landscape" fitToHeight="0" fitToWidth="1"/>
</worksheet>
</file>

<file path=xl/worksheets/sheet9.xml><?xml version="1.0" encoding="utf-8"?>
<worksheet xmlns="http://schemas.openxmlformats.org/spreadsheetml/2006/main">
  <sheetPr>
    <tabColor rgb="001F3864"/>
    <outlinePr summaryBelow="1" summaryRight="1"/>
    <pageSetUpPr fitToPage="1"/>
  </sheetPr>
  <dimension ref="A1:O30"/>
  <sheetViews>
    <sheetView showGridLines="0" workbookViewId="0">
      <selection activeCell="A1" sqref="A1"/>
    </sheetView>
  </sheetViews>
  <sheetFormatPr baseColWidth="8" defaultRowHeight="15"/>
  <cols>
    <col width="7" customWidth="1" min="1" max="1"/>
    <col width="52" customWidth="1" min="2" max="2"/>
    <col width="1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95" customWidth="1" min="15" max="15"/>
  </cols>
  <sheetData>
    <row r="1" ht="19" customHeight="1">
      <c r="B1" s="1" t="inlineStr">
        <is>
          <t>05  Steel Supply Model</t>
        </is>
      </c>
    </row>
    <row r="2">
      <c r="B2" s="4" t="inlineStr">
        <is>
          <t>Industry Financial Model  |  Indian Steel Industry  |  Horizon FY2027E-FY2033E  |  Base year FY2026A  |  Built 03-Aug-2026</t>
        </is>
      </c>
    </row>
    <row r="3">
      <c r="B3" s="3" t="inlineStr"/>
    </row>
    <row r="4">
      <c r="B4" s="4" t="inlineStr">
        <is>
          <t>OBJECTIVE</t>
        </is>
      </c>
    </row>
    <row r="5">
      <c r="B5" s="3" t="inlineStr">
        <is>
          <t>Converts demand into required domestic production, applies a practical capacity ceiling, and routes any shortfall to imports so that the supply balance always closes.</t>
        </is>
      </c>
    </row>
    <row r="6">
      <c r="B6" s="4" t="inlineStr">
        <is>
          <t>METHODOLOGY</t>
        </is>
      </c>
    </row>
    <row r="7">
      <c r="B7" s="3" t="inlineStr">
        <is>
          <t>The identity is the Joint Plant Committee's own: consumption equals production plus imports less exports adjusted for the change in stocks. Rearranged, required finished production equals consumption plus net exports plus the stock change. Crude steel equals finished production multiplied by the crude-to-finished ratio of 1.0465, which is the FY2026 actual on the April-2026 vintage. Production is then capped at capacity times maximum practical utilisation of 92%; where demand would exceed that, the shortfall is met by additional imports rather than by impossible domestic output.</t>
        </is>
      </c>
    </row>
    <row r="8">
      <c r="B8" s="4" t="inlineStr">
        <is>
          <t>UNITS</t>
        </is>
      </c>
    </row>
    <row r="9">
      <c r="B9" s="3" t="inlineStr">
        <is>
          <t>Mt. Ratio in times.</t>
        </is>
      </c>
    </row>
    <row r="10">
      <c r="B10" s="4" t="inlineStr">
        <is>
          <t>DEPENDENCIES</t>
        </is>
      </c>
    </row>
    <row r="11">
      <c r="B11" s="3" t="inlineStr">
        <is>
          <t>Reads 04 Steel Demand, 06 Capacity Forecast, 02 Model Assumptions. Read by 09, 11, 12, 13, 19.</t>
        </is>
      </c>
    </row>
    <row r="12">
      <c r="B12" s="3" t="inlineStr"/>
    </row>
    <row r="13" ht="30" customHeight="1">
      <c r="A13" s="7" t="inlineStr"/>
      <c r="B13" s="8" t="inlineStr">
        <is>
          <t>Line item</t>
        </is>
      </c>
      <c r="C13" s="8" t="inlineStr">
        <is>
          <t>Unit</t>
        </is>
      </c>
      <c r="D13" s="7" t="inlineStr">
        <is>
          <t>FY2026A</t>
        </is>
      </c>
      <c r="E13" s="7" t="inlineStr">
        <is>
          <t>FY2027E</t>
        </is>
      </c>
      <c r="F13" s="7" t="inlineStr">
        <is>
          <t>FY2028E</t>
        </is>
      </c>
      <c r="G13" s="7" t="inlineStr">
        <is>
          <t>FY2029E</t>
        </is>
      </c>
      <c r="H13" s="7" t="inlineStr">
        <is>
          <t>FY2030E</t>
        </is>
      </c>
      <c r="I13" s="7" t="inlineStr">
        <is>
          <t>FY2031E</t>
        </is>
      </c>
      <c r="J13" s="7" t="inlineStr">
        <is>
          <t>FY2032E</t>
        </is>
      </c>
      <c r="K13" s="7" t="inlineStr">
        <is>
          <t>FY2033E</t>
        </is>
      </c>
      <c r="L13" s="7" t="inlineStr">
        <is>
          <t>CAGR</t>
        </is>
      </c>
      <c r="M13" s="8" t="inlineStr">
        <is>
          <t>Source</t>
        </is>
      </c>
      <c r="N13" s="7" t="inlineStr">
        <is>
          <t>Conf.</t>
        </is>
      </c>
      <c r="O13" s="8" t="inlineStr">
        <is>
          <t>Notes / methodology</t>
        </is>
      </c>
    </row>
    <row r="14">
      <c r="B14" s="10" t="inlineStr">
        <is>
          <t>Apparent finished steel consumption</t>
        </is>
      </c>
      <c r="C14" s="11" t="inlineStr">
        <is>
          <t>Mt</t>
        </is>
      </c>
      <c r="D14" s="34" t="n">
        <v>163.74</v>
      </c>
      <c r="E14" s="34">
        <f>'04 Steel Demand Model'!E$17</f>
        <v/>
      </c>
      <c r="F14" s="34">
        <f>'04 Steel Demand Model'!F$17</f>
        <v/>
      </c>
      <c r="G14" s="34">
        <f>'04 Steel Demand Model'!G$17</f>
        <v/>
      </c>
      <c r="H14" s="34">
        <f>'04 Steel Demand Model'!H$17</f>
        <v/>
      </c>
      <c r="I14" s="34">
        <f>'04 Steel Demand Model'!I$17</f>
        <v/>
      </c>
      <c r="J14" s="34">
        <f>'04 Steel Demand Model'!J$17</f>
        <v/>
      </c>
      <c r="K14" s="34">
        <f>'04 Steel Demand Model'!K$17</f>
        <v/>
      </c>
      <c r="M14" s="3" t="inlineStr">
        <is>
          <t>04 Demand</t>
        </is>
      </c>
      <c r="N14" s="13" t="inlineStr">
        <is>
          <t>High</t>
        </is>
      </c>
    </row>
    <row r="15">
      <c r="B15" s="10" t="inlineStr">
        <is>
          <t>Net finished steel exports</t>
        </is>
      </c>
      <c r="C15" s="11" t="inlineStr">
        <is>
          <t>Mt</t>
        </is>
      </c>
      <c r="D15" s="34" t="n">
        <v>0.078</v>
      </c>
      <c r="E15" s="34" t="inlineStr">
        <is>
          <t>'02 Model Assumptions'!E$128</t>
        </is>
      </c>
      <c r="F15" s="34" t="inlineStr">
        <is>
          <t>'02 Model Assumptions'!F$128</t>
        </is>
      </c>
      <c r="G15" s="34" t="inlineStr">
        <is>
          <t>'02 Model Assumptions'!G$128</t>
        </is>
      </c>
      <c r="H15" s="34" t="inlineStr">
        <is>
          <t>'02 Model Assumptions'!H$128</t>
        </is>
      </c>
      <c r="I15" s="34" t="inlineStr">
        <is>
          <t>'02 Model Assumptions'!I$128</t>
        </is>
      </c>
      <c r="J15" s="34" t="inlineStr">
        <is>
          <t>'02 Model Assumptions'!J$128</t>
        </is>
      </c>
      <c r="K15" s="34" t="inlineStr">
        <is>
          <t>'02 Model Assumptions'!K$128</t>
        </is>
      </c>
      <c r="M15" s="3" t="inlineStr">
        <is>
          <t>Derived from Master DB</t>
        </is>
      </c>
      <c r="N15" s="13" t="inlineStr">
        <is>
          <t>Medium</t>
        </is>
      </c>
      <c r="O15" s="3" t="inlineStr">
        <is>
          <t>FY2026A of +0.078 Mt - India returned to net exporter status having been 4.693 Mt net importer in FY2025, a 4.77 Mt swing in one year.</t>
        </is>
      </c>
    </row>
    <row r="16">
      <c r="B16" s="10" t="inlineStr">
        <is>
          <t>Variation in stock</t>
        </is>
      </c>
      <c r="C16" s="11" t="inlineStr">
        <is>
          <t>Mt</t>
        </is>
      </c>
      <c r="D16" s="34" t="n">
        <v>-2.88</v>
      </c>
      <c r="E16" s="34" t="inlineStr">
        <is>
          <t>'02 Model Assumptions'!E$129</t>
        </is>
      </c>
      <c r="F16" s="34" t="inlineStr">
        <is>
          <t>'02 Model Assumptions'!F$129</t>
        </is>
      </c>
      <c r="G16" s="34" t="inlineStr">
        <is>
          <t>'02 Model Assumptions'!G$129</t>
        </is>
      </c>
      <c r="H16" s="34" t="inlineStr">
        <is>
          <t>'02 Model Assumptions'!H$129</t>
        </is>
      </c>
      <c r="I16" s="34" t="inlineStr">
        <is>
          <t>'02 Model Assumptions'!I$129</t>
        </is>
      </c>
      <c r="J16" s="34" t="inlineStr">
        <is>
          <t>'02 Model Assumptions'!J$129</t>
        </is>
      </c>
      <c r="K16" s="34" t="inlineStr">
        <is>
          <t>'02 Model Assumptions'!K$129</t>
        </is>
      </c>
      <c r="M16" s="3" t="inlineStr">
        <is>
          <t>Master DB supply balance</t>
        </is>
      </c>
      <c r="N16" s="13" t="inlineStr">
        <is>
          <t>Medium</t>
        </is>
      </c>
      <c r="O16" s="3" t="inlineStr">
        <is>
          <t>FY2026A of -2.88 Mt, i.e. a DESTOCK of about 1.8% of consumption which flattered reported consumption growth. Base normalises to a small restock.</t>
        </is>
      </c>
    </row>
    <row r="17">
      <c r="B17" s="10" t="inlineStr">
        <is>
          <t>Required finished steel production</t>
        </is>
      </c>
      <c r="C17" s="11" t="inlineStr">
        <is>
          <t>Mt</t>
        </is>
      </c>
      <c r="D17" s="34" t="n">
        <v>160.94</v>
      </c>
      <c r="E17" s="34">
        <f>E14+E15+E16</f>
        <v/>
      </c>
      <c r="F17" s="34">
        <f>F14+F15+F16</f>
        <v/>
      </c>
      <c r="G17" s="34">
        <f>G14+G15+G16</f>
        <v/>
      </c>
      <c r="H17" s="34">
        <f>H14+H15+H16</f>
        <v/>
      </c>
      <c r="I17" s="34">
        <f>I14+I15+I16</f>
        <v/>
      </c>
      <c r="J17" s="34">
        <f>J14+J15+J16</f>
        <v/>
      </c>
      <c r="K17" s="34">
        <f>K14+K15+K16</f>
        <v/>
      </c>
      <c r="M17" s="3" t="inlineStr">
        <is>
          <t>Computed - JPC identity</t>
        </is>
      </c>
      <c r="N17" s="13" t="inlineStr">
        <is>
          <t>High</t>
        </is>
      </c>
      <c r="O17" s="3" t="inlineStr">
        <is>
          <t>IDENTITY CHECK: 163.74 + 0.078 + (-2.88) = 160.94, which equals the reported FY2026 finished steel production exactly. The balance closes.</t>
        </is>
      </c>
    </row>
    <row r="18">
      <c r="B18" s="10" t="inlineStr">
        <is>
          <t>Crude-to-finished steel ratio</t>
        </is>
      </c>
      <c r="C18" s="11" t="inlineStr">
        <is>
          <t>x</t>
        </is>
      </c>
      <c r="D18" s="33" t="n">
        <v>1.04647</v>
      </c>
      <c r="E18" s="33" t="inlineStr">
        <is>
          <t>'02 Model Assumptions'!E$127</t>
        </is>
      </c>
      <c r="F18" s="33" t="inlineStr">
        <is>
          <t>'02 Model Assumptions'!F$127</t>
        </is>
      </c>
      <c r="G18" s="33" t="inlineStr">
        <is>
          <t>'02 Model Assumptions'!G$127</t>
        </is>
      </c>
      <c r="H18" s="33" t="inlineStr">
        <is>
          <t>'02 Model Assumptions'!H$127</t>
        </is>
      </c>
      <c r="I18" s="33" t="inlineStr">
        <is>
          <t>'02 Model Assumptions'!I$127</t>
        </is>
      </c>
      <c r="J18" s="33" t="inlineStr">
        <is>
          <t>'02 Model Assumptions'!J$127</t>
        </is>
      </c>
      <c r="K18" s="33" t="inlineStr">
        <is>
          <t>'02 Model Assumptions'!K$127</t>
        </is>
      </c>
      <c r="M18" s="3" t="inlineStr">
        <is>
          <t>Derived from Master DB</t>
        </is>
      </c>
      <c r="N18" s="13" t="inlineStr">
        <is>
          <t>High</t>
        </is>
      </c>
      <c r="O18" s="3" t="inlineStr">
        <is>
          <t>168.42 / 160.94 on the April-2026 vintage. On the June vintage it would be 1.0413, a 0.5% difference.</t>
        </is>
      </c>
    </row>
    <row r="19">
      <c r="B19" s="10" t="inlineStr">
        <is>
          <t>Required crude steel production (unconstrained)</t>
        </is>
      </c>
      <c r="C19" s="11" t="inlineStr">
        <is>
          <t>Mt</t>
        </is>
      </c>
      <c r="D19" s="34" t="n">
        <v>168.42</v>
      </c>
      <c r="E19" s="34">
        <f>E17*E18</f>
        <v/>
      </c>
      <c r="F19" s="34">
        <f>F17*F18</f>
        <v/>
      </c>
      <c r="G19" s="34">
        <f>G17*G18</f>
        <v/>
      </c>
      <c r="H19" s="34">
        <f>H17*H18</f>
        <v/>
      </c>
      <c r="I19" s="34">
        <f>I17*I18</f>
        <v/>
      </c>
      <c r="J19" s="34">
        <f>J17*J18</f>
        <v/>
      </c>
      <c r="K19" s="34">
        <f>K17*K18</f>
        <v/>
      </c>
      <c r="M19" s="3" t="inlineStr">
        <is>
          <t>Computed</t>
        </is>
      </c>
      <c r="N19" s="13" t="inlineStr">
        <is>
          <t>High</t>
        </is>
      </c>
    </row>
    <row r="21">
      <c r="B21" s="5" t="inlineStr">
        <is>
          <t>CAPACITY CEILING</t>
        </is>
      </c>
    </row>
    <row r="22">
      <c r="B22" s="10" t="inlineStr">
        <is>
          <t>Crude steel capacity</t>
        </is>
      </c>
      <c r="C22" s="11" t="inlineStr">
        <is>
          <t>Mtpa</t>
        </is>
      </c>
      <c r="D22" s="40" t="n">
        <v>220.4</v>
      </c>
      <c r="E22" s="40">
        <f>'06 Capacity Forecast'!E$20</f>
        <v/>
      </c>
      <c r="F22" s="40">
        <f>'06 Capacity Forecast'!F$20</f>
        <v/>
      </c>
      <c r="G22" s="40">
        <f>'06 Capacity Forecast'!G$20</f>
        <v/>
      </c>
      <c r="H22" s="40">
        <f>'06 Capacity Forecast'!H$20</f>
        <v/>
      </c>
      <c r="I22" s="40">
        <f>'06 Capacity Forecast'!I$20</f>
        <v/>
      </c>
      <c r="J22" s="40">
        <f>'06 Capacity Forecast'!J$20</f>
        <v/>
      </c>
      <c r="K22" s="40">
        <f>'06 Capacity Forecast'!K$20</f>
        <v/>
      </c>
      <c r="M22" s="3" t="inlineStr">
        <is>
          <t>06 Capacity</t>
        </is>
      </c>
      <c r="N22" s="13" t="inlineStr">
        <is>
          <t>High</t>
        </is>
      </c>
    </row>
    <row r="23">
      <c r="B23" s="10" t="inlineStr">
        <is>
          <t>Maximum practical utilisation</t>
        </is>
      </c>
      <c r="C23" s="11" t="inlineStr">
        <is>
          <t>%</t>
        </is>
      </c>
      <c r="E23" s="16" t="inlineStr">
        <is>
          <t>'02 Model Assumptions'!E$146</t>
        </is>
      </c>
      <c r="F23" s="16" t="inlineStr">
        <is>
          <t>'02 Model Assumptions'!F$146</t>
        </is>
      </c>
      <c r="G23" s="16" t="inlineStr">
        <is>
          <t>'02 Model Assumptions'!G$146</t>
        </is>
      </c>
      <c r="H23" s="16" t="inlineStr">
        <is>
          <t>'02 Model Assumptions'!H$146</t>
        </is>
      </c>
      <c r="I23" s="16" t="inlineStr">
        <is>
          <t>'02 Model Assumptions'!I$146</t>
        </is>
      </c>
      <c r="J23" s="16" t="inlineStr">
        <is>
          <t>'02 Model Assumptions'!J$146</t>
        </is>
      </c>
      <c r="K23" s="16" t="inlineStr">
        <is>
          <t>'02 Model Assumptions'!K$146</t>
        </is>
      </c>
      <c r="M23" s="3" t="inlineStr">
        <is>
          <t>Indicative</t>
        </is>
      </c>
      <c r="N23" s="13" t="inlineStr">
        <is>
          <t>Low</t>
        </is>
      </c>
      <c r="O23" s="3" t="inlineStr">
        <is>
          <t>92%. Allows for maintenance and relining. Individual assets can exceed nameplate - the database records SAIL Rourkela at 103.8% - but a national aggregate cannot.</t>
        </is>
      </c>
    </row>
    <row r="24">
      <c r="B24" s="10" t="inlineStr">
        <is>
          <t>Maximum crude steel production</t>
        </is>
      </c>
      <c r="C24" s="11" t="inlineStr">
        <is>
          <t>Mt</t>
        </is>
      </c>
      <c r="E24" s="34">
        <f>E22*E23</f>
        <v/>
      </c>
      <c r="F24" s="34">
        <f>F22*F23</f>
        <v/>
      </c>
      <c r="G24" s="34">
        <f>G22*G23</f>
        <v/>
      </c>
      <c r="H24" s="34">
        <f>H22*H23</f>
        <v/>
      </c>
      <c r="I24" s="34">
        <f>I22*I23</f>
        <v/>
      </c>
      <c r="J24" s="34">
        <f>J22*J23</f>
        <v/>
      </c>
      <c r="K24" s="34">
        <f>K22*K23</f>
        <v/>
      </c>
      <c r="M24" s="3" t="inlineStr">
        <is>
          <t>Computed</t>
        </is>
      </c>
      <c r="N24" s="13" t="inlineStr">
        <is>
          <t>Low</t>
        </is>
      </c>
    </row>
    <row r="25">
      <c r="B25" s="26" t="inlineStr">
        <is>
          <t>Crude steel production</t>
        </is>
      </c>
      <c r="C25" s="11" t="inlineStr">
        <is>
          <t>Mt</t>
        </is>
      </c>
      <c r="D25" s="41" t="n">
        <v>168.42</v>
      </c>
      <c r="E25" s="41">
        <f>MIN(E19,E24)</f>
        <v/>
      </c>
      <c r="F25" s="41">
        <f>MIN(F19,F24)</f>
        <v/>
      </c>
      <c r="G25" s="41">
        <f>MIN(G19,G24)</f>
        <v/>
      </c>
      <c r="H25" s="41">
        <f>MIN(H19,H24)</f>
        <v/>
      </c>
      <c r="I25" s="41">
        <f>MIN(I19,I24)</f>
        <v/>
      </c>
      <c r="J25" s="41">
        <f>MIN(J19,J24)</f>
        <v/>
      </c>
      <c r="K25" s="41">
        <f>MIN(K19,K24)</f>
        <v/>
      </c>
      <c r="L25" s="16">
        <f>IFERROR(IF(AND(ISNUMBER(D25),ISNUMBER(K25),D25&gt;0),(K25/D25)^(1/7)-1,""),"")</f>
        <v/>
      </c>
      <c r="M25" s="3" t="inlineStr">
        <is>
          <t>Computed</t>
        </is>
      </c>
      <c r="N25" s="13" t="inlineStr">
        <is>
          <t>High</t>
        </is>
      </c>
      <c r="O25" s="3" t="inlineStr">
        <is>
          <t>The binding constraint. In the base case the ceiling does NOT bind - peak utilisation is 84.0% in FY2033 - which is itself an important finding: India is not capacity-constrained on this demand path.</t>
        </is>
      </c>
    </row>
    <row r="26">
      <c r="B26" s="10" t="inlineStr">
        <is>
          <t>Capacity ceiling binding?</t>
        </is>
      </c>
      <c r="C26" s="11" t="inlineStr">
        <is>
          <t>flag</t>
        </is>
      </c>
      <c r="E26" s="43">
        <f>IF(E19&gt;E24+0.001,"BINDING","no")</f>
        <v/>
      </c>
      <c r="F26" s="43">
        <f>IF(F19&gt;F24+0.001,"BINDING","no")</f>
        <v/>
      </c>
      <c r="G26" s="43">
        <f>IF(G19&gt;G24+0.001,"BINDING","no")</f>
        <v/>
      </c>
      <c r="H26" s="43">
        <f>IF(H19&gt;H24+0.001,"BINDING","no")</f>
        <v/>
      </c>
      <c r="I26" s="43">
        <f>IF(I19&gt;I24+0.001,"BINDING","no")</f>
        <v/>
      </c>
      <c r="J26" s="43">
        <f>IF(J19&gt;J24+0.001,"BINDING","no")</f>
        <v/>
      </c>
      <c r="K26" s="43">
        <f>IF(K19&gt;K24+0.001,"BINDING","no")</f>
        <v/>
      </c>
      <c r="M26" s="3" t="inlineStr">
        <is>
          <t>Computed</t>
        </is>
      </c>
      <c r="N26" s="13" t="inlineStr">
        <is>
          <t>High</t>
        </is>
      </c>
      <c r="O26" s="3" t="inlineStr">
        <is>
          <t>Flags any year where domestic demand cannot be met from domestic capacity.</t>
        </is>
      </c>
    </row>
    <row r="27">
      <c r="B27" s="26" t="inlineStr">
        <is>
          <t>Finished steel production</t>
        </is>
      </c>
      <c r="C27" s="11" t="inlineStr">
        <is>
          <t>Mt</t>
        </is>
      </c>
      <c r="D27" s="41" t="n">
        <v>160.94</v>
      </c>
      <c r="E27" s="41">
        <f>E25/E18</f>
        <v/>
      </c>
      <c r="F27" s="41">
        <f>F25/F18</f>
        <v/>
      </c>
      <c r="G27" s="41">
        <f>G25/G18</f>
        <v/>
      </c>
      <c r="H27" s="41">
        <f>H25/H18</f>
        <v/>
      </c>
      <c r="I27" s="41">
        <f>I25/I18</f>
        <v/>
      </c>
      <c r="J27" s="41">
        <f>J25/J18</f>
        <v/>
      </c>
      <c r="K27" s="41">
        <f>K25/K18</f>
        <v/>
      </c>
      <c r="L27" s="16">
        <f>IFERROR(IF(AND(ISNUMBER(D27),ISNUMBER(K27),D27&gt;0),(K27/D27)^(1/7)-1,""),"")</f>
        <v/>
      </c>
      <c r="M27" s="3" t="inlineStr">
        <is>
          <t>Computed</t>
        </is>
      </c>
      <c r="N27" s="13" t="inlineStr">
        <is>
          <t>High</t>
        </is>
      </c>
    </row>
    <row r="28">
      <c r="B28" s="10" t="inlineStr">
        <is>
          <t>Shortfall met by additional imports</t>
        </is>
      </c>
      <c r="C28" s="11" t="inlineStr">
        <is>
          <t>Mt</t>
        </is>
      </c>
      <c r="D28" s="34" t="n">
        <v>0</v>
      </c>
      <c r="E28" s="34">
        <f>MAX(0,E17-E27)</f>
        <v/>
      </c>
      <c r="F28" s="34">
        <f>MAX(0,F17-F27)</f>
        <v/>
      </c>
      <c r="G28" s="34">
        <f>MAX(0,G17-G27)</f>
        <v/>
      </c>
      <c r="H28" s="34">
        <f>MAX(0,H17-H27)</f>
        <v/>
      </c>
      <c r="I28" s="34">
        <f>MAX(0,I17-I27)</f>
        <v/>
      </c>
      <c r="J28" s="34">
        <f>MAX(0,J17-J27)</f>
        <v/>
      </c>
      <c r="K28" s="34">
        <f>MAX(0,K17-K27)</f>
        <v/>
      </c>
      <c r="M28" s="3" t="inlineStr">
        <is>
          <t>Computed</t>
        </is>
      </c>
      <c r="N28" s="13" t="inlineStr">
        <is>
          <t>High</t>
        </is>
      </c>
      <c r="O28" s="3" t="inlineStr">
        <is>
          <t>Keeps the balance closed when the ceiling binds. Flows through to 19 Trade Model.</t>
        </is>
      </c>
    </row>
    <row r="30">
      <c r="B30" s="30" t="inlineStr">
        <is>
          <t>The model does NOT endogenise supply response - it does not idle capacity when margins turn negative. This is why the stress case should be read as a lower bound on margin rather than a central expectation, and is a documented limitation on 25 Audit Checks.</t>
        </is>
      </c>
    </row>
  </sheetData>
  <printOptions horizontalCentered="1"/>
  <pageMargins left="0.75" right="0.75" top="1" bottom="1" header="0.5" footer="0.5"/>
  <pageSetup orientation="landscape" fitToHeight="0" fitToWidth="1"/>
</worksheet>
</file>

<file path=xl/worksheets/sheet10.xml><?xml version="1.0" encoding="utf-8"?>
<worksheet xmlns="http://schemas.openxmlformats.org/spreadsheetml/2006/main">
  <sheetPr>
    <tabColor rgb="001F3864"/>
    <outlinePr summaryBelow="1" summaryRight="1"/>
    <pageSetUpPr fitToPage="1"/>
  </sheetPr>
  <dimension ref="A1:O27"/>
  <sheetViews>
    <sheetView showGridLines="0" workbookViewId="0">
      <selection activeCell="A1" sqref="A1"/>
    </sheetView>
  </sheetViews>
  <sheetFormatPr baseColWidth="8" defaultRowHeight="15"/>
  <cols>
    <col width="7" customWidth="1" min="1" max="1"/>
    <col width="52" customWidth="1" min="2" max="2"/>
    <col width="1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95" customWidth="1" min="15" max="15"/>
  </cols>
  <sheetData>
    <row r="1" ht="19" customHeight="1">
      <c r="B1" s="1" t="inlineStr">
        <is>
          <t>06  Capacity Forecast</t>
        </is>
      </c>
    </row>
    <row r="2">
      <c r="B2" s="4" t="inlineStr">
        <is>
          <t>Industry Financial Model  |  Indian Steel Industry  |  Horizon FY2027E-FY2033E  |  Base year FY2026A  |  Built 03-Aug-2026</t>
        </is>
      </c>
    </row>
    <row r="3">
      <c r="B3" s="3" t="inlineStr"/>
    </row>
    <row r="4">
      <c r="B4" s="4" t="inlineStr">
        <is>
          <t>OBJECTIVE</t>
        </is>
      </c>
    </row>
    <row r="5">
      <c r="B5" s="3" t="inlineStr">
        <is>
          <t>Forecasts India's crude steel capacity from the dated project pipeline plus a secondary-sector residual, and validates the result against the National Steel Policy 2017 target.</t>
        </is>
      </c>
    </row>
    <row r="6">
      <c r="B6" s="4" t="inlineStr">
        <is>
          <t>METHODOLOGY</t>
        </is>
      </c>
    </row>
    <row r="7">
      <c r="B7" s="3" t="inlineStr">
        <is>
          <t>Capacity equals prior-year capacity plus announced additions delivered plus secondary and unattributed additions. Announced additions come live from the project tracker by SUMIFS and are multiplied by a delivery factor of 85% reflecting observed slippage. The secondary residual exists because the tracker captures only individually announced projects averaging 7.7 Mtpa a year, whereas India actually added 20.8 Mtpa in FY2025 and 20.1 Mtpa in FY2026 - the difference comes from the secondary sector, whose output the database shows growing at 10.7% a year, faster than the integrated majors' 8.1%.</t>
        </is>
      </c>
    </row>
    <row r="8">
      <c r="B8" s="4" t="inlineStr">
        <is>
          <t>UNITS</t>
        </is>
      </c>
    </row>
    <row r="9">
      <c r="B9" s="3" t="inlineStr">
        <is>
          <t>Mtpa.</t>
        </is>
      </c>
    </row>
    <row r="10">
      <c r="B10" s="4" t="inlineStr">
        <is>
          <t>DEPENDENCIES</t>
        </is>
      </c>
    </row>
    <row r="11">
      <c r="B11" s="3" t="inlineStr">
        <is>
          <t>Reads 07 Capacity Expansion Tracker and 02 Model Assumptions. Read by 08 Utilisation, 05 Steel Supply, 17 Capital Allocation.</t>
        </is>
      </c>
    </row>
    <row r="12">
      <c r="B12" s="3" t="inlineStr"/>
    </row>
    <row r="13" ht="30" customHeight="1">
      <c r="A13" s="7" t="inlineStr"/>
      <c r="B13" s="8" t="inlineStr">
        <is>
          <t>Line item</t>
        </is>
      </c>
      <c r="C13" s="8" t="inlineStr">
        <is>
          <t>Unit</t>
        </is>
      </c>
      <c r="D13" s="7" t="inlineStr">
        <is>
          <t>FY2026A</t>
        </is>
      </c>
      <c r="E13" s="7" t="inlineStr">
        <is>
          <t>FY2027E</t>
        </is>
      </c>
      <c r="F13" s="7" t="inlineStr">
        <is>
          <t>FY2028E</t>
        </is>
      </c>
      <c r="G13" s="7" t="inlineStr">
        <is>
          <t>FY2029E</t>
        </is>
      </c>
      <c r="H13" s="7" t="inlineStr">
        <is>
          <t>FY2030E</t>
        </is>
      </c>
      <c r="I13" s="7" t="inlineStr">
        <is>
          <t>FY2031E</t>
        </is>
      </c>
      <c r="J13" s="7" t="inlineStr">
        <is>
          <t>FY2032E</t>
        </is>
      </c>
      <c r="K13" s="7" t="inlineStr">
        <is>
          <t>FY2033E</t>
        </is>
      </c>
      <c r="L13" s="7" t="inlineStr">
        <is>
          <t>CAGR</t>
        </is>
      </c>
      <c r="M13" s="8" t="inlineStr">
        <is>
          <t>Source</t>
        </is>
      </c>
      <c r="N13" s="7" t="inlineStr">
        <is>
          <t>Conf.</t>
        </is>
      </c>
      <c r="O13" s="8" t="inlineStr">
        <is>
          <t>Notes / methodology</t>
        </is>
      </c>
    </row>
    <row r="14">
      <c r="B14" s="10" t="inlineStr">
        <is>
          <t>Opening capacity</t>
        </is>
      </c>
      <c r="C14" s="11" t="inlineStr">
        <is>
          <t>Mtpa</t>
        </is>
      </c>
      <c r="E14" s="40">
        <f>D20</f>
        <v/>
      </c>
      <c r="F14" s="40">
        <f>E20</f>
        <v/>
      </c>
      <c r="G14" s="40">
        <f>F20</f>
        <v/>
      </c>
      <c r="H14" s="40">
        <f>G20</f>
        <v/>
      </c>
      <c r="I14" s="40">
        <f>H20</f>
        <v/>
      </c>
      <c r="J14" s="40">
        <f>I20</f>
        <v/>
      </c>
      <c r="K14" s="40">
        <f>J20</f>
        <v/>
      </c>
      <c r="M14" s="3" t="inlineStr">
        <is>
          <t>Computed</t>
        </is>
      </c>
      <c r="N14" s="13" t="inlineStr">
        <is>
          <t>High</t>
        </is>
      </c>
      <c r="O14" s="3" t="inlineStr">
        <is>
          <t>Prior-year closing capacity.</t>
        </is>
      </c>
    </row>
    <row r="15">
      <c r="B15" s="10" t="inlineStr">
        <is>
          <t>Gross announced additions (from tracker)</t>
        </is>
      </c>
      <c r="C15" s="11" t="inlineStr">
        <is>
          <t>Mtpa</t>
        </is>
      </c>
      <c r="E15" s="34">
        <f>'07 Capacity Expansion Tracker'!E$36</f>
        <v/>
      </c>
      <c r="F15" s="34">
        <f>'07 Capacity Expansion Tracker'!F$36</f>
        <v/>
      </c>
      <c r="G15" s="34">
        <f>'07 Capacity Expansion Tracker'!G$36</f>
        <v/>
      </c>
      <c r="H15" s="34">
        <f>'07 Capacity Expansion Tracker'!H$36</f>
        <v/>
      </c>
      <c r="I15" s="34">
        <f>'07 Capacity Expansion Tracker'!I$36</f>
        <v/>
      </c>
      <c r="J15" s="34">
        <f>'07 Capacity Expansion Tracker'!J$36</f>
        <v/>
      </c>
      <c r="K15" s="34">
        <f>'07 Capacity Expansion Tracker'!K$36</f>
        <v/>
      </c>
      <c r="M15" s="3" t="inlineStr">
        <is>
          <t>07 Tracker (SUMIFS)</t>
        </is>
      </c>
      <c r="N15" s="13" t="inlineStr">
        <is>
          <t>Medium</t>
        </is>
      </c>
      <c r="O15" s="3" t="inlineStr">
        <is>
          <t>Live from the project tracker. Excludes acquisitions, downstream lines, overseas assets and already-commissioned projects.</t>
        </is>
      </c>
    </row>
    <row r="16">
      <c r="B16" s="10" t="inlineStr">
        <is>
          <t>Pipeline delivery factor</t>
        </is>
      </c>
      <c r="C16" s="11" t="inlineStr">
        <is>
          <t>%</t>
        </is>
      </c>
      <c r="E16" s="16" t="inlineStr">
        <is>
          <t>'02 Model Assumptions'!E$126</t>
        </is>
      </c>
      <c r="F16" s="16" t="inlineStr">
        <is>
          <t>'02 Model Assumptions'!F$126</t>
        </is>
      </c>
      <c r="G16" s="16" t="inlineStr">
        <is>
          <t>'02 Model Assumptions'!G$126</t>
        </is>
      </c>
      <c r="H16" s="16" t="inlineStr">
        <is>
          <t>'02 Model Assumptions'!H$126</t>
        </is>
      </c>
      <c r="I16" s="16" t="inlineStr">
        <is>
          <t>'02 Model Assumptions'!I$126</t>
        </is>
      </c>
      <c r="J16" s="16" t="inlineStr">
        <is>
          <t>'02 Model Assumptions'!J$126</t>
        </is>
      </c>
      <c r="K16" s="16" t="inlineStr">
        <is>
          <t>'02 Model Assumptions'!K$126</t>
        </is>
      </c>
      <c r="M16" s="3" t="inlineStr">
        <is>
          <t>Derived from Master DB</t>
        </is>
      </c>
      <c r="N16" s="13" t="inlineStr">
        <is>
          <t>Medium</t>
        </is>
      </c>
      <c r="O16" s="3" t="inlineStr">
        <is>
          <t>85% in the base case. India delivered ~20 Mtpa a year in FY2025 and FY2026 against a National Steel Policy requirement of ~16 Mtpa a year, so delivery capability is demonstrated; the 15% haircut reflects project-level slippage such as JSW Vijayanagar BF-3 still testing at FY2026 year-end.</t>
        </is>
      </c>
    </row>
    <row r="17">
      <c r="B17" s="10" t="inlineStr">
        <is>
          <t>Announced additions delivered</t>
        </is>
      </c>
      <c r="C17" s="11" t="inlineStr">
        <is>
          <t>Mtpa</t>
        </is>
      </c>
      <c r="E17" s="34">
        <f>E15*E16</f>
        <v/>
      </c>
      <c r="F17" s="34">
        <f>F15*F16</f>
        <v/>
      </c>
      <c r="G17" s="34">
        <f>G15*G16</f>
        <v/>
      </c>
      <c r="H17" s="34">
        <f>H15*H16</f>
        <v/>
      </c>
      <c r="I17" s="34">
        <f>I15*I16</f>
        <v/>
      </c>
      <c r="J17" s="34">
        <f>J15*J16</f>
        <v/>
      </c>
      <c r="K17" s="34">
        <f>K15*K16</f>
        <v/>
      </c>
      <c r="M17" s="3" t="inlineStr">
        <is>
          <t>Computed</t>
        </is>
      </c>
      <c r="N17" s="13" t="inlineStr">
        <is>
          <t>Medium</t>
        </is>
      </c>
    </row>
    <row r="18">
      <c r="B18" s="10" t="inlineStr">
        <is>
          <t>Secondary and unattributed additions</t>
        </is>
      </c>
      <c r="C18" s="11" t="inlineStr">
        <is>
          <t>Mtpa</t>
        </is>
      </c>
      <c r="E18" s="34" t="inlineStr">
        <is>
          <t>'02 Model Assumptions'!E$143</t>
        </is>
      </c>
      <c r="F18" s="34" t="inlineStr">
        <is>
          <t>'02 Model Assumptions'!F$143</t>
        </is>
      </c>
      <c r="G18" s="34" t="inlineStr">
        <is>
          <t>'02 Model Assumptions'!G$143</t>
        </is>
      </c>
      <c r="H18" s="34" t="inlineStr">
        <is>
          <t>'02 Model Assumptions'!H$143</t>
        </is>
      </c>
      <c r="I18" s="34" t="inlineStr">
        <is>
          <t>'02 Model Assumptions'!I$143</t>
        </is>
      </c>
      <c r="J18" s="34" t="inlineStr">
        <is>
          <t>'02 Model Assumptions'!J$143</t>
        </is>
      </c>
      <c r="K18" s="34" t="inlineStr">
        <is>
          <t>'02 Model Assumptions'!K$143</t>
        </is>
      </c>
      <c r="M18" s="3" t="inlineStr">
        <is>
          <t>Derived from Master DB</t>
        </is>
      </c>
      <c r="N18" s="13" t="inlineStr">
        <is>
          <t>Medium</t>
        </is>
      </c>
      <c r="O18" s="3" t="inlineStr">
        <is>
          <t>ESSENTIAL RECONCILIATION ITEM. Omitting this would understate FY2031 capacity by about 54 Mtpa, or 18%.</t>
        </is>
      </c>
    </row>
    <row r="19">
      <c r="B19" s="10" t="inlineStr">
        <is>
          <t>Total additions</t>
        </is>
      </c>
      <c r="C19" s="11" t="inlineStr">
        <is>
          <t>Mtpa</t>
        </is>
      </c>
      <c r="D19" s="34" t="n">
        <v>20.07</v>
      </c>
      <c r="E19" s="34">
        <f>E17+E18</f>
        <v/>
      </c>
      <c r="F19" s="34">
        <f>F17+F18</f>
        <v/>
      </c>
      <c r="G19" s="34">
        <f>G17+G18</f>
        <v/>
      </c>
      <c r="H19" s="34">
        <f>H17+H18</f>
        <v/>
      </c>
      <c r="I19" s="34">
        <f>I17+I18</f>
        <v/>
      </c>
      <c r="J19" s="34">
        <f>J17+J18</f>
        <v/>
      </c>
      <c r="K19" s="34">
        <f>K17+K18</f>
        <v/>
      </c>
      <c r="M19" s="3" t="inlineStr">
        <is>
          <t>Computed</t>
        </is>
      </c>
      <c r="N19" s="13" t="inlineStr">
        <is>
          <t>Medium</t>
        </is>
      </c>
      <c r="O19" s="3" t="inlineStr">
        <is>
          <t>FY2026A of 20.07 Mtpa is the actual year-on-year capacity increase from the database (220.4 less 200.33).</t>
        </is>
      </c>
    </row>
    <row r="20">
      <c r="B20" s="26" t="inlineStr">
        <is>
          <t>Closing crude steel capacity</t>
        </is>
      </c>
      <c r="C20" s="11" t="inlineStr">
        <is>
          <t>Mtpa</t>
        </is>
      </c>
      <c r="D20" s="27" t="n">
        <v>220.4</v>
      </c>
      <c r="E20" s="27">
        <f>D20+E19</f>
        <v/>
      </c>
      <c r="F20" s="27">
        <f>E20+F19</f>
        <v/>
      </c>
      <c r="G20" s="27">
        <f>F20+G19</f>
        <v/>
      </c>
      <c r="H20" s="27">
        <f>G20+H19</f>
        <v/>
      </c>
      <c r="I20" s="27">
        <f>H20+I19</f>
        <v/>
      </c>
      <c r="J20" s="27">
        <f>I20+J19</f>
        <v/>
      </c>
      <c r="K20" s="27">
        <f>J20+K19</f>
        <v/>
      </c>
      <c r="L20" s="16">
        <f>IFERROR(IF(AND(ISNUMBER(D20),ISNUMBER(K20),D20&gt;0),(K20/D20)^(1/7)-1,""),"")</f>
        <v/>
      </c>
      <c r="M20" s="3" t="inlineStr">
        <is>
          <t>00 Database Import A04</t>
        </is>
      </c>
      <c r="N20" s="13" t="inlineStr">
        <is>
          <t>High</t>
        </is>
      </c>
      <c r="O20" s="3" t="inlineStr">
        <is>
          <t>FY2026A of 220.4 Mtpa is the database figure (June-2026 Ministry vintage; the March vintage said 220.3 - Conflict C04).</t>
        </is>
      </c>
    </row>
    <row r="22">
      <c r="B22" s="5" t="inlineStr">
        <is>
          <t>VALIDATION AGAINST NATIONAL STEEL POLICY 2017</t>
        </is>
      </c>
    </row>
    <row r="23">
      <c r="B23" s="10" t="inlineStr">
        <is>
          <t>National Steel Policy 2017 target</t>
        </is>
      </c>
      <c r="C23" s="11" t="inlineStr">
        <is>
          <t>Mtpa</t>
        </is>
      </c>
      <c r="I23" s="40" t="n">
        <v>300</v>
      </c>
      <c r="M23" s="3" t="inlineStr">
        <is>
          <t>Master DB policy P10</t>
        </is>
      </c>
      <c r="N23" s="13" t="inlineStr">
        <is>
          <t>High</t>
        </is>
      </c>
      <c r="O23" s="3" t="inlineStr">
        <is>
          <t>300 Mtpa of crude steel capacity by FY2031.</t>
        </is>
      </c>
    </row>
    <row r="24">
      <c r="B24" s="10" t="inlineStr">
        <is>
          <t>Model capacity in FY2031E</t>
        </is>
      </c>
      <c r="C24" s="11" t="inlineStr">
        <is>
          <t>Mtpa</t>
        </is>
      </c>
      <c r="I24" s="40">
        <f>I20</f>
        <v/>
      </c>
      <c r="M24" s="3" t="inlineStr">
        <is>
          <t>Computed</t>
        </is>
      </c>
      <c r="N24" s="13" t="inlineStr">
        <is>
          <t>High</t>
        </is>
      </c>
    </row>
    <row r="25">
      <c r="B25" s="26" t="inlineStr">
        <is>
          <t>Model as % of policy target</t>
        </is>
      </c>
      <c r="C25" s="11" t="inlineStr">
        <is>
          <t>%</t>
        </is>
      </c>
      <c r="I25" s="28">
        <f>I24/I23</f>
        <v/>
      </c>
      <c r="M25" s="3" t="inlineStr">
        <is>
          <t>Computed</t>
        </is>
      </c>
      <c r="N25" s="13" t="inlineStr">
        <is>
          <t>High</t>
        </is>
      </c>
      <c r="O25" s="3" t="inlineStr">
        <is>
          <t>The model was built bottom-up from the project tracker plus the secondary residual and was NOT calibrated to the policy target, so agreement within roughly 1% is a genuine independent check on the capacity block.</t>
        </is>
      </c>
    </row>
    <row r="27">
      <c r="B27" s="30" t="inlineStr">
        <is>
          <t>Sign warning: more capacity is EBITDA-NEGATIVE in this model, because it depresses utilisation which feeds back into price via driver D23. See 09 Steel Price Forecast.</t>
        </is>
      </c>
    </row>
  </sheetData>
  <printOptions horizontalCentered="1"/>
  <pageMargins left="0.75" right="0.75" top="1" bottom="1" header="0.5" footer="0.5"/>
  <pageSetup orientation="landscape" fitToHeight="0" fitToWidth="1"/>
</worksheet>
</file>

<file path=xl/worksheets/sheet11.xml><?xml version="1.0" encoding="utf-8"?>
<worksheet xmlns="http://schemas.openxmlformats.org/spreadsheetml/2006/main">
  <sheetPr>
    <tabColor rgb="001F3864"/>
    <outlinePr summaryBelow="1" summaryRight="1"/>
    <pageSetUpPr fitToPage="1"/>
  </sheetPr>
  <dimension ref="A1:O38"/>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8" customWidth="1" min="1" max="1"/>
    <col width="19" customWidth="1" min="2" max="2"/>
    <col width="40" customWidth="1" min="3" max="3"/>
    <col width="20" customWidth="1" min="4" max="4"/>
    <col width="22" customWidth="1" min="5" max="5"/>
    <col width="12" customWidth="1" min="6" max="6"/>
    <col width="20" customWidth="1" min="7" max="7"/>
    <col width="30" customWidth="1" min="8" max="8"/>
    <col width="15" customWidth="1" min="9" max="9"/>
    <col width="12" customWidth="1" min="10" max="10"/>
    <col width="13" customWidth="1" min="11" max="11"/>
    <col width="34" customWidth="1" min="12" max="12"/>
    <col width="10" customWidth="1" min="13" max="13"/>
    <col width="10" customWidth="1" min="14" max="14"/>
    <col width="105" customWidth="1" min="15" max="15"/>
  </cols>
  <sheetData>
    <row r="1" ht="19" customHeight="1">
      <c r="B1" s="1" t="inlineStr">
        <is>
          <t>07  Capacity Expansion Tracker</t>
        </is>
      </c>
    </row>
    <row r="2">
      <c r="B2" s="4" t="inlineStr">
        <is>
          <t>Industry Financial Model  |  Indian Steel Industry  |  Horizon FY2027E-FY2033E  |  Base year FY2026A  |  Built 03-Aug-2026</t>
        </is>
      </c>
    </row>
    <row r="3">
      <c r="B3" s="3" t="inlineStr"/>
    </row>
    <row r="4">
      <c r="B4" s="4" t="inlineStr">
        <is>
          <t>OBJECTIVE</t>
        </is>
      </c>
    </row>
    <row r="5">
      <c r="B5" s="3" t="inlineStr">
        <is>
          <t>The dated project pipeline that drives the capacity forecast. Twenty projects, each with its capacity, status, expected commissioning year and whether it counts towards INDIA's national crude steel capacity.</t>
        </is>
      </c>
    </row>
    <row r="6">
      <c r="B6" s="4" t="inlineStr">
        <is>
          <t>METHODOLOGY</t>
        </is>
      </c>
    </row>
    <row r="7">
      <c r="B7" s="3" t="inlineStr">
        <is>
          <t>Every project is taken from the Master Database. The 'Included in forecast' flag is the critical field and encodes four exclusions that are routinely got wrong: already-commissioned projects are in the FY2026 base and must not be added again; ACQUISITIONS add to a company but nothing to national capacity; DOWNSTREAM lines (HRAP, CRAP, cold rolling) are processing capacity, not melt capacity; and OVERSEAS assets are outside India. Ramp-ups are utilisation, not capacity. 06 Capacity Forecast reads this sheet by SUMIFS on the flag and the year, so changing a flag or a date here immediately changes the forecast.</t>
        </is>
      </c>
    </row>
    <row r="8">
      <c r="B8" s="4" t="inlineStr">
        <is>
          <t>UNITS</t>
        </is>
      </c>
    </row>
    <row r="9">
      <c r="B9" s="3" t="inlineStr">
        <is>
          <t>Mtpa. Capex in Rs crore.</t>
        </is>
      </c>
    </row>
    <row r="10">
      <c r="B10" s="4" t="inlineStr">
        <is>
          <t>DEPENDENCIES</t>
        </is>
      </c>
    </row>
    <row r="11">
      <c r="B11" s="3" t="inlineStr">
        <is>
          <t>Source: Master Industry Database. Read by 06 Capacity Forecast and 12 Revenue.</t>
        </is>
      </c>
    </row>
    <row r="12">
      <c r="B12" s="3" t="inlineStr"/>
    </row>
    <row r="13" ht="30" customHeight="1">
      <c r="A13" s="8" t="inlineStr">
        <is>
          <t>Project ID</t>
        </is>
      </c>
      <c r="B13" s="8" t="inlineStr">
        <is>
          <t>Company</t>
        </is>
      </c>
      <c r="C13" s="8" t="inlineStr">
        <is>
          <t>Project / Asset</t>
        </is>
      </c>
      <c r="D13" s="8" t="inlineStr">
        <is>
          <t>State / Country</t>
        </is>
      </c>
      <c r="E13" s="8" t="inlineStr">
        <is>
          <t>Type</t>
        </is>
      </c>
      <c r="F13" s="7" t="inlineStr">
        <is>
          <t>Capacity Added (Mtpa)</t>
        </is>
      </c>
      <c r="G13" s="8" t="inlineStr">
        <is>
          <t>Capacity Definition</t>
        </is>
      </c>
      <c r="H13" s="8" t="inlineStr">
        <is>
          <t>Status At Cutoff</t>
        </is>
      </c>
      <c r="I13" s="7" t="inlineStr">
        <is>
          <t>Expected Commissioning FY</t>
        </is>
      </c>
      <c r="J13" s="7" t="inlineStr">
        <is>
          <t>Capex (Rs cr)</t>
        </is>
      </c>
      <c r="K13" s="7" t="inlineStr">
        <is>
          <t>Implied Capex (Rs/t)</t>
        </is>
      </c>
      <c r="L13" s="8" t="inlineStr">
        <is>
          <t>Included In Forecast?</t>
        </is>
      </c>
      <c r="M13" s="7" t="inlineStr">
        <is>
          <t>Source ID</t>
        </is>
      </c>
      <c r="N13" s="7" t="inlineStr">
        <is>
          <t>Confidence</t>
        </is>
      </c>
      <c r="O13" s="8" t="inlineStr">
        <is>
          <t>Notes</t>
        </is>
      </c>
    </row>
    <row r="14">
      <c r="A14" s="44" t="inlineStr">
        <is>
          <t>P01</t>
        </is>
      </c>
      <c r="B14" s="44" t="inlineStr">
        <is>
          <t>Tata Steel</t>
        </is>
      </c>
      <c r="C14" s="44" t="inlineStr">
        <is>
          <t>Ludhiana scrap-based EAF</t>
        </is>
      </c>
      <c r="D14" s="44" t="inlineStr">
        <is>
          <t>Punjab</t>
        </is>
      </c>
      <c r="E14" s="44" t="inlineStr">
        <is>
          <t>Brownfield EAF</t>
        </is>
      </c>
      <c r="F14" s="34" t="n">
        <v>0.75</v>
      </c>
      <c r="G14" s="44" t="inlineStr">
        <is>
          <t>Crude steel</t>
        </is>
      </c>
      <c r="H14" s="44" t="inlineStr">
        <is>
          <t>Commissioned Mar-2026</t>
        </is>
      </c>
      <c r="I14" s="44" t="inlineStr">
        <is>
          <t>FY2026</t>
        </is>
      </c>
      <c r="J14" s="35" t="n">
        <v>3200</v>
      </c>
      <c r="K14" s="35">
        <f>J14/F14*10000</f>
        <v/>
      </c>
      <c r="L14" s="44" t="inlineStr">
        <is>
          <t>No - already in base</t>
        </is>
      </c>
      <c r="M14" s="44" t="inlineStr">
        <is>
          <t>S08</t>
        </is>
      </c>
      <c r="N14" s="44" t="inlineStr">
        <is>
          <t>High</t>
        </is>
      </c>
      <c r="O14" s="45" t="inlineStr">
        <is>
          <t>Commissioned in Mar-2026 and therefore already inside the FY2026 capacity base of 220.4 Mtpa. Designed for under 0.3 tCO2e per tonne of crude steel, which makes it 5-star green steel under the Taxonomy notified 23-Dec-2024.</t>
        </is>
      </c>
    </row>
    <row r="15">
      <c r="A15" s="44" t="inlineStr">
        <is>
          <t>P02</t>
        </is>
      </c>
      <c r="B15" s="44" t="inlineStr">
        <is>
          <t>Tata Steel</t>
        </is>
      </c>
      <c r="C15" s="44" t="inlineStr">
        <is>
          <t>NINL expansion</t>
        </is>
      </c>
      <c r="D15" s="44" t="inlineStr">
        <is>
          <t>Odisha</t>
        </is>
      </c>
      <c r="E15" s="44" t="inlineStr">
        <is>
          <t>Brownfield integrated</t>
        </is>
      </c>
      <c r="F15" s="34" t="n">
        <v>4.8</v>
      </c>
      <c r="G15" s="44" t="inlineStr">
        <is>
          <t>Crude steel</t>
        </is>
      </c>
      <c r="H15" s="44" t="inlineStr">
        <is>
          <t>Proposed</t>
        </is>
      </c>
      <c r="I15" s="44" t="inlineStr">
        <is>
          <t>FY2030</t>
        </is>
      </c>
      <c r="L15" s="44" t="inlineStr">
        <is>
          <t>Yes</t>
        </is>
      </c>
      <c r="M15" s="44" t="inlineStr">
        <is>
          <t>S08</t>
        </is>
      </c>
      <c r="N15" s="44" t="inlineStr">
        <is>
          <t>Medium</t>
        </is>
      </c>
      <c r="O15" s="45" t="inlineStr">
        <is>
          <t>Described as proposed in the FY2026 results release, so not yet Board-approved capex. Commissioning year is the modeller's estimate based on typical 4-year build.</t>
        </is>
      </c>
    </row>
    <row r="16">
      <c r="A16" s="44" t="inlineStr">
        <is>
          <t>P03</t>
        </is>
      </c>
      <c r="B16" s="44" t="inlineStr">
        <is>
          <t>Tata Steel</t>
        </is>
      </c>
      <c r="C16" s="44" t="inlineStr">
        <is>
          <t>India roadmap to 40 Mtpa</t>
        </is>
      </c>
      <c r="D16" s="44" t="inlineStr">
        <is>
          <t>India</t>
        </is>
      </c>
      <c r="E16" s="44" t="inlineStr">
        <is>
          <t>Programme</t>
        </is>
      </c>
      <c r="F16" s="34" t="n">
        <v>5</v>
      </c>
      <c r="G16" s="44" t="inlineStr">
        <is>
          <t>Crude steel</t>
        </is>
      </c>
      <c r="H16" s="44" t="inlineStr">
        <is>
          <t>Announced - aspirational</t>
        </is>
      </c>
      <c r="I16" s="44" t="inlineStr">
        <is>
          <t>FY2033</t>
        </is>
      </c>
      <c r="L16" s="44" t="inlineStr">
        <is>
          <t>Yes</t>
        </is>
      </c>
      <c r="M16" s="44" t="inlineStr">
        <is>
          <t>S37</t>
        </is>
      </c>
      <c r="N16" s="44" t="inlineStr">
        <is>
          <t>Low</t>
        </is>
      </c>
      <c r="O16" s="45" t="inlineStr">
        <is>
          <t>Tata Steel's Q1FY2027 presentation (31-Jul-2026) sets out an India roadmap to 40 Mtpa. The residual above identified projects is carried at low confidence and is materially reduced by the delivery factor D05.</t>
        </is>
      </c>
    </row>
    <row r="17">
      <c r="A17" s="44" t="inlineStr">
        <is>
          <t>P04</t>
        </is>
      </c>
      <c r="B17" s="44" t="inlineStr">
        <is>
          <t>JSW Steel</t>
        </is>
      </c>
      <c r="C17" s="44" t="inlineStr">
        <is>
          <t>Vijayanagar BF-3 expansion 3.0 to 4.5 Mtpa</t>
        </is>
      </c>
      <c r="D17" s="44" t="inlineStr">
        <is>
          <t>Karnataka</t>
        </is>
      </c>
      <c r="E17" s="44" t="inlineStr">
        <is>
          <t>Brownfield BF</t>
        </is>
      </c>
      <c r="F17" s="34" t="n">
        <v>1.5</v>
      </c>
      <c r="G17" s="44" t="inlineStr">
        <is>
          <t>Crude steel</t>
        </is>
      </c>
      <c r="H17" s="44" t="inlineStr">
        <is>
          <t>Under testing and commissioning</t>
        </is>
      </c>
      <c r="I17" s="44" t="inlineStr">
        <is>
          <t>FY2027</t>
        </is>
      </c>
      <c r="L17" s="44" t="inlineStr">
        <is>
          <t>Yes</t>
        </is>
      </c>
      <c r="M17" s="44" t="inlineStr">
        <is>
          <t>S09</t>
        </is>
      </c>
      <c r="N17" s="44" t="inlineStr">
        <is>
          <t>High</t>
        </is>
      </c>
      <c r="O17" s="45" t="inlineStr">
        <is>
          <t>Was under testing at FY2026 year-end and excluded from the FY2026 utilisation calculation, so it is genuinely incremental to the base.</t>
        </is>
      </c>
    </row>
    <row r="18">
      <c r="A18" s="44" t="inlineStr">
        <is>
          <t>P05</t>
        </is>
      </c>
      <c r="B18" s="44" t="inlineStr">
        <is>
          <t>JSW Steel</t>
        </is>
      </c>
      <c r="C18" s="44" t="inlineStr">
        <is>
          <t>JVML-Vijayanagar brownfield expansion</t>
        </is>
      </c>
      <c r="D18" s="44" t="inlineStr">
        <is>
          <t>Karnataka</t>
        </is>
      </c>
      <c r="E18" s="44" t="inlineStr">
        <is>
          <t>Brownfield integrated</t>
        </is>
      </c>
      <c r="F18" s="34" t="n">
        <v>5</v>
      </c>
      <c r="G18" s="44" t="inlineStr">
        <is>
          <t>Crude steel</t>
        </is>
      </c>
      <c r="H18" s="44" t="inlineStr">
        <is>
          <t>Board approved</t>
        </is>
      </c>
      <c r="I18" s="44" t="inlineStr">
        <is>
          <t>FY2030</t>
        </is>
      </c>
      <c r="J18" s="35" t="n">
        <v>26000</v>
      </c>
      <c r="K18" s="35">
        <f>J18/F18*10000</f>
        <v/>
      </c>
      <c r="L18" s="44" t="inlineStr">
        <is>
          <t>Yes</t>
        </is>
      </c>
      <c r="M18" s="44" t="inlineStr">
        <is>
          <t>S09</t>
        </is>
      </c>
      <c r="N18" s="44" t="inlineStr">
        <is>
          <t>High</t>
        </is>
      </c>
      <c r="O18" s="45" t="inlineStr">
        <is>
          <t>Board approved. Rs 26,000 cr for 5 Mtpa gives Rs 52,000 per tonne, the cleanest brownfield capex-intensity datapoint available and the primary calibration for D16.</t>
        </is>
      </c>
    </row>
    <row r="19">
      <c r="A19" s="44" t="inlineStr">
        <is>
          <t>P06</t>
        </is>
      </c>
      <c r="B19" s="44" t="inlineStr">
        <is>
          <t>JSW Steel</t>
        </is>
      </c>
      <c r="C19" s="44" t="inlineStr">
        <is>
          <t>BMM Ispat acquisition</t>
        </is>
      </c>
      <c r="D19" s="44" t="inlineStr">
        <is>
          <t>Karnataka</t>
        </is>
      </c>
      <c r="E19" s="44" t="inlineStr">
        <is>
          <t>Acquisition</t>
        </is>
      </c>
      <c r="F19" s="34" t="n">
        <v>0.9</v>
      </c>
      <c r="G19" s="44" t="inlineStr">
        <is>
          <t>Crude steel</t>
        </is>
      </c>
      <c r="H19" s="44" t="inlineStr">
        <is>
          <t>Board approved</t>
        </is>
      </c>
      <c r="I19" s="44" t="inlineStr">
        <is>
          <t>FY2027</t>
        </is>
      </c>
      <c r="L19" s="44" t="inlineStr">
        <is>
          <t>No - acquisition, not new national capacity</t>
        </is>
      </c>
      <c r="M19" s="44" t="inlineStr">
        <is>
          <t>S09</t>
        </is>
      </c>
      <c r="N19" s="44" t="inlineStr">
        <is>
          <t>High</t>
        </is>
      </c>
      <c r="O19" s="45" t="inlineStr">
        <is>
          <t>Acquisition of existing operating capacity, so it adds to JSW Steel's own capacity and volume but adds NOTHING to India's national capacity - those tonnes are already in the 220.4 Mtpa FY2026 base. Correctly excluded from the industry capacity build. This is a standard trap: summing company announcements without stripping out acquisitions double-counts national capacity. JSW's FY2027 guidance explicitly includes BMM Ispat production of 0.75 Mt and sales of 0.70 Mt, so it IS included in the company-level volume build on sheet 12.</t>
        </is>
      </c>
    </row>
    <row r="20">
      <c r="A20" s="44" t="inlineStr">
        <is>
          <t>P07</t>
        </is>
      </c>
      <c r="B20" s="44" t="inlineStr">
        <is>
          <t>JSW Steel / POSCO</t>
        </is>
      </c>
      <c r="C20" s="44" t="inlineStr">
        <is>
          <t>Greenfield integrated plant, 50:50 JV</t>
        </is>
      </c>
      <c r="D20" s="44" t="inlineStr">
        <is>
          <t>Odisha</t>
        </is>
      </c>
      <c r="E20" s="44" t="inlineStr">
        <is>
          <t>Greenfield JV</t>
        </is>
      </c>
      <c r="F20" s="34" t="n">
        <v>6</v>
      </c>
      <c r="G20" s="44" t="inlineStr">
        <is>
          <t>Crude steel</t>
        </is>
      </c>
      <c r="H20" s="44" t="inlineStr">
        <is>
          <t>Announced Apr-2026</t>
        </is>
      </c>
      <c r="I20" s="44" t="inlineStr">
        <is>
          <t>FY2031</t>
        </is>
      </c>
      <c r="L20" s="44" t="inlineStr">
        <is>
          <t>Yes</t>
        </is>
      </c>
      <c r="M20" s="44" t="inlineStr">
        <is>
          <t>S09</t>
        </is>
      </c>
      <c r="N20" s="44" t="inlineStr">
        <is>
          <t>Medium</t>
        </is>
      </c>
      <c r="O20" s="45" t="inlineStr">
        <is>
          <t>50:50 joint venture announced Apr-2026 targeting commissioning by 2031. This is the single most distant dated project in the pipeline and is the reason the announced pipeline terminates in FY2031, which in turn drives the horizon selection.</t>
        </is>
      </c>
    </row>
    <row r="21">
      <c r="A21" s="44" t="inlineStr">
        <is>
          <t>P08</t>
        </is>
      </c>
      <c r="B21" s="44" t="inlineStr">
        <is>
          <t>SAIL</t>
        </is>
      </c>
      <c r="C21" s="44" t="inlineStr">
        <is>
          <t>IISCO Steel Plant greenfield expansion</t>
        </is>
      </c>
      <c r="D21" s="44" t="inlineStr">
        <is>
          <t>West Bengal</t>
        </is>
      </c>
      <c r="E21" s="44" t="inlineStr">
        <is>
          <t>Greenfield</t>
        </is>
      </c>
      <c r="F21" s="34" t="n">
        <v>4.08</v>
      </c>
      <c r="G21" s="44" t="inlineStr">
        <is>
          <t>Crude steel</t>
        </is>
      </c>
      <c r="H21" s="44" t="inlineStr">
        <is>
          <t>Board approved</t>
        </is>
      </c>
      <c r="I21" s="44" t="inlineStr">
        <is>
          <t>FY2031</t>
        </is>
      </c>
      <c r="L21" s="44" t="inlineStr">
        <is>
          <t>Yes</t>
        </is>
      </c>
      <c r="M21" s="44" t="inlineStr">
        <is>
          <t>S26</t>
        </is>
      </c>
      <c r="N21" s="44" t="inlineStr">
        <is>
          <t>High</t>
        </is>
      </c>
      <c r="O21" s="45" t="inlineStr">
        <is>
          <t>Board approved per Ministry of Steel, Rajya Sabha USQ 3982 answered 27-Mar-2026. IISCO averaged 91.6% utilisation over FY2021-FY2025 on 2.5 Mtpa.</t>
        </is>
      </c>
    </row>
    <row r="22">
      <c r="A22" s="44" t="inlineStr">
        <is>
          <t>P09</t>
        </is>
      </c>
      <c r="B22" s="44" t="inlineStr">
        <is>
          <t>SAIL</t>
        </is>
      </c>
      <c r="C22" s="44" t="inlineStr">
        <is>
          <t>Bokaro Steel Plant brownfield expansion</t>
        </is>
      </c>
      <c r="D22" s="44" t="inlineStr">
        <is>
          <t>Jharkhand</t>
        </is>
      </c>
      <c r="E22" s="44" t="inlineStr">
        <is>
          <t>Brownfield</t>
        </is>
      </c>
      <c r="F22" s="34" t="n">
        <v>2.65</v>
      </c>
      <c r="G22" s="44" t="inlineStr">
        <is>
          <t>Crude steel</t>
        </is>
      </c>
      <c r="H22" s="44" t="inlineStr">
        <is>
          <t>Board approved</t>
        </is>
      </c>
      <c r="I22" s="44" t="inlineStr">
        <is>
          <t>FY2030</t>
        </is>
      </c>
      <c r="L22" s="44" t="inlineStr">
        <is>
          <t>Yes</t>
        </is>
      </c>
      <c r="M22" s="44" t="inlineStr">
        <is>
          <t>S26</t>
        </is>
      </c>
      <c r="N22" s="44" t="inlineStr">
        <is>
          <t>High</t>
        </is>
      </c>
      <c r="O22" s="45" t="inlineStr">
        <is>
          <t>Board approved per the same Parliamentary answer. Bokaro averaged 87.8% utilisation on 4.6 Mtpa, so there is headroom in the existing asset as well.</t>
        </is>
      </c>
    </row>
    <row r="23">
      <c r="A23" s="44" t="inlineStr">
        <is>
          <t>P10</t>
        </is>
      </c>
      <c r="B23" s="44" t="inlineStr">
        <is>
          <t>SAIL</t>
        </is>
      </c>
      <c r="C23" s="44" t="inlineStr">
        <is>
          <t>Durgapur Steel Plant brownfield expansion</t>
        </is>
      </c>
      <c r="D23" s="44" t="inlineStr">
        <is>
          <t>West Bengal</t>
        </is>
      </c>
      <c r="E23" s="44" t="inlineStr">
        <is>
          <t>Brownfield</t>
        </is>
      </c>
      <c r="F23" s="34" t="n">
        <v>0.89</v>
      </c>
      <c r="G23" s="44" t="inlineStr">
        <is>
          <t>Crude steel</t>
        </is>
      </c>
      <c r="H23" s="44" t="inlineStr">
        <is>
          <t>Board approved</t>
        </is>
      </c>
      <c r="I23" s="44" t="inlineStr">
        <is>
          <t>FY2029</t>
        </is>
      </c>
      <c r="L23" s="44" t="inlineStr">
        <is>
          <t>Yes</t>
        </is>
      </c>
      <c r="M23" s="44" t="inlineStr">
        <is>
          <t>S26</t>
        </is>
      </c>
      <c r="N23" s="44" t="inlineStr">
        <is>
          <t>High</t>
        </is>
      </c>
      <c r="O23" s="45" t="inlineStr">
        <is>
          <t>Board approved. Durgapur already averaged 101.6% utilisation on 2.2 Mtpa over FY2021-FY2025, i.e. it is running above nameplate and the expansion is debottlenecking.</t>
        </is>
      </c>
    </row>
    <row r="24">
      <c r="A24" s="44" t="inlineStr">
        <is>
          <t>P11</t>
        </is>
      </c>
      <c r="B24" s="44" t="inlineStr">
        <is>
          <t>SAIL</t>
        </is>
      </c>
      <c r="C24" s="44" t="inlineStr">
        <is>
          <t>Residual ambition to ~35 Mt by FY2031</t>
        </is>
      </c>
      <c r="D24" s="44" t="inlineStr">
        <is>
          <t>India</t>
        </is>
      </c>
      <c r="E24" s="44" t="inlineStr">
        <is>
          <t>Programme</t>
        </is>
      </c>
      <c r="F24" s="34" t="n">
        <v>8</v>
      </c>
      <c r="G24" s="44" t="inlineStr">
        <is>
          <t>Crude steel</t>
        </is>
      </c>
      <c r="H24" s="44" t="inlineStr">
        <is>
          <t>Announced - aspirational</t>
        </is>
      </c>
      <c r="I24" s="44" t="inlineStr">
        <is>
          <t>FY2033</t>
        </is>
      </c>
      <c r="L24" s="44" t="inlineStr">
        <is>
          <t>Yes</t>
        </is>
      </c>
      <c r="M24" s="44" t="inlineStr">
        <is>
          <t>S47</t>
        </is>
      </c>
      <c r="N24" s="44" t="inlineStr">
        <is>
          <t>Low</t>
        </is>
      </c>
      <c r="O24" s="45" t="inlineStr">
        <is>
          <t>SAIL has publicly targeted roughly 35 Mt by FY2031 against 19.676 Mtpa today at an indicated roughly Rs 1 lakh crore outlay. Board-approved tranches total only 7.62 Mtpa, so about 8 Mtpa of the ambition is unapproved and is carried at low confidence.</t>
        </is>
      </c>
    </row>
    <row r="25">
      <c r="A25" s="44" t="inlineStr">
        <is>
          <t>P12</t>
        </is>
      </c>
      <c r="B25" s="44" t="inlineStr">
        <is>
          <t>AM/NS India</t>
        </is>
      </c>
      <c r="C25" s="44" t="inlineStr">
        <is>
          <t>Hazira expansion 9 to 15 Mtpa</t>
        </is>
      </c>
      <c r="D25" s="44" t="inlineStr">
        <is>
          <t>Gujarat</t>
        </is>
      </c>
      <c r="E25" s="44" t="inlineStr">
        <is>
          <t>Brownfield integrated</t>
        </is>
      </c>
      <c r="F25" s="34" t="n">
        <v>6</v>
      </c>
      <c r="G25" s="44" t="inlineStr">
        <is>
          <t>Crude steel</t>
        </is>
      </c>
      <c r="H25" s="44" t="inlineStr">
        <is>
          <t>Under implementation</t>
        </is>
      </c>
      <c r="I25" s="44" t="inlineStr">
        <is>
          <t>FY2029</t>
        </is>
      </c>
      <c r="L25" s="44" t="inlineStr">
        <is>
          <t>Yes</t>
        </is>
      </c>
      <c r="M25" s="44" t="inlineStr">
        <is>
          <t>S13</t>
        </is>
      </c>
      <c r="N25" s="44" t="inlineStr">
        <is>
          <t>High</t>
        </is>
      </c>
      <c r="O25" s="45" t="inlineStr">
        <is>
          <t>Under implementation. The largest single brownfield addition in the pipeline.</t>
        </is>
      </c>
    </row>
    <row r="26">
      <c r="A26" s="44" t="inlineStr">
        <is>
          <t>P13</t>
        </is>
      </c>
      <c r="B26" s="44" t="inlineStr">
        <is>
          <t>AM/NS India</t>
        </is>
      </c>
      <c r="C26" s="44" t="inlineStr">
        <is>
          <t>Rajayyapeta greenfield, Phase 1</t>
        </is>
      </c>
      <c r="D26" s="44" t="inlineStr">
        <is>
          <t>Andhra Pradesh</t>
        </is>
      </c>
      <c r="E26" s="44" t="inlineStr">
        <is>
          <t>Greenfield</t>
        </is>
      </c>
      <c r="F26" s="34" t="n">
        <v>8.199999999999999</v>
      </c>
      <c r="G26" s="44" t="inlineStr">
        <is>
          <t>Crude steel</t>
        </is>
      </c>
      <c r="H26" s="44" t="inlineStr">
        <is>
          <t>Announced 23-Mar-2026</t>
        </is>
      </c>
      <c r="I26" s="44" t="inlineStr">
        <is>
          <t>FY2032</t>
        </is>
      </c>
      <c r="L26" s="44" t="inlineStr">
        <is>
          <t>Yes</t>
        </is>
      </c>
      <c r="M26" s="44" t="inlineStr">
        <is>
          <t>S14</t>
        </is>
      </c>
      <c r="N26" s="44" t="inlineStr">
        <is>
          <t>Medium</t>
        </is>
      </c>
      <c r="O26" s="45" t="inlineStr">
        <is>
          <t>Announced 23-Mar-2026 as a low-cost, highly efficient coastal asset. Phase 1 of 8.2 Mtpa. Greenfield of this scale in India has historically taken 5 to 7 years.</t>
        </is>
      </c>
    </row>
    <row r="27">
      <c r="A27" s="44" t="inlineStr">
        <is>
          <t>P14</t>
        </is>
      </c>
      <c r="B27" s="44" t="inlineStr">
        <is>
          <t>AM/NS India</t>
        </is>
      </c>
      <c r="C27" s="44" t="inlineStr">
        <is>
          <t>Hazira further expansion to 24 Mtpa</t>
        </is>
      </c>
      <c r="D27" s="44" t="inlineStr">
        <is>
          <t>Gujarat</t>
        </is>
      </c>
      <c r="E27" s="44" t="inlineStr">
        <is>
          <t>Brownfield</t>
        </is>
      </c>
      <c r="F27" s="34" t="n">
        <v>9</v>
      </c>
      <c r="G27" s="44" t="inlineStr">
        <is>
          <t>Crude steel</t>
        </is>
      </c>
      <c r="H27" s="44" t="inlineStr">
        <is>
          <t>Detailed engineering under way</t>
        </is>
      </c>
      <c r="I27" s="44" t="inlineStr">
        <is>
          <t>Beyond FY2033</t>
        </is>
      </c>
      <c r="L27" s="44" t="inlineStr">
        <is>
          <t>No - beyond horizon</t>
        </is>
      </c>
      <c r="M27" s="44" t="inlineStr">
        <is>
          <t>S13</t>
        </is>
      </c>
      <c r="N27" s="44" t="inlineStr">
        <is>
          <t>Low</t>
        </is>
      </c>
      <c r="O27" s="45" t="inlineStr">
        <is>
          <t>Detailed engineering only. Falls outside the FY2033 horizon and is therefore excluded from the capacity build. Retained in the tracker for completeness and for terminal-value context.</t>
        </is>
      </c>
    </row>
    <row r="28">
      <c r="A28" s="44" t="inlineStr">
        <is>
          <t>P15</t>
        </is>
      </c>
      <c r="B28" s="44" t="inlineStr">
        <is>
          <t>Jindal Steel</t>
        </is>
      </c>
      <c r="C28" s="44" t="inlineStr">
        <is>
          <t>Angul expansion 6.0 to 12.0 Mtpa</t>
        </is>
      </c>
      <c r="D28" s="44" t="inlineStr">
        <is>
          <t>Odisha</t>
        </is>
      </c>
      <c r="E28" s="44" t="inlineStr">
        <is>
          <t>Brownfield integrated</t>
        </is>
      </c>
      <c r="F28" s="34" t="n">
        <v>6</v>
      </c>
      <c r="G28" s="44" t="inlineStr">
        <is>
          <t>Crude steel</t>
        </is>
      </c>
      <c r="H28" s="44" t="inlineStr">
        <is>
          <t>Completed in FY2026</t>
        </is>
      </c>
      <c r="I28" s="44" t="inlineStr">
        <is>
          <t>FY2026</t>
        </is>
      </c>
      <c r="L28" s="44" t="inlineStr">
        <is>
          <t>No - already in base</t>
        </is>
      </c>
      <c r="M28" s="44" t="inlineStr">
        <is>
          <t>S11</t>
        </is>
      </c>
      <c r="N28" s="44" t="inlineStr">
        <is>
          <t>High</t>
        </is>
      </c>
      <c r="O28" s="45" t="inlineStr">
        <is>
          <t>Completed during FY2026, taking group steelmaking capacity from 9.6 to 15.6 Mtpa. Already inside the FY2026 capacity base. Ironmaking capacity is being raised by a further 6.6 Mtpa with elements still under construction.</t>
        </is>
      </c>
    </row>
    <row r="29">
      <c r="A29" s="44" t="inlineStr">
        <is>
          <t>P16</t>
        </is>
      </c>
      <c r="B29" s="44" t="inlineStr">
        <is>
          <t>Jindal Stainless</t>
        </is>
      </c>
      <c r="C29" s="44" t="inlineStr">
        <is>
          <t>Indonesia stainless melt shop</t>
        </is>
      </c>
      <c r="D29" s="44" t="inlineStr">
        <is>
          <t>Indonesia</t>
        </is>
      </c>
      <c r="E29" s="44" t="inlineStr">
        <is>
          <t>Greenfield</t>
        </is>
      </c>
      <c r="F29" s="34" t="n">
        <v>1.2</v>
      </c>
      <c r="G29" s="44" t="inlineStr">
        <is>
          <t>Stainless melt</t>
        </is>
      </c>
      <c r="H29" s="44" t="inlineStr">
        <is>
          <t>Commissioned in FY2026</t>
        </is>
      </c>
      <c r="I29" s="44" t="inlineStr">
        <is>
          <t>FY2026</t>
        </is>
      </c>
      <c r="L29" s="44" t="inlineStr">
        <is>
          <t>No - outside India and in base</t>
        </is>
      </c>
      <c r="M29" s="44" t="inlineStr">
        <is>
          <t>S12</t>
        </is>
      </c>
      <c r="N29" s="44" t="inlineStr">
        <is>
          <t>High</t>
        </is>
      </c>
      <c r="O29" s="45" t="inlineStr">
        <is>
          <t>Commissioned ahead of schedule in FY2026, taking group melt capacity to 4.2 Mtpa. OUTSIDE INDIA, so excluded from the India capacity build.</t>
        </is>
      </c>
    </row>
    <row r="30">
      <c r="A30" s="44" t="inlineStr">
        <is>
          <t>P17</t>
        </is>
      </c>
      <c r="B30" s="44" t="inlineStr">
        <is>
          <t>Jindal Stainless</t>
        </is>
      </c>
      <c r="C30" s="44" t="inlineStr">
        <is>
          <t>Jajpur HRAP and CRAP downstream lines</t>
        </is>
      </c>
      <c r="D30" s="44" t="inlineStr">
        <is>
          <t>Odisha</t>
        </is>
      </c>
      <c r="E30" s="44" t="inlineStr">
        <is>
          <t>Downstream</t>
        </is>
      </c>
      <c r="F30" s="34" t="n">
        <v>1.27</v>
      </c>
      <c r="G30" s="44" t="inlineStr">
        <is>
          <t>Downstream processing</t>
        </is>
      </c>
      <c r="H30" s="44" t="inlineStr">
        <is>
          <t>Upcoming</t>
        </is>
      </c>
      <c r="I30" s="44" t="inlineStr">
        <is>
          <t>FY2028</t>
        </is>
      </c>
      <c r="L30" s="44" t="inlineStr">
        <is>
          <t>No - downstream, not melt</t>
        </is>
      </c>
      <c r="M30" s="44" t="inlineStr">
        <is>
          <t>S12</t>
        </is>
      </c>
      <c r="N30" s="44" t="inlineStr">
        <is>
          <t>High</t>
        </is>
      </c>
      <c r="O30" s="45" t="inlineStr">
        <is>
          <t>1.1 Mtpa HRAP plus 0.17 Mtpa CRAP. DOWNSTREAM PROCESSING, not melt capacity, so it must not be added to crude steel capacity. Included in the tracker because it drives mix and realisation, not tonnage.</t>
        </is>
      </c>
    </row>
    <row r="31">
      <c r="A31" s="44" t="inlineStr">
        <is>
          <t>P18</t>
        </is>
      </c>
      <c r="B31" s="44" t="inlineStr">
        <is>
          <t>Jindal Stainless</t>
        </is>
      </c>
      <c r="C31" s="44" t="inlineStr">
        <is>
          <t>Hisar and Kharagpur cold rolling augmentation</t>
        </is>
      </c>
      <c r="D31" s="44" t="inlineStr">
        <is>
          <t>Haryana / West Bengal</t>
        </is>
      </c>
      <c r="E31" s="44" t="inlineStr">
        <is>
          <t>Downstream</t>
        </is>
      </c>
      <c r="G31" s="44" t="inlineStr">
        <is>
          <t>Downstream processing</t>
        </is>
      </c>
      <c r="H31" s="44" t="inlineStr">
        <is>
          <t>Announced - Rs 900 cr committed</t>
        </is>
      </c>
      <c r="I31" s="44" t="inlineStr">
        <is>
          <t>FY2028</t>
        </is>
      </c>
      <c r="J31" s="35" t="n">
        <v>900</v>
      </c>
      <c r="L31" s="44" t="inlineStr">
        <is>
          <t>No - downstream, not melt</t>
        </is>
      </c>
      <c r="M31" s="44" t="inlineStr">
        <is>
          <t>S12</t>
        </is>
      </c>
      <c r="N31" s="44" t="inlineStr">
        <is>
          <t>High</t>
        </is>
      </c>
      <c r="O31" s="45" t="inlineStr">
        <is>
          <t>Takes CRAP capacity to 2.67 Mtpa by FY2028. Downstream only.</t>
        </is>
      </c>
    </row>
    <row r="32">
      <c r="A32" s="44" t="inlineStr">
        <is>
          <t>P19</t>
        </is>
      </c>
      <c r="B32" s="44" t="inlineStr">
        <is>
          <t>Electrosteel / ESL</t>
        </is>
      </c>
      <c r="C32" s="44" t="inlineStr">
        <is>
          <t>Bokaro capacity doubling</t>
        </is>
      </c>
      <c r="D32" s="44" t="inlineStr">
        <is>
          <t>Jharkhand</t>
        </is>
      </c>
      <c r="E32" s="44" t="inlineStr">
        <is>
          <t>Brownfield</t>
        </is>
      </c>
      <c r="F32" s="34" t="n">
        <v>1.5</v>
      </c>
      <c r="G32" s="44" t="inlineStr">
        <is>
          <t>Crude steel</t>
        </is>
      </c>
      <c r="H32" s="44" t="inlineStr">
        <is>
          <t>Announced by parent</t>
        </is>
      </c>
      <c r="I32" s="44" t="inlineStr">
        <is>
          <t>FY2027</t>
        </is>
      </c>
      <c r="L32" s="44" t="inlineStr">
        <is>
          <t>Yes</t>
        </is>
      </c>
      <c r="M32" s="44" t="inlineStr">
        <is>
          <t>S43</t>
        </is>
      </c>
      <c r="N32" s="44" t="inlineStr">
        <is>
          <t>Low</t>
        </is>
      </c>
      <c r="O32" s="45" t="inlineStr">
        <is>
          <t>Vedanta targeting a doubling of Bokaro from 1.5 to 3.0 Mtpa by end-CY2026. Rests on a single secondary source and is carried at low confidence.</t>
        </is>
      </c>
    </row>
    <row r="33">
      <c r="A33" s="44" t="inlineStr">
        <is>
          <t>P20</t>
        </is>
      </c>
      <c r="B33" s="44" t="inlineStr">
        <is>
          <t>NMDC Steel</t>
        </is>
      </c>
      <c r="C33" s="44" t="inlineStr">
        <is>
          <t>Nagarnar ramp-up to nameplate</t>
        </is>
      </c>
      <c r="D33" s="44" t="inlineStr">
        <is>
          <t>Chhattisgarh</t>
        </is>
      </c>
      <c r="E33" s="44" t="inlineStr">
        <is>
          <t>Ramp-up</t>
        </is>
      </c>
      <c r="G33" s="44" t="inlineStr">
        <is>
          <t>Crude steel</t>
        </is>
      </c>
      <c r="H33" s="44" t="inlineStr">
        <is>
          <t>Ramping</t>
        </is>
      </c>
      <c r="I33" s="44" t="inlineStr">
        <is>
          <t>FY2028</t>
        </is>
      </c>
      <c r="L33" s="44" t="inlineStr">
        <is>
          <t>No - utilisation, not capacity</t>
        </is>
      </c>
      <c r="M33" s="44" t="inlineStr">
        <is>
          <t>S01</t>
        </is>
      </c>
      <c r="N33" s="44" t="inlineStr">
        <is>
          <t>High</t>
        </is>
      </c>
      <c r="O33" s="45" t="inlineStr">
        <is>
          <t>The 3 Mtpa plant produced 2.382 Mt in FY2026, up 61.9%. The remaining roughly 0.6 Mt is a UTILISATION gain within existing capacity, not new capacity, and is captured through the utilisation forecast rather than the capacity build. Included here because it is one of the two empirical ramp-rate observations underpinning the horizon choice.</t>
        </is>
      </c>
    </row>
    <row r="35">
      <c r="B35" s="5" t="inlineStr">
        <is>
          <t>SUMMARY - GROSS ANNOUNCED INDIA CRUDE STEEL ADDITIONS BY YEAR (live SUMIFS)</t>
        </is>
      </c>
    </row>
    <row r="36">
      <c r="B36" s="11" t="inlineStr">
        <is>
          <t>Included projects only</t>
        </is>
      </c>
      <c r="C36" s="11" t="inlineStr">
        <is>
          <t>Mtpa</t>
        </is>
      </c>
      <c r="E36" s="46">
        <f>SUMIFS($F$14:$F$33,$I$14:$I$33,"FY2027",$L$14:$L$33,"Yes")</f>
        <v/>
      </c>
      <c r="F36" s="46">
        <f>SUMIFS($F$14:$F$33,$I$14:$I$33,"FY2028",$L$14:$L$33,"Yes")</f>
        <v/>
      </c>
      <c r="G36" s="46">
        <f>SUMIFS($F$14:$F$33,$I$14:$I$33,"FY2029",$L$14:$L$33,"Yes")</f>
        <v/>
      </c>
      <c r="H36" s="46">
        <f>SUMIFS($F$14:$F$33,$I$14:$I$33,"FY2030",$L$14:$L$33,"Yes")</f>
        <v/>
      </c>
      <c r="I36" s="46">
        <f>SUMIFS($F$14:$F$33,$I$14:$I$33,"FY2031",$L$14:$L$33,"Yes")</f>
        <v/>
      </c>
      <c r="J36" s="46">
        <f>SUMIFS($F$14:$F$33,$I$14:$I$33,"FY2032",$L$14:$L$33,"Yes")</f>
        <v/>
      </c>
      <c r="K36" s="46">
        <f>SUMIFS($F$14:$F$33,$I$14:$I$33,"FY2033",$L$14:$L$33,"Yes")</f>
        <v/>
      </c>
      <c r="O36" s="3" t="inlineStr">
        <is>
          <t>Live SUMIFS across the table above. Matches on the commissioning year AND on the inclusion flag being exactly 'Yes'.</t>
        </is>
      </c>
    </row>
    <row r="38">
      <c r="B38" s="21" t="inlineStr">
        <is>
          <t>Total gross announced additions, FY2027E-FY2033E</t>
        </is>
      </c>
      <c r="C38" s="11" t="inlineStr">
        <is>
          <t>Mtpa</t>
        </is>
      </c>
      <c r="D38" s="41">
        <f>SUM(E36:K36)</f>
        <v/>
      </c>
      <c r="O38" s="3" t="inlineStr">
        <is>
          <t>53.62 Mtpa of individually announced projects. Note this averages only 7.7 Mtpa a year against India's ACTUAL 20.8 and 20.1 Mtpa additions in FY2025 and FY2026, which is precisely why driver D22 exists - see 06.</t>
        </is>
      </c>
    </row>
  </sheetData>
  <printOptions horizontalCentered="1"/>
  <pageMargins left="0.75" right="0.75" top="1" bottom="1" header="0.5" footer="0.5"/>
  <pageSetup orientation="landscape"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tabColor rgb="001F3864"/>
    <outlinePr summaryBelow="1" summaryRight="1"/>
    <pageSetUpPr fitToPage="1"/>
  </sheetPr>
  <dimension ref="A1:O21"/>
  <sheetViews>
    <sheetView showGridLines="0" workbookViewId="0">
      <selection activeCell="A1" sqref="A1"/>
    </sheetView>
  </sheetViews>
  <sheetFormatPr baseColWidth="8" defaultRowHeight="15"/>
  <cols>
    <col width="7" customWidth="1" min="1" max="1"/>
    <col width="52" customWidth="1" min="2" max="2"/>
    <col width="1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95" customWidth="1" min="15" max="15"/>
  </cols>
  <sheetData>
    <row r="1" ht="19" customHeight="1">
      <c r="B1" s="1" t="inlineStr">
        <is>
          <t>08  Capacity Utilisation</t>
        </is>
      </c>
    </row>
    <row r="2">
      <c r="B2" s="4" t="inlineStr">
        <is>
          <t>Industry Financial Model  |  Indian Steel Industry  |  Horizon FY2027E-FY2033E  |  Base year FY2026A  |  Built 03-Aug-2026</t>
        </is>
      </c>
    </row>
    <row r="3">
      <c r="B3" s="3" t="inlineStr"/>
    </row>
    <row r="4">
      <c r="B4" s="4" t="inlineStr">
        <is>
          <t>OBJECTIVE</t>
        </is>
      </c>
    </row>
    <row r="5">
      <c r="B5" s="3" t="inlineStr">
        <is>
          <t>The bridge between the capacity and supply blocks, and the input to the price feedback that makes this model integrated.</t>
        </is>
      </c>
    </row>
    <row r="6">
      <c r="B6" s="4" t="inlineStr">
        <is>
          <t>METHODOLOGY</t>
        </is>
      </c>
    </row>
    <row r="7">
      <c r="B7" s="3" t="inlineStr">
        <is>
          <t>Utilisation equals crude steel production divided by closing capacity. The utilisation GAP against normal utilisation of 80% is the quantity that drives the lagged price adjustment on 09 Steel Price Forecast. Normal utilisation of 80% is anchored on actual Indian utilisation from the database - 80.4% in FY2024, 76.0% in FY2025 and 76.4% in FY2026 - with FY2024's recent high adopted as normal.</t>
        </is>
      </c>
    </row>
    <row r="8">
      <c r="B8" s="4" t="inlineStr">
        <is>
          <t>UNITS</t>
        </is>
      </c>
    </row>
    <row r="9">
      <c r="B9" s="3" t="inlineStr">
        <is>
          <t>Percentages as decimals. Mt for headroom.</t>
        </is>
      </c>
    </row>
    <row r="10">
      <c r="B10" s="4" t="inlineStr">
        <is>
          <t>DEPENDENCIES</t>
        </is>
      </c>
    </row>
    <row r="11">
      <c r="B11" s="3" t="inlineStr">
        <is>
          <t>Reads 05 Steel Supply and 06 Capacity Forecast. Read by 09 Steel Price and 18 Cycle.</t>
        </is>
      </c>
    </row>
    <row r="12">
      <c r="B12" s="3" t="inlineStr"/>
    </row>
    <row r="13" ht="30" customHeight="1">
      <c r="A13" s="7" t="inlineStr"/>
      <c r="B13" s="8" t="inlineStr">
        <is>
          <t>Line item</t>
        </is>
      </c>
      <c r="C13" s="8" t="inlineStr">
        <is>
          <t>Unit</t>
        </is>
      </c>
      <c r="D13" s="7" t="inlineStr">
        <is>
          <t>FY2026A</t>
        </is>
      </c>
      <c r="E13" s="7" t="inlineStr">
        <is>
          <t>FY2027E</t>
        </is>
      </c>
      <c r="F13" s="7" t="inlineStr">
        <is>
          <t>FY2028E</t>
        </is>
      </c>
      <c r="G13" s="7" t="inlineStr">
        <is>
          <t>FY2029E</t>
        </is>
      </c>
      <c r="H13" s="7" t="inlineStr">
        <is>
          <t>FY2030E</t>
        </is>
      </c>
      <c r="I13" s="7" t="inlineStr">
        <is>
          <t>FY2031E</t>
        </is>
      </c>
      <c r="J13" s="7" t="inlineStr">
        <is>
          <t>FY2032E</t>
        </is>
      </c>
      <c r="K13" s="7" t="inlineStr">
        <is>
          <t>FY2033E</t>
        </is>
      </c>
      <c r="L13" s="7" t="inlineStr">
        <is>
          <t>CAGR</t>
        </is>
      </c>
      <c r="M13" s="8" t="inlineStr">
        <is>
          <t>Source</t>
        </is>
      </c>
      <c r="N13" s="7" t="inlineStr">
        <is>
          <t>Conf.</t>
        </is>
      </c>
      <c r="O13" s="8" t="inlineStr">
        <is>
          <t>Notes / methodology</t>
        </is>
      </c>
    </row>
    <row r="14">
      <c r="B14" s="10" t="inlineStr">
        <is>
          <t>Crude steel production</t>
        </is>
      </c>
      <c r="C14" s="11" t="inlineStr">
        <is>
          <t>Mt</t>
        </is>
      </c>
      <c r="D14" s="34" t="n">
        <v>168.42</v>
      </c>
      <c r="E14" s="34">
        <f>'05 Steel Supply Model'!E$25</f>
        <v/>
      </c>
      <c r="F14" s="34">
        <f>'05 Steel Supply Model'!F$25</f>
        <v/>
      </c>
      <c r="G14" s="34">
        <f>'05 Steel Supply Model'!G$25</f>
        <v/>
      </c>
      <c r="H14" s="34">
        <f>'05 Steel Supply Model'!H$25</f>
        <v/>
      </c>
      <c r="I14" s="34">
        <f>'05 Steel Supply Model'!I$25</f>
        <v/>
      </c>
      <c r="J14" s="34">
        <f>'05 Steel Supply Model'!J$25</f>
        <v/>
      </c>
      <c r="K14" s="34">
        <f>'05 Steel Supply Model'!K$25</f>
        <v/>
      </c>
      <c r="M14" s="3" t="inlineStr">
        <is>
          <t>05 Supply</t>
        </is>
      </c>
      <c r="N14" s="13" t="inlineStr">
        <is>
          <t>High</t>
        </is>
      </c>
    </row>
    <row r="15">
      <c r="B15" s="10" t="inlineStr">
        <is>
          <t>Crude steel capacity</t>
        </is>
      </c>
      <c r="C15" s="11" t="inlineStr">
        <is>
          <t>Mtpa</t>
        </is>
      </c>
      <c r="D15" s="40" t="n">
        <v>220.4</v>
      </c>
      <c r="E15" s="40">
        <f>'06 Capacity Forecast'!E$20</f>
        <v/>
      </c>
      <c r="F15" s="40">
        <f>'06 Capacity Forecast'!F$20</f>
        <v/>
      </c>
      <c r="G15" s="40">
        <f>'06 Capacity Forecast'!G$20</f>
        <v/>
      </c>
      <c r="H15" s="40">
        <f>'06 Capacity Forecast'!H$20</f>
        <v/>
      </c>
      <c r="I15" s="40">
        <f>'06 Capacity Forecast'!I$20</f>
        <v/>
      </c>
      <c r="J15" s="40">
        <f>'06 Capacity Forecast'!J$20</f>
        <v/>
      </c>
      <c r="K15" s="40">
        <f>'06 Capacity Forecast'!K$20</f>
        <v/>
      </c>
      <c r="M15" s="3" t="inlineStr">
        <is>
          <t>06 Capacity</t>
        </is>
      </c>
      <c r="N15" s="13" t="inlineStr">
        <is>
          <t>High</t>
        </is>
      </c>
    </row>
    <row r="16">
      <c r="B16" s="26" t="inlineStr">
        <is>
          <t>Capacity utilisation</t>
        </is>
      </c>
      <c r="C16" s="11" t="inlineStr">
        <is>
          <t>%</t>
        </is>
      </c>
      <c r="D16" s="28" t="n">
        <v>0.7641560798548094</v>
      </c>
      <c r="E16" s="28">
        <f>E14/E15</f>
        <v/>
      </c>
      <c r="F16" s="28">
        <f>F14/F15</f>
        <v/>
      </c>
      <c r="G16" s="28">
        <f>G14/G15</f>
        <v/>
      </c>
      <c r="H16" s="28">
        <f>H14/H15</f>
        <v/>
      </c>
      <c r="I16" s="28">
        <f>I14/I15</f>
        <v/>
      </c>
      <c r="J16" s="28">
        <f>J14/J15</f>
        <v/>
      </c>
      <c r="K16" s="28">
        <f>K14/K15</f>
        <v/>
      </c>
      <c r="M16" s="3" t="inlineStr">
        <is>
          <t>Computed</t>
        </is>
      </c>
      <c r="N16" s="13" t="inlineStr">
        <is>
          <t>High</t>
        </is>
      </c>
      <c r="O16" s="3" t="inlineStr">
        <is>
          <t>FY2026A of 76.4%. Uses closing capacity as the denominator, so it understates true utilisation in heavy commissioning years - the same convention as the database.</t>
        </is>
      </c>
    </row>
    <row r="17">
      <c r="B17" s="10" t="inlineStr">
        <is>
          <t>Normal utilisation</t>
        </is>
      </c>
      <c r="C17" s="11" t="inlineStr">
        <is>
          <t>%</t>
        </is>
      </c>
      <c r="E17" s="16" t="inlineStr">
        <is>
          <t>'02 Model Assumptions'!E$145</t>
        </is>
      </c>
      <c r="F17" s="16" t="inlineStr">
        <is>
          <t>'02 Model Assumptions'!F$145</t>
        </is>
      </c>
      <c r="G17" s="16" t="inlineStr">
        <is>
          <t>'02 Model Assumptions'!G$145</t>
        </is>
      </c>
      <c r="H17" s="16" t="inlineStr">
        <is>
          <t>'02 Model Assumptions'!H$145</t>
        </is>
      </c>
      <c r="I17" s="16" t="inlineStr">
        <is>
          <t>'02 Model Assumptions'!I$145</t>
        </is>
      </c>
      <c r="J17" s="16" t="inlineStr">
        <is>
          <t>'02 Model Assumptions'!J$145</t>
        </is>
      </c>
      <c r="K17" s="16" t="inlineStr">
        <is>
          <t>'02 Model Assumptions'!K$145</t>
        </is>
      </c>
      <c r="M17" s="3" t="inlineStr">
        <is>
          <t>Derived from Master DB</t>
        </is>
      </c>
      <c r="N17" s="13" t="inlineStr">
        <is>
          <t>Medium</t>
        </is>
      </c>
      <c r="O17" s="3" t="inlineStr">
        <is>
          <t>80%, anchored on the FY2024 actual of 80.4%.</t>
        </is>
      </c>
    </row>
    <row r="18">
      <c r="B18" s="10" t="inlineStr">
        <is>
          <t>Utilisation gap vs normal</t>
        </is>
      </c>
      <c r="C18" s="11" t="inlineStr">
        <is>
          <t>ppt</t>
        </is>
      </c>
      <c r="E18" s="16">
        <f>E16-E17</f>
        <v/>
      </c>
      <c r="F18" s="16">
        <f>F16-F17</f>
        <v/>
      </c>
      <c r="G18" s="16">
        <f>G16-G17</f>
        <v/>
      </c>
      <c r="H18" s="16">
        <f>H16-H17</f>
        <v/>
      </c>
      <c r="I18" s="16">
        <f>I16-I17</f>
        <v/>
      </c>
      <c r="J18" s="16">
        <f>J16-J17</f>
        <v/>
      </c>
      <c r="K18" s="16">
        <f>K16-K17</f>
        <v/>
      </c>
      <c r="M18" s="3" t="inlineStr">
        <is>
          <t>Computed</t>
        </is>
      </c>
      <c r="N18" s="13" t="inlineStr">
        <is>
          <t>High</t>
        </is>
      </c>
      <c r="O18" s="3" t="inlineStr">
        <is>
          <t>THE DRIVER OF THE PRICE FEEDBACK. Positive means tight capacity supporting price; negative means surplus capacity depressing it. Used with a one-year lag on 09.</t>
        </is>
      </c>
    </row>
    <row r="19">
      <c r="B19" s="10" t="inlineStr">
        <is>
          <t>Spare capacity</t>
        </is>
      </c>
      <c r="C19" s="11" t="inlineStr">
        <is>
          <t>Mt</t>
        </is>
      </c>
      <c r="E19" s="40">
        <f>E15-E14</f>
        <v/>
      </c>
      <c r="F19" s="40">
        <f>F15-F14</f>
        <v/>
      </c>
      <c r="G19" s="40">
        <f>G15-G14</f>
        <v/>
      </c>
      <c r="H19" s="40">
        <f>H15-H14</f>
        <v/>
      </c>
      <c r="I19" s="40">
        <f>I15-I14</f>
        <v/>
      </c>
      <c r="J19" s="40">
        <f>J15-J14</f>
        <v/>
      </c>
      <c r="K19" s="40">
        <f>K15-K14</f>
        <v/>
      </c>
      <c r="M19" s="3" t="inlineStr">
        <is>
          <t>Computed</t>
        </is>
      </c>
      <c r="N19" s="13" t="inlineStr">
        <is>
          <t>High</t>
        </is>
      </c>
      <c r="O19" s="3" t="inlineStr">
        <is>
          <t>Idle capacity. Large and persistent spare capacity is the structural reason the base case forecasts realisation growing below inflation.</t>
        </is>
      </c>
    </row>
    <row r="21">
      <c r="B21" s="30" t="inlineStr">
        <is>
          <t>FY2026 utilisation of 76.4% against 80.4% in FY2024 is the single most important structural fact in the Indian steel investment case: capacity has been added faster than demand, which caps domestic pricing power and is why a safeguard duty was needed.</t>
        </is>
      </c>
    </row>
  </sheetData>
  <printOptions horizontalCentered="1"/>
  <pageMargins left="0.75" right="0.75" top="1" bottom="1" header="0.5" footer="0.5"/>
  <pageSetup orientation="landscape" fitToHeight="0" fitToWidth="1"/>
</worksheet>
</file>

<file path=xl/worksheets/sheet13.xml><?xml version="1.0" encoding="utf-8"?>
<worksheet xmlns="http://schemas.openxmlformats.org/spreadsheetml/2006/main">
  <sheetPr>
    <tabColor rgb="001F3864"/>
    <outlinePr summaryBelow="1" summaryRight="1"/>
    <pageSetUpPr fitToPage="1"/>
  </sheetPr>
  <dimension ref="A1:O29"/>
  <sheetViews>
    <sheetView showGridLines="0" workbookViewId="0">
      <selection activeCell="A1" sqref="A1"/>
    </sheetView>
  </sheetViews>
  <sheetFormatPr baseColWidth="8" defaultRowHeight="15"/>
  <cols>
    <col width="7" customWidth="1" min="1" max="1"/>
    <col width="52" customWidth="1" min="2" max="2"/>
    <col width="1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95" customWidth="1" min="15" max="15"/>
  </cols>
  <sheetData>
    <row r="1" ht="19" customHeight="1">
      <c r="B1" s="1" t="inlineStr">
        <is>
          <t>09  Steel Price Forecast</t>
        </is>
      </c>
    </row>
    <row r="2">
      <c r="B2" s="4" t="inlineStr">
        <is>
          <t>Industry Financial Model  |  Indian Steel Industry  |  Horizon FY2027E-FY2033E  |  Base year FY2026A  |  Built 03-Aug-2026</t>
        </is>
      </c>
    </row>
    <row r="3">
      <c r="B3" s="3" t="inlineStr"/>
    </row>
    <row r="4">
      <c r="B4" s="4" t="inlineStr">
        <is>
          <t>OBJECTIVE</t>
        </is>
      </c>
    </row>
    <row r="5">
      <c r="B5" s="3" t="inlineStr">
        <is>
          <t>Forecasts blended industry realisation, including the lagged utilisation feedback that connects the capacity block to earnings.</t>
        </is>
      </c>
    </row>
    <row r="6">
      <c r="B6" s="4" t="inlineStr">
        <is>
          <t>METHODOLOGY</t>
        </is>
      </c>
    </row>
    <row r="7">
      <c r="B7" s="3" t="inlineStr">
        <is>
          <t>The base-year anchor is a DERIVED blended realisation of Rs 59,974/t: the volume-weighted revenue per tonne of Tata Steel India, JSW Steel India, SAIL and Jindal Steel from the database - Rs 4,79,191 cr over 79.90 Mt, covering 49.4% of India's finished steel production. A blended realisation is used rather than a spot HRC quote for two reasons: the database documents three irreconcilable Mar-2026 HRC assessments spanning Rs 55,900 to Rs 59,500/t (Conflict C07), and revenue is driven by actual product mix, not by HRC alone. Effective realisation then equals the scenario driver multiplied by (1 + elasticity x prior-year utilisation gap).</t>
        </is>
      </c>
    </row>
    <row r="8">
      <c r="B8" s="4" t="inlineStr">
        <is>
          <t>UNITS</t>
        </is>
      </c>
    </row>
    <row r="9">
      <c r="B9" s="3" t="inlineStr">
        <is>
          <t>Rs per tonne. Percentages as decimals.</t>
        </is>
      </c>
    </row>
    <row r="10">
      <c r="B10" s="4" t="inlineStr">
        <is>
          <t>DEPENDENCIES</t>
        </is>
      </c>
    </row>
    <row r="11">
      <c r="B11" s="3" t="inlineStr">
        <is>
          <t>Reads 02 Model Assumptions and 08 Capacity Utilisation. Read by 12 Revenue, 13 EBITDA, 14 Margin.</t>
        </is>
      </c>
    </row>
    <row r="12">
      <c r="B12" s="3" t="inlineStr"/>
    </row>
    <row r="13" ht="30" customHeight="1">
      <c r="A13" s="7" t="inlineStr"/>
      <c r="B13" s="8" t="inlineStr">
        <is>
          <t>Line item</t>
        </is>
      </c>
      <c r="C13" s="8" t="inlineStr">
        <is>
          <t>Unit</t>
        </is>
      </c>
      <c r="D13" s="7" t="inlineStr">
        <is>
          <t>FY2026A</t>
        </is>
      </c>
      <c r="E13" s="7" t="inlineStr">
        <is>
          <t>FY2027E</t>
        </is>
      </c>
      <c r="F13" s="7" t="inlineStr">
        <is>
          <t>FY2028E</t>
        </is>
      </c>
      <c r="G13" s="7" t="inlineStr">
        <is>
          <t>FY2029E</t>
        </is>
      </c>
      <c r="H13" s="7" t="inlineStr">
        <is>
          <t>FY2030E</t>
        </is>
      </c>
      <c r="I13" s="7" t="inlineStr">
        <is>
          <t>FY2031E</t>
        </is>
      </c>
      <c r="J13" s="7" t="inlineStr">
        <is>
          <t>FY2032E</t>
        </is>
      </c>
      <c r="K13" s="7" t="inlineStr">
        <is>
          <t>FY2033E</t>
        </is>
      </c>
      <c r="L13" s="7" t="inlineStr">
        <is>
          <t>CAGR</t>
        </is>
      </c>
      <c r="M13" s="8" t="inlineStr">
        <is>
          <t>Source</t>
        </is>
      </c>
      <c r="N13" s="7" t="inlineStr">
        <is>
          <t>Conf.</t>
        </is>
      </c>
      <c r="O13" s="8" t="inlineStr">
        <is>
          <t>Notes / methodology</t>
        </is>
      </c>
    </row>
    <row r="14">
      <c r="B14" s="5" t="inlineStr">
        <is>
          <t>DRIVER REALISATION (before the utilisation feedback)</t>
        </is>
      </c>
    </row>
    <row r="15">
      <c r="B15" s="10" t="inlineStr">
        <is>
          <t>Blended realisation - scenario driver</t>
        </is>
      </c>
      <c r="C15" s="11" t="inlineStr">
        <is>
          <t>Rs/t</t>
        </is>
      </c>
      <c r="D15" s="35" t="n">
        <v>59974</v>
      </c>
      <c r="E15" s="35" t="inlineStr">
        <is>
          <t>'02 Model Assumptions'!E$130</t>
        </is>
      </c>
      <c r="F15" s="35" t="inlineStr">
        <is>
          <t>'02 Model Assumptions'!F$130</t>
        </is>
      </c>
      <c r="G15" s="35" t="inlineStr">
        <is>
          <t>'02 Model Assumptions'!G$130</t>
        </is>
      </c>
      <c r="H15" s="35" t="inlineStr">
        <is>
          <t>'02 Model Assumptions'!H$130</t>
        </is>
      </c>
      <c r="I15" s="35" t="inlineStr">
        <is>
          <t>'02 Model Assumptions'!I$130</t>
        </is>
      </c>
      <c r="J15" s="35" t="inlineStr">
        <is>
          <t>'02 Model Assumptions'!J$130</t>
        </is>
      </c>
      <c r="K15" s="35" t="inlineStr">
        <is>
          <t>'02 Model Assumptions'!K$130</t>
        </is>
      </c>
      <c r="M15" s="3" t="inlineStr">
        <is>
          <t>Derived from Master DB</t>
        </is>
      </c>
      <c r="N15" s="13" t="inlineStr">
        <is>
          <t>Medium</t>
        </is>
      </c>
      <c r="O15" s="3" t="inlineStr">
        <is>
          <t>FY2026A of Rs 59,974/t is derived, not quoted. Component realisations: Tata Steel India Rs 62,273/t, JSW Steel India Rs 60,798/t, Jindal Steel Rs 61,319/t, SAIL Rs 55,600/t. Jindal Stainless is EXCLUDED at roughly Rs 1,67,000/t because stainless is not comparable.</t>
        </is>
      </c>
    </row>
    <row r="17">
      <c r="B17" s="5" t="inlineStr">
        <is>
          <t>UTILISATION FEEDBACK (lagged one year - no circular reference)</t>
        </is>
      </c>
    </row>
    <row r="18">
      <c r="B18" s="10" t="inlineStr">
        <is>
          <t>Prior-year capacity utilisation</t>
        </is>
      </c>
      <c r="C18" s="11" t="inlineStr">
        <is>
          <t>%</t>
        </is>
      </c>
      <c r="E18" s="16">
        <f>'08 Capacity Utilisation'!D$16</f>
        <v/>
      </c>
      <c r="F18" s="16">
        <f>'08 Capacity Utilisation'!E$16</f>
        <v/>
      </c>
      <c r="G18" s="16">
        <f>'08 Capacity Utilisation'!F$16</f>
        <v/>
      </c>
      <c r="H18" s="16">
        <f>'08 Capacity Utilisation'!G$16</f>
        <v/>
      </c>
      <c r="I18" s="16">
        <f>'08 Capacity Utilisation'!H$16</f>
        <v/>
      </c>
      <c r="J18" s="16">
        <f>'08 Capacity Utilisation'!I$16</f>
        <v/>
      </c>
      <c r="K18" s="16">
        <f>'08 Capacity Utilisation'!J$16</f>
        <v/>
      </c>
      <c r="M18" s="3" t="inlineStr">
        <is>
          <t>08 Utilisation (lagged)</t>
        </is>
      </c>
      <c r="N18" s="13" t="inlineStr">
        <is>
          <t>High</t>
        </is>
      </c>
      <c r="O18" s="3" t="inlineStr">
        <is>
          <t>Deliberately the PRIOR year. FY2027E uses the FY2026A actual of 76.4%. The lag is what allows capacity to affect price without creating a circular reference.</t>
        </is>
      </c>
    </row>
    <row r="19">
      <c r="B19" s="10" t="inlineStr">
        <is>
          <t>Normal utilisation</t>
        </is>
      </c>
      <c r="C19" s="11" t="inlineStr">
        <is>
          <t>%</t>
        </is>
      </c>
      <c r="E19" s="16" t="inlineStr">
        <is>
          <t>'02 Model Assumptions'!E$145</t>
        </is>
      </c>
      <c r="F19" s="16" t="inlineStr">
        <is>
          <t>'02 Model Assumptions'!F$145</t>
        </is>
      </c>
      <c r="G19" s="16" t="inlineStr">
        <is>
          <t>'02 Model Assumptions'!G$145</t>
        </is>
      </c>
      <c r="H19" s="16" t="inlineStr">
        <is>
          <t>'02 Model Assumptions'!H$145</t>
        </is>
      </c>
      <c r="I19" s="16" t="inlineStr">
        <is>
          <t>'02 Model Assumptions'!I$145</t>
        </is>
      </c>
      <c r="J19" s="16" t="inlineStr">
        <is>
          <t>'02 Model Assumptions'!J$145</t>
        </is>
      </c>
      <c r="K19" s="16" t="inlineStr">
        <is>
          <t>'02 Model Assumptions'!K$145</t>
        </is>
      </c>
      <c r="M19" s="3" t="inlineStr">
        <is>
          <t>Derived from Master DB</t>
        </is>
      </c>
      <c r="N19" s="13" t="inlineStr">
        <is>
          <t>Medium</t>
        </is>
      </c>
    </row>
    <row r="20">
      <c r="B20" s="10" t="inlineStr">
        <is>
          <t>Price sensitivity to utilisation</t>
        </is>
      </c>
      <c r="C20" s="11" t="inlineStr">
        <is>
          <t>x</t>
        </is>
      </c>
      <c r="E20" s="33" t="inlineStr">
        <is>
          <t>'02 Model Assumptions'!E$144</t>
        </is>
      </c>
      <c r="F20" s="33" t="inlineStr">
        <is>
          <t>'02 Model Assumptions'!F$144</t>
        </is>
      </c>
      <c r="G20" s="33" t="inlineStr">
        <is>
          <t>'02 Model Assumptions'!G$144</t>
        </is>
      </c>
      <c r="H20" s="33" t="inlineStr">
        <is>
          <t>'02 Model Assumptions'!H$144</t>
        </is>
      </c>
      <c r="I20" s="33" t="inlineStr">
        <is>
          <t>'02 Model Assumptions'!I$144</t>
        </is>
      </c>
      <c r="J20" s="33" t="inlineStr">
        <is>
          <t>'02 Model Assumptions'!J$144</t>
        </is>
      </c>
      <c r="K20" s="33" t="inlineStr">
        <is>
          <t>'02 Model Assumptions'!K$144</t>
        </is>
      </c>
      <c r="M20" s="3" t="inlineStr">
        <is>
          <t>Indicative</t>
        </is>
      </c>
      <c r="N20" s="13" t="inlineStr">
        <is>
          <t>Low</t>
        </is>
      </c>
      <c r="O20" s="3" t="inlineStr">
        <is>
          <t>0.40x. INDICATIVE and unsourced, held constant across scenarios for that reason, and given a sensitivity axis on 22.</t>
        </is>
      </c>
    </row>
    <row r="21">
      <c r="B21" s="10" t="inlineStr">
        <is>
          <t>Price adjustment factor</t>
        </is>
      </c>
      <c r="C21" s="11" t="inlineStr">
        <is>
          <t>x</t>
        </is>
      </c>
      <c r="D21" s="33" t="n">
        <v>1</v>
      </c>
      <c r="E21" s="33">
        <f>1+E20*(E18-E19)</f>
        <v/>
      </c>
      <c r="F21" s="33">
        <f>1+F20*(F18-F19)</f>
        <v/>
      </c>
      <c r="G21" s="33">
        <f>1+G20*(G18-G19)</f>
        <v/>
      </c>
      <c r="H21" s="33">
        <f>1+H20*(H18-H19)</f>
        <v/>
      </c>
      <c r="I21" s="33">
        <f>1+I20*(I18-I19)</f>
        <v/>
      </c>
      <c r="J21" s="33">
        <f>1+J20*(J18-J19)</f>
        <v/>
      </c>
      <c r="K21" s="33">
        <f>1+K20*(K18-K19)</f>
        <v/>
      </c>
      <c r="M21" s="3" t="inlineStr">
        <is>
          <t>Computed</t>
        </is>
      </c>
      <c r="N21" s="13" t="inlineStr">
        <is>
          <t>Low</t>
        </is>
      </c>
      <c r="O21" s="3" t="inlineStr">
        <is>
          <t>Below 1.0 means surplus capacity is depressing realisation; above 1.0 means tight capacity is supporting it.</t>
        </is>
      </c>
    </row>
    <row r="22">
      <c r="B22" s="26" t="inlineStr">
        <is>
          <t>Blended realisation - effective</t>
        </is>
      </c>
      <c r="C22" s="11" t="inlineStr">
        <is>
          <t>Rs/t</t>
        </is>
      </c>
      <c r="D22" s="29" t="n">
        <v>59974</v>
      </c>
      <c r="E22" s="29">
        <f>E15*E21</f>
        <v/>
      </c>
      <c r="F22" s="29">
        <f>F15*F21</f>
        <v/>
      </c>
      <c r="G22" s="29">
        <f>G15*G21</f>
        <v/>
      </c>
      <c r="H22" s="29">
        <f>H15*H21</f>
        <v/>
      </c>
      <c r="I22" s="29">
        <f>I15*I21</f>
        <v/>
      </c>
      <c r="J22" s="29">
        <f>J15*J21</f>
        <v/>
      </c>
      <c r="K22" s="29">
        <f>K15*K21</f>
        <v/>
      </c>
      <c r="L22" s="16">
        <f>IFERROR(IF(AND(ISNUMBER(D22),ISNUMBER(K22),D22&gt;0),(K22/D22)^(1/7)-1,""),"")</f>
        <v/>
      </c>
      <c r="M22" s="3" t="inlineStr">
        <is>
          <t>Computed</t>
        </is>
      </c>
      <c r="N22" s="13" t="inlineStr">
        <is>
          <t>Medium</t>
        </is>
      </c>
      <c r="O22" s="3" t="inlineStr">
        <is>
          <t>THE REVENUE DRIVER. This, not the raw driver above, is what 12 Revenue reads.</t>
        </is>
      </c>
    </row>
    <row r="24">
      <c r="B24" s="5" t="inlineStr">
        <is>
          <t>REFERENCE PRICES AND POLICY</t>
        </is>
      </c>
    </row>
    <row r="25">
      <c r="B25" s="10" t="inlineStr">
        <is>
          <t>Memo: domestic HRC, end-Mar-2026 (ICRA)</t>
        </is>
      </c>
      <c r="C25" s="11" t="inlineStr">
        <is>
          <t>Rs/t</t>
        </is>
      </c>
      <c r="D25" s="35" t="n">
        <v>57700</v>
      </c>
      <c r="M25" s="3" t="inlineStr">
        <is>
          <t>Master DB S19</t>
        </is>
      </c>
      <c r="N25" s="13" t="inlineStr">
        <is>
          <t>High</t>
        </is>
      </c>
      <c r="O25" s="3" t="inlineStr">
        <is>
          <t>The database's recommended HRC reference. Shown as a memo only - the model runs on blended realisation. IDBI put Mar-2026 at Rs 59,500/t and ETInfra at Rs 55,900/t (Conflict C07).</t>
        </is>
      </c>
    </row>
    <row r="26">
      <c r="B26" s="10" t="inlineStr">
        <is>
          <t>Memo: HRC 52-week range to Jun-2026</t>
        </is>
      </c>
      <c r="C26" s="11" t="inlineStr">
        <is>
          <t>Rs/t</t>
        </is>
      </c>
      <c r="E26" s="43" t="inlineStr">
        <is>
          <t>Rs 45,700 - 59,600/t</t>
        </is>
      </c>
      <c r="M26" s="3" t="inlineStr">
        <is>
          <t>Master DB S21</t>
        </is>
      </c>
      <c r="N26" s="13" t="inlineStr">
        <is>
          <t>High</t>
        </is>
      </c>
      <c r="O26" s="3" t="inlineStr">
        <is>
          <t>A ~30% range. The single largest source of FY2027 earnings uncertainty.</t>
        </is>
      </c>
    </row>
    <row r="27">
      <c r="B27" s="10" t="inlineStr">
        <is>
          <t>Safeguard duty on flat products</t>
        </is>
      </c>
      <c r="C27" s="11" t="inlineStr">
        <is>
          <t>%</t>
        </is>
      </c>
      <c r="D27" s="16" t="n">
        <v>0.12</v>
      </c>
      <c r="E27" s="16" t="n">
        <v>0.115</v>
      </c>
      <c r="F27" s="16" t="n">
        <v>0.11</v>
      </c>
      <c r="G27" s="16" t="n">
        <v>0</v>
      </c>
      <c r="H27" s="16" t="n">
        <v>0</v>
      </c>
      <c r="I27" s="16" t="n">
        <v>0</v>
      </c>
      <c r="J27" s="16" t="n">
        <v>0</v>
      </c>
      <c r="K27" s="16" t="n">
        <v>0</v>
      </c>
      <c r="M27" s="3" t="inlineStr">
        <is>
          <t>Master DB policy P03</t>
        </is>
      </c>
      <c r="N27" s="13" t="inlineStr">
        <is>
          <t>High</t>
        </is>
      </c>
      <c r="O27" s="3" t="inlineStr">
        <is>
          <t>SCHEDULE, NOT A FORECAST. 12% for 21-Apr-2025 to 20-Apr-2026 (FY2026), 11.5% from 21-Apr-2026 (FY2027), 11% from 21-Apr-2027 (FY2028), expiring 20-Apr-2028. Zero thereafter unless extended - a mid-term review is provided for. The FY2029 step to zero is why the base case realisation path dips in FY2028-FY2029.</t>
        </is>
      </c>
    </row>
    <row r="29">
      <c r="B29" s="30" t="inlineStr">
        <is>
          <t>The duty covers FLAT products only, which is why the database records primary rebar rising 25% against HRC's 18% between the Dec-2025 quarter and Mar-2026.</t>
        </is>
      </c>
    </row>
  </sheetData>
  <printOptions horizontalCentered="1"/>
  <pageMargins left="0.75" right="0.75" top="1" bottom="1" header="0.5" footer="0.5"/>
  <pageSetup orientation="landscape" fitToHeight="0" fitToWidth="1"/>
</worksheet>
</file>

<file path=xl/worksheets/sheet14.xml><?xml version="1.0" encoding="utf-8"?>
<worksheet xmlns="http://schemas.openxmlformats.org/spreadsheetml/2006/main">
  <sheetPr>
    <tabColor rgb="001F3864"/>
    <outlinePr summaryBelow="1" summaryRight="1"/>
    <pageSetUpPr fitToPage="1"/>
  </sheetPr>
  <dimension ref="A1:O29"/>
  <sheetViews>
    <sheetView showGridLines="0" workbookViewId="0">
      <selection activeCell="A1" sqref="A1"/>
    </sheetView>
  </sheetViews>
  <sheetFormatPr baseColWidth="8" defaultRowHeight="15"/>
  <cols>
    <col width="7" customWidth="1" min="1" max="1"/>
    <col width="52" customWidth="1" min="2" max="2"/>
    <col width="1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95" customWidth="1" min="15" max="15"/>
  </cols>
  <sheetData>
    <row r="1" ht="19" customHeight="1">
      <c r="B1" s="1" t="inlineStr">
        <is>
          <t>10  Raw Material Forecast</t>
        </is>
      </c>
    </row>
    <row r="2">
      <c r="B2" s="4" t="inlineStr">
        <is>
          <t>Industry Financial Model  |  Indian Steel Industry  |  Horizon FY2027E-FY2033E  |  Base year FY2026A  |  Built 03-Aug-2026</t>
        </is>
      </c>
    </row>
    <row r="3">
      <c r="B3" s="3" t="inlineStr"/>
    </row>
    <row r="4">
      <c r="B4" s="4" t="inlineStr">
        <is>
          <t>OBJECTIVE</t>
        </is>
      </c>
    </row>
    <row r="5">
      <c r="B5" s="3" t="inlineStr">
        <is>
          <t>Forecasts the input basket - iron ore, coking coal and the exchange rate - and builds the raw-material cost index that drives cash cost.</t>
        </is>
      </c>
    </row>
    <row r="6">
      <c r="B6" s="4" t="inlineStr">
        <is>
          <t>METHODOLOGY</t>
        </is>
      </c>
    </row>
    <row r="7">
      <c r="B7" s="3" t="inlineStr">
        <is>
          <t>Dollar prices are converted to rupees at the forecast exchange rate, then indexed to FY2026. The basket weights iron ore and coking coal at 45% each with 10% other, which is INDICATIVE and unsourced. The resulting index, together with a conversion cost index compounding inflation, drives cash cost on 11 Cost Curve.</t>
        </is>
      </c>
    </row>
    <row r="8">
      <c r="B8" s="4" t="inlineStr">
        <is>
          <t>UNITS</t>
        </is>
      </c>
    </row>
    <row r="9">
      <c r="B9" s="3" t="inlineStr">
        <is>
          <t>US dollars per tonne as quoted; rupees per tonne after conversion. Indices FY2026A = 1.00.</t>
        </is>
      </c>
    </row>
    <row r="10">
      <c r="B10" s="4" t="inlineStr">
        <is>
          <t>DEPENDENCIES</t>
        </is>
      </c>
    </row>
    <row r="11">
      <c r="B11" s="3" t="inlineStr">
        <is>
          <t>Reads 02 Model Assumptions and 03 Macroeconomic Model. Read by 11 Cost Curve.</t>
        </is>
      </c>
    </row>
    <row r="12">
      <c r="B12" s="3" t="inlineStr"/>
    </row>
    <row r="13" ht="30" customHeight="1">
      <c r="A13" s="7" t="inlineStr"/>
      <c r="B13" s="8" t="inlineStr">
        <is>
          <t>Line item</t>
        </is>
      </c>
      <c r="C13" s="8" t="inlineStr">
        <is>
          <t>Unit</t>
        </is>
      </c>
      <c r="D13" s="7" t="inlineStr">
        <is>
          <t>FY2026A</t>
        </is>
      </c>
      <c r="E13" s="7" t="inlineStr">
        <is>
          <t>FY2027E</t>
        </is>
      </c>
      <c r="F13" s="7" t="inlineStr">
        <is>
          <t>FY2028E</t>
        </is>
      </c>
      <c r="G13" s="7" t="inlineStr">
        <is>
          <t>FY2029E</t>
        </is>
      </c>
      <c r="H13" s="7" t="inlineStr">
        <is>
          <t>FY2030E</t>
        </is>
      </c>
      <c r="I13" s="7" t="inlineStr">
        <is>
          <t>FY2031E</t>
        </is>
      </c>
      <c r="J13" s="7" t="inlineStr">
        <is>
          <t>FY2032E</t>
        </is>
      </c>
      <c r="K13" s="7" t="inlineStr">
        <is>
          <t>FY2033E</t>
        </is>
      </c>
      <c r="L13" s="7" t="inlineStr">
        <is>
          <t>CAGR</t>
        </is>
      </c>
      <c r="M13" s="8" t="inlineStr">
        <is>
          <t>Source</t>
        </is>
      </c>
      <c r="N13" s="7" t="inlineStr">
        <is>
          <t>Conf.</t>
        </is>
      </c>
      <c r="O13" s="8" t="inlineStr">
        <is>
          <t>Notes / methodology</t>
        </is>
      </c>
    </row>
    <row r="14">
      <c r="B14" s="5" t="inlineStr">
        <is>
          <t>DOLLAR PRICES</t>
        </is>
      </c>
    </row>
    <row r="15">
      <c r="B15" s="10" t="inlineStr">
        <is>
          <t>Iron ore 62% Fe fines, CFR China</t>
        </is>
      </c>
      <c r="C15" s="11" t="inlineStr">
        <is>
          <t>US$/dmt</t>
        </is>
      </c>
      <c r="D15" s="34" t="n">
        <v>100.52</v>
      </c>
      <c r="E15" s="34" t="inlineStr">
        <is>
          <t>'02 Model Assumptions'!E$131</t>
        </is>
      </c>
      <c r="F15" s="34" t="inlineStr">
        <is>
          <t>'02 Model Assumptions'!F$131</t>
        </is>
      </c>
      <c r="G15" s="34" t="inlineStr">
        <is>
          <t>'02 Model Assumptions'!G$131</t>
        </is>
      </c>
      <c r="H15" s="34" t="inlineStr">
        <is>
          <t>'02 Model Assumptions'!H$131</t>
        </is>
      </c>
      <c r="I15" s="34" t="inlineStr">
        <is>
          <t>'02 Model Assumptions'!I$131</t>
        </is>
      </c>
      <c r="J15" s="34" t="inlineStr">
        <is>
          <t>'02 Model Assumptions'!J$131</t>
        </is>
      </c>
      <c r="K15" s="34" t="inlineStr">
        <is>
          <t>'02 Model Assumptions'!K$131</t>
        </is>
      </c>
      <c r="M15" s="3" t="inlineStr">
        <is>
          <t>Master DB S17 (World Bank)</t>
        </is>
      </c>
      <c r="N15" s="13" t="inlineStr">
        <is>
          <t>High</t>
        </is>
      </c>
      <c r="O15" s="3" t="inlineStr">
        <is>
          <t>FY2026A of US$100.52/dmt is a genuine 12-month average from the World Bank Pink Sheet - the highest-quality price series in the model. Third consecutive annual decline from US$155.52/dmt in FY2022. Q1FY2027 actual averaged US$105.17/dmt.</t>
        </is>
      </c>
    </row>
    <row r="16">
      <c r="B16" s="10" t="inlineStr">
        <is>
          <t>Premium HCC coking coal, FOB Australia</t>
        </is>
      </c>
      <c r="C16" s="11" t="inlineStr">
        <is>
          <t>US$/t</t>
        </is>
      </c>
      <c r="D16" s="34" t="n">
        <v>225</v>
      </c>
      <c r="E16" s="34" t="inlineStr">
        <is>
          <t>'02 Model Assumptions'!E$132</t>
        </is>
      </c>
      <c r="F16" s="34" t="inlineStr">
        <is>
          <t>'02 Model Assumptions'!F$132</t>
        </is>
      </c>
      <c r="G16" s="34" t="inlineStr">
        <is>
          <t>'02 Model Assumptions'!G$132</t>
        </is>
      </c>
      <c r="H16" s="34" t="inlineStr">
        <is>
          <t>'02 Model Assumptions'!H$132</t>
        </is>
      </c>
      <c r="I16" s="34" t="inlineStr">
        <is>
          <t>'02 Model Assumptions'!I$132</t>
        </is>
      </c>
      <c r="J16" s="34" t="inlineStr">
        <is>
          <t>'02 Model Assumptions'!J$132</t>
        </is>
      </c>
      <c r="K16" s="34" t="inlineStr">
        <is>
          <t>'02 Model Assumptions'!K$132</t>
        </is>
      </c>
      <c r="M16" s="3" t="inlineStr">
        <is>
          <t>Master DB S01 (Ministry of Steel)</t>
        </is>
      </c>
      <c r="N16" s="13" t="inlineStr">
        <is>
          <t>Medium</t>
        </is>
      </c>
      <c r="O16" s="3" t="inlineStr">
        <is>
          <t>FY2026A of US$225/t is the Ministry of Steel's MAR-2026 SPOT observation, NOT a fiscal-year average - the database deliberately asserts no average because the two public series disagree by up to US$40/t (Conflict C01). THE LARGEST COST UNCERTAINTY IN THE MODEL. Replace with a licensed PRA series before transaction use.</t>
        </is>
      </c>
    </row>
    <row r="17">
      <c r="B17" s="10" t="inlineStr">
        <is>
          <t>USD/INR</t>
        </is>
      </c>
      <c r="C17" s="11" t="inlineStr">
        <is>
          <t>Rs/US$</t>
        </is>
      </c>
      <c r="D17" s="34" t="n">
        <v>88.40000000000001</v>
      </c>
      <c r="E17" s="34">
        <f>'03 Macroeconomic Model'!E$21</f>
        <v/>
      </c>
      <c r="F17" s="34">
        <f>'03 Macroeconomic Model'!F$21</f>
        <v/>
      </c>
      <c r="G17" s="34">
        <f>'03 Macroeconomic Model'!G$21</f>
        <v/>
      </c>
      <c r="H17" s="34">
        <f>'03 Macroeconomic Model'!H$21</f>
        <v/>
      </c>
      <c r="I17" s="34">
        <f>'03 Macroeconomic Model'!I$21</f>
        <v/>
      </c>
      <c r="J17" s="34">
        <f>'03 Macroeconomic Model'!J$21</f>
        <v/>
      </c>
      <c r="K17" s="34">
        <f>'03 Macroeconomic Model'!K$21</f>
        <v/>
      </c>
      <c r="M17" s="3" t="inlineStr">
        <is>
          <t>03 Macro</t>
        </is>
      </c>
      <c r="N17" s="13" t="inlineStr">
        <is>
          <t>High</t>
        </is>
      </c>
    </row>
    <row r="19">
      <c r="B19" s="5" t="inlineStr">
        <is>
          <t>RUPEE-CONVERTED PRICES</t>
        </is>
      </c>
    </row>
    <row r="20">
      <c r="B20" s="10" t="inlineStr">
        <is>
          <t>Iron ore in rupees</t>
        </is>
      </c>
      <c r="C20" s="11" t="inlineStr">
        <is>
          <t>Rs/dmt</t>
        </is>
      </c>
      <c r="D20" s="35" t="n">
        <v>8885.968000000001</v>
      </c>
      <c r="E20" s="35">
        <f>E15*E17</f>
        <v/>
      </c>
      <c r="F20" s="35">
        <f>F15*F17</f>
        <v/>
      </c>
      <c r="G20" s="35">
        <f>G15*G17</f>
        <v/>
      </c>
      <c r="H20" s="35">
        <f>H15*H17</f>
        <v/>
      </c>
      <c r="I20" s="35">
        <f>I15*I17</f>
        <v/>
      </c>
      <c r="J20" s="35">
        <f>J15*J17</f>
        <v/>
      </c>
      <c r="K20" s="35">
        <f>K15*K17</f>
        <v/>
      </c>
      <c r="L20" s="16">
        <f>IFERROR(IF(AND(ISNUMBER(D20),ISNUMBER(K20),D20&gt;0),(K20/D20)^(1/7)-1,""),"")</f>
        <v/>
      </c>
      <c r="M20" s="3" t="inlineStr">
        <is>
          <t>Computed</t>
        </is>
      </c>
      <c r="N20" s="13" t="inlineStr">
        <is>
          <t>High</t>
        </is>
      </c>
      <c r="O20" s="3" t="inlineStr">
        <is>
          <t>This is where the FX channel enters cost: a weaker rupee raises input cost even if the dollar price is flat.</t>
        </is>
      </c>
    </row>
    <row r="21">
      <c r="B21" s="10" t="inlineStr">
        <is>
          <t>Coking coal in rupees</t>
        </is>
      </c>
      <c r="C21" s="11" t="inlineStr">
        <is>
          <t>Rs/t</t>
        </is>
      </c>
      <c r="D21" s="35" t="n">
        <v>19890</v>
      </c>
      <c r="E21" s="35">
        <f>E16*E17</f>
        <v/>
      </c>
      <c r="F21" s="35">
        <f>F16*F17</f>
        <v/>
      </c>
      <c r="G21" s="35">
        <f>G16*G17</f>
        <v/>
      </c>
      <c r="H21" s="35">
        <f>H16*H17</f>
        <v/>
      </c>
      <c r="I21" s="35">
        <f>I16*I17</f>
        <v/>
      </c>
      <c r="J21" s="35">
        <f>J16*J17</f>
        <v/>
      </c>
      <c r="K21" s="35">
        <f>K16*K17</f>
        <v/>
      </c>
      <c r="L21" s="16">
        <f>IFERROR(IF(AND(ISNUMBER(D21),ISNUMBER(K21),D21&gt;0),(K21/D21)^(1/7)-1,""),"")</f>
        <v/>
      </c>
      <c r="M21" s="3" t="inlineStr">
        <is>
          <t>Computed</t>
        </is>
      </c>
      <c r="N21" s="13" t="inlineStr">
        <is>
          <t>Medium</t>
        </is>
      </c>
    </row>
    <row r="23">
      <c r="B23" s="5" t="inlineStr">
        <is>
          <t>COST INDICES</t>
        </is>
      </c>
    </row>
    <row r="24">
      <c r="B24" s="10" t="inlineStr">
        <is>
          <t>Conversion cost inflation</t>
        </is>
      </c>
      <c r="C24" s="11" t="inlineStr">
        <is>
          <t>%</t>
        </is>
      </c>
      <c r="E24" s="16" t="inlineStr">
        <is>
          <t>'02 Model Assumptions'!E$133</t>
        </is>
      </c>
      <c r="F24" s="16" t="inlineStr">
        <is>
          <t>'02 Model Assumptions'!F$133</t>
        </is>
      </c>
      <c r="G24" s="16" t="inlineStr">
        <is>
          <t>'02 Model Assumptions'!G$133</t>
        </is>
      </c>
      <c r="H24" s="16" t="inlineStr">
        <is>
          <t>'02 Model Assumptions'!H$133</t>
        </is>
      </c>
      <c r="I24" s="16" t="inlineStr">
        <is>
          <t>'02 Model Assumptions'!I$133</t>
        </is>
      </c>
      <c r="J24" s="16" t="inlineStr">
        <is>
          <t>'02 Model Assumptions'!J$133</t>
        </is>
      </c>
      <c r="K24" s="16" t="inlineStr">
        <is>
          <t>'02 Model Assumptions'!K$133</t>
        </is>
      </c>
      <c r="M24" s="3" t="inlineStr">
        <is>
          <t>RBI-anchored</t>
        </is>
      </c>
      <c r="N24" s="13" t="inlineStr">
        <is>
          <t>Medium</t>
        </is>
      </c>
      <c r="O24" s="3" t="inlineStr">
        <is>
          <t>Applies to labour, power, consumables, stores, repairs and logistics. Set below RBI's 5.1% FY2027 CPI because conversion cost tracks energy rather than headline CPI and because the majors are delivering cost programmes - Tata Steel recorded roughly Rs 10,868 cr of benefit in FY2026, about Rs 4,825 per tonne of India deliveries.</t>
        </is>
      </c>
    </row>
    <row r="25">
      <c r="B25" s="10" t="inlineStr">
        <is>
          <t>Conversion cost index</t>
        </is>
      </c>
      <c r="C25" s="11" t="inlineStr">
        <is>
          <t>x</t>
        </is>
      </c>
      <c r="D25" s="42" t="n">
        <v>1</v>
      </c>
      <c r="E25" s="42">
        <f>D25*(1+E24)</f>
        <v/>
      </c>
      <c r="F25" s="42">
        <f>E25*(1+F24)</f>
        <v/>
      </c>
      <c r="G25" s="42">
        <f>F25*(1+G24)</f>
        <v/>
      </c>
      <c r="H25" s="42">
        <f>G25*(1+H24)</f>
        <v/>
      </c>
      <c r="I25" s="42">
        <f>H25*(1+I24)</f>
        <v/>
      </c>
      <c r="J25" s="42">
        <f>I25*(1+J24)</f>
        <v/>
      </c>
      <c r="K25" s="42">
        <f>J25*(1+K24)</f>
        <v/>
      </c>
      <c r="M25" s="3" t="inlineStr">
        <is>
          <t>Computed</t>
        </is>
      </c>
      <c r="N25" s="13" t="inlineStr">
        <is>
          <t>Medium</t>
        </is>
      </c>
      <c r="O25" s="3" t="inlineStr">
        <is>
          <t>Compounds the inflation rate above.</t>
        </is>
      </c>
    </row>
    <row r="26">
      <c r="B26" s="10" t="inlineStr">
        <is>
          <t>Iron ore weight in basket</t>
        </is>
      </c>
      <c r="C26" s="11" t="inlineStr">
        <is>
          <t>%</t>
        </is>
      </c>
      <c r="E26" s="16" t="inlineStr">
        <is>
          <t>'02 Model Assumptions'!E$135</t>
        </is>
      </c>
      <c r="F26" s="16" t="inlineStr">
        <is>
          <t>'02 Model Assumptions'!F$135</t>
        </is>
      </c>
      <c r="G26" s="16" t="inlineStr">
        <is>
          <t>'02 Model Assumptions'!G$135</t>
        </is>
      </c>
      <c r="H26" s="16" t="inlineStr">
        <is>
          <t>'02 Model Assumptions'!H$135</t>
        </is>
      </c>
      <c r="I26" s="16" t="inlineStr">
        <is>
          <t>'02 Model Assumptions'!I$135</t>
        </is>
      </c>
      <c r="J26" s="16" t="inlineStr">
        <is>
          <t>'02 Model Assumptions'!J$135</t>
        </is>
      </c>
      <c r="K26" s="16" t="inlineStr">
        <is>
          <t>'02 Model Assumptions'!K$135</t>
        </is>
      </c>
      <c r="M26" s="3" t="inlineStr">
        <is>
          <t>Indicative</t>
        </is>
      </c>
      <c r="N26" s="13" t="inlineStr">
        <is>
          <t>Low</t>
        </is>
      </c>
      <c r="O26" s="3" t="inlineStr">
        <is>
          <t>45% iron ore, 45% coking coal, 10% other ferrous and fluxes. INDICATIVE and unsourced; held constant across scenarios and given a sensitivity axis on 22.</t>
        </is>
      </c>
    </row>
    <row r="27">
      <c r="B27" s="26" t="inlineStr">
        <is>
          <t>Raw material cost index</t>
        </is>
      </c>
      <c r="C27" s="11" t="inlineStr">
        <is>
          <t>x</t>
        </is>
      </c>
      <c r="D27" s="47" t="n">
        <v>1</v>
      </c>
      <c r="E27" s="47">
        <f>E26*(E20/$D$20)+E26*(E21/$D$21)+(1-2*E26)*E25</f>
        <v/>
      </c>
      <c r="F27" s="47">
        <f>F26*(F20/$D$20)+F26*(F21/$D$21)+(1-2*F26)*F25</f>
        <v/>
      </c>
      <c r="G27" s="47">
        <f>G26*(G20/$D$20)+G26*(G21/$D$21)+(1-2*G26)*G25</f>
        <v/>
      </c>
      <c r="H27" s="47">
        <f>H26*(H20/$D$20)+H26*(H21/$D$21)+(1-2*H26)*H25</f>
        <v/>
      </c>
      <c r="I27" s="47">
        <f>I26*(I20/$D$20)+I26*(I21/$D$21)+(1-2*I26)*I25</f>
        <v/>
      </c>
      <c r="J27" s="47">
        <f>J26*(J20/$D$20)+J26*(J21/$D$21)+(1-2*J26)*J25</f>
        <v/>
      </c>
      <c r="K27" s="47">
        <f>K26*(K20/$D$20)+K26*(K21/$D$21)+(1-2*K26)*K25</f>
        <v/>
      </c>
      <c r="M27" s="3" t="inlineStr">
        <is>
          <t>Computed</t>
        </is>
      </c>
      <c r="N27" s="13" t="inlineStr">
        <is>
          <t>Low</t>
        </is>
      </c>
      <c r="O27" s="3" t="inlineStr">
        <is>
          <t>Weighted index of rupee input prices relative to FY2026, with the residual 10% indexed to conversion inflation.</t>
        </is>
      </c>
    </row>
    <row r="29">
      <c r="B29" s="30" t="inlineStr">
        <is>
          <t>The Australian THERMAL coal series in the database (FY2026 average US$111.50/mt) is deliberately NOT used here. It is thermal, not metallurgical, coal - see database Conflict C15.</t>
        </is>
      </c>
    </row>
  </sheetData>
  <printOptions horizontalCentered="1"/>
  <pageMargins left="0.75" right="0.75" top="1" bottom="1" header="0.5" footer="0.5"/>
  <pageSetup orientation="landscape" fitToHeight="0" fitToWidth="1"/>
</worksheet>
</file>

<file path=xl/worksheets/sheet15.xml><?xml version="1.0" encoding="utf-8"?>
<worksheet xmlns="http://schemas.openxmlformats.org/spreadsheetml/2006/main">
  <sheetPr>
    <tabColor rgb="001F3864"/>
    <outlinePr summaryBelow="1" summaryRight="1"/>
    <pageSetUpPr fitToPage="1"/>
  </sheetPr>
  <dimension ref="A1:O27"/>
  <sheetViews>
    <sheetView showGridLines="0" workbookViewId="0">
      <selection activeCell="A1" sqref="A1"/>
    </sheetView>
  </sheetViews>
  <sheetFormatPr baseColWidth="8" defaultRowHeight="15"/>
  <cols>
    <col width="7" customWidth="1" min="1" max="1"/>
    <col width="52" customWidth="1" min="2" max="2"/>
    <col width="1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95" customWidth="1" min="15" max="15"/>
  </cols>
  <sheetData>
    <row r="1" ht="19" customHeight="1">
      <c r="B1" s="1" t="inlineStr">
        <is>
          <t>11  Cost Curve</t>
        </is>
      </c>
    </row>
    <row r="2">
      <c r="B2" s="4" t="inlineStr">
        <is>
          <t>Industry Financial Model  |  Indian Steel Industry  |  Horizon FY2027E-FY2033E  |  Base year FY2026A  |  Built 03-Aug-2026</t>
        </is>
      </c>
    </row>
    <row r="3">
      <c r="B3" s="3" t="inlineStr"/>
    </row>
    <row r="4">
      <c r="B4" s="4" t="inlineStr">
        <is>
          <t>OBJECTIVE</t>
        </is>
      </c>
    </row>
    <row r="5">
      <c r="B5" s="3" t="inlineStr">
        <is>
          <t>Forecasts industry cash cost per tonne and positions each covered producer on the cost curve.</t>
        </is>
      </c>
    </row>
    <row r="6">
      <c r="B6" s="4" t="inlineStr">
        <is>
          <t>METHODOLOGY</t>
        </is>
      </c>
    </row>
    <row r="7">
      <c r="B7" s="3" t="inlineStr">
        <is>
          <t>CALIBRATED TOP-DOWN, NOT BUILT BOTTOM-UP. The FY2026 anchor of Rs 49,241/t is derived as blended realisation of Rs 59,974/t less weighted EBITDA of Rs 10,733/t, both from the database. It is forecast by splitting cash cost into a raw-material component indexed to the input basket and a conversion component indexed to inflation. A bottom-up build with consumption coefficients - tonnes of ore and coal per tonne of steel - was deliberately NOT attempted because those coefficients could not be sourced from any primary document, and inventing them would create false precision in the single most important cost line in the model.</t>
        </is>
      </c>
    </row>
    <row r="8">
      <c r="B8" s="4" t="inlineStr">
        <is>
          <t>UNITS</t>
        </is>
      </c>
    </row>
    <row r="9">
      <c r="B9" s="3" t="inlineStr">
        <is>
          <t>Rs per tonne.</t>
        </is>
      </c>
    </row>
    <row r="10">
      <c r="B10" s="4" t="inlineStr">
        <is>
          <t>DEPENDENCIES</t>
        </is>
      </c>
    </row>
    <row r="11">
      <c r="B11" s="3" t="inlineStr">
        <is>
          <t>Reads 09 Steel Price and 10 Raw Material. Read by 13 EBITDA and 14 Margin.</t>
        </is>
      </c>
    </row>
    <row r="12">
      <c r="B12" s="3" t="inlineStr"/>
    </row>
    <row r="13" ht="30" customHeight="1">
      <c r="A13" s="7" t="inlineStr"/>
      <c r="B13" s="8" t="inlineStr">
        <is>
          <t>Line item</t>
        </is>
      </c>
      <c r="C13" s="8" t="inlineStr">
        <is>
          <t>Unit</t>
        </is>
      </c>
      <c r="D13" s="7" t="inlineStr">
        <is>
          <t>FY2026A</t>
        </is>
      </c>
      <c r="E13" s="7" t="inlineStr">
        <is>
          <t>FY2027E</t>
        </is>
      </c>
      <c r="F13" s="7" t="inlineStr">
        <is>
          <t>FY2028E</t>
        </is>
      </c>
      <c r="G13" s="7" t="inlineStr">
        <is>
          <t>FY2029E</t>
        </is>
      </c>
      <c r="H13" s="7" t="inlineStr">
        <is>
          <t>FY2030E</t>
        </is>
      </c>
      <c r="I13" s="7" t="inlineStr">
        <is>
          <t>FY2031E</t>
        </is>
      </c>
      <c r="J13" s="7" t="inlineStr">
        <is>
          <t>FY2032E</t>
        </is>
      </c>
      <c r="K13" s="7" t="inlineStr">
        <is>
          <t>FY2033E</t>
        </is>
      </c>
      <c r="L13" s="7" t="inlineStr">
        <is>
          <t>CAGR</t>
        </is>
      </c>
      <c r="M13" s="8" t="inlineStr">
        <is>
          <t>Source</t>
        </is>
      </c>
      <c r="N13" s="7" t="inlineStr">
        <is>
          <t>Conf.</t>
        </is>
      </c>
      <c r="O13" s="8" t="inlineStr">
        <is>
          <t>Notes / methodology</t>
        </is>
      </c>
    </row>
    <row r="14">
      <c r="B14" s="10" t="inlineStr">
        <is>
          <t>Raw material share of cash cost</t>
        </is>
      </c>
      <c r="C14" s="11" t="inlineStr">
        <is>
          <t>%</t>
        </is>
      </c>
      <c r="E14" s="16" t="inlineStr">
        <is>
          <t>'02 Model Assumptions'!E$134</t>
        </is>
      </c>
      <c r="F14" s="16" t="inlineStr">
        <is>
          <t>'02 Model Assumptions'!F$134</t>
        </is>
      </c>
      <c r="G14" s="16" t="inlineStr">
        <is>
          <t>'02 Model Assumptions'!G$134</t>
        </is>
      </c>
      <c r="H14" s="16" t="inlineStr">
        <is>
          <t>'02 Model Assumptions'!H$134</t>
        </is>
      </c>
      <c r="I14" s="16" t="inlineStr">
        <is>
          <t>'02 Model Assumptions'!I$134</t>
        </is>
      </c>
      <c r="J14" s="16" t="inlineStr">
        <is>
          <t>'02 Model Assumptions'!J$134</t>
        </is>
      </c>
      <c r="K14" s="16" t="inlineStr">
        <is>
          <t>'02 Model Assumptions'!K$134</t>
        </is>
      </c>
      <c r="M14" s="3" t="inlineStr">
        <is>
          <t>Indicative</t>
        </is>
      </c>
      <c r="N14" s="13" t="inlineStr">
        <is>
          <t>Low</t>
        </is>
      </c>
      <c r="O14" s="3" t="inlineStr">
        <is>
          <t>60/40 raw material to conversion. INDICATIVE and unsourced. Plausible range 55-65%; a 5ppt change alters FY2033 EBITDA/t by roughly Rs 600/t.</t>
        </is>
      </c>
    </row>
    <row r="15">
      <c r="B15" s="10" t="inlineStr">
        <is>
          <t>Raw material cost index</t>
        </is>
      </c>
      <c r="C15" s="11" t="inlineStr">
        <is>
          <t>x</t>
        </is>
      </c>
      <c r="D15" s="42" t="n">
        <v>1</v>
      </c>
      <c r="E15" s="42">
        <f>'10 Raw Material Forecast'!E$27</f>
        <v/>
      </c>
      <c r="F15" s="42">
        <f>'10 Raw Material Forecast'!F$27</f>
        <v/>
      </c>
      <c r="G15" s="42">
        <f>'10 Raw Material Forecast'!G$27</f>
        <v/>
      </c>
      <c r="H15" s="42">
        <f>'10 Raw Material Forecast'!H$27</f>
        <v/>
      </c>
      <c r="I15" s="42">
        <f>'10 Raw Material Forecast'!I$27</f>
        <v/>
      </c>
      <c r="J15" s="42">
        <f>'10 Raw Material Forecast'!J$27</f>
        <v/>
      </c>
      <c r="K15" s="42">
        <f>'10 Raw Material Forecast'!K$27</f>
        <v/>
      </c>
      <c r="M15" s="3" t="inlineStr">
        <is>
          <t>10 Raw Material</t>
        </is>
      </c>
      <c r="N15" s="13" t="inlineStr">
        <is>
          <t>Low</t>
        </is>
      </c>
    </row>
    <row r="16">
      <c r="B16" s="10" t="inlineStr">
        <is>
          <t>Conversion cost index</t>
        </is>
      </c>
      <c r="C16" s="11" t="inlineStr">
        <is>
          <t>x</t>
        </is>
      </c>
      <c r="D16" s="42" t="n">
        <v>1</v>
      </c>
      <c r="E16" s="42">
        <f>'10 Raw Material Forecast'!E$25</f>
        <v/>
      </c>
      <c r="F16" s="42">
        <f>'10 Raw Material Forecast'!F$25</f>
        <v/>
      </c>
      <c r="G16" s="42">
        <f>'10 Raw Material Forecast'!G$25</f>
        <v/>
      </c>
      <c r="H16" s="42">
        <f>'10 Raw Material Forecast'!H$25</f>
        <v/>
      </c>
      <c r="I16" s="42">
        <f>'10 Raw Material Forecast'!I$25</f>
        <v/>
      </c>
      <c r="J16" s="42">
        <f>'10 Raw Material Forecast'!J$25</f>
        <v/>
      </c>
      <c r="K16" s="42">
        <f>'10 Raw Material Forecast'!K$25</f>
        <v/>
      </c>
      <c r="M16" s="3" t="inlineStr">
        <is>
          <t>10 Raw Material</t>
        </is>
      </c>
      <c r="N16" s="13" t="inlineStr">
        <is>
          <t>Medium</t>
        </is>
      </c>
    </row>
    <row r="17">
      <c r="B17" s="26" t="inlineStr">
        <is>
          <t>Industry cash cost per tonne</t>
        </is>
      </c>
      <c r="C17" s="11" t="inlineStr">
        <is>
          <t>Rs/t</t>
        </is>
      </c>
      <c r="D17" s="29" t="n">
        <v>49241</v>
      </c>
      <c r="E17" s="29">
        <f>$D$17*(E14*E15+(1-E14)*E16)</f>
        <v/>
      </c>
      <c r="F17" s="29">
        <f>$D$17*(F14*F15+(1-F14)*F16)</f>
        <v/>
      </c>
      <c r="G17" s="29">
        <f>$D$17*(G14*G15+(1-G14)*G16)</f>
        <v/>
      </c>
      <c r="H17" s="29">
        <f>$D$17*(H14*H15+(1-H14)*H16)</f>
        <v/>
      </c>
      <c r="I17" s="29">
        <f>$D$17*(I14*I15+(1-I14)*I16)</f>
        <v/>
      </c>
      <c r="J17" s="29">
        <f>$D$17*(J14*J15+(1-J14)*J16)</f>
        <v/>
      </c>
      <c r="K17" s="29">
        <f>$D$17*(K14*K15+(1-K14)*K16)</f>
        <v/>
      </c>
      <c r="L17" s="16">
        <f>IFERROR(IF(AND(ISNUMBER(D17),ISNUMBER(K17),D17&gt;0),(K17/D17)^(1/7)-1,""),"")</f>
        <v/>
      </c>
      <c r="M17" s="3" t="inlineStr">
        <is>
          <t>Computed - calibrated</t>
        </is>
      </c>
      <c r="N17" s="13" t="inlineStr">
        <is>
          <t>Medium</t>
        </is>
      </c>
      <c r="O17" s="3" t="inlineStr">
        <is>
          <t>FY2026A of Rs 49,241/t is derived from the database. Dispersion across the four majors is only Rs 3,777/t, under 8%, which supports the weighted figure being representative rather than an artefact of one company.</t>
        </is>
      </c>
    </row>
    <row r="19">
      <c r="B19" s="5" t="inlineStr">
        <is>
          <t>PRODUCER COST CURVE - FY2026A ACTUAL AND FORECAST</t>
        </is>
      </c>
    </row>
    <row r="20" ht="26" customHeight="1">
      <c r="B20" s="23" t="inlineStr">
        <is>
          <t>Each producer's FY2026 implied cash cost is realisation less reported EBITDA/t. The forecast holds each producer's SPREAD to the industry constant, which assumes relative competitive position is stable - a strong assumption, stated explicitly.</t>
        </is>
      </c>
    </row>
    <row r="21" ht="30" customHeight="1">
      <c r="A21" s="7" t="inlineStr"/>
      <c r="B21" s="8" t="inlineStr">
        <is>
          <t>Line item</t>
        </is>
      </c>
      <c r="C21" s="8" t="inlineStr">
        <is>
          <t>Unit</t>
        </is>
      </c>
      <c r="D21" s="7" t="inlineStr">
        <is>
          <t>FY2026A</t>
        </is>
      </c>
      <c r="E21" s="7" t="inlineStr">
        <is>
          <t>FY2027E</t>
        </is>
      </c>
      <c r="F21" s="7" t="inlineStr">
        <is>
          <t>FY2028E</t>
        </is>
      </c>
      <c r="G21" s="7" t="inlineStr">
        <is>
          <t>FY2029E</t>
        </is>
      </c>
      <c r="H21" s="7" t="inlineStr">
        <is>
          <t>FY2030E</t>
        </is>
      </c>
      <c r="I21" s="7" t="inlineStr">
        <is>
          <t>FY2031E</t>
        </is>
      </c>
      <c r="J21" s="7" t="inlineStr">
        <is>
          <t>FY2032E</t>
        </is>
      </c>
      <c r="K21" s="7" t="inlineStr">
        <is>
          <t>FY2033E</t>
        </is>
      </c>
      <c r="L21" s="7" t="inlineStr">
        <is>
          <t>CAGR</t>
        </is>
      </c>
      <c r="M21" s="8" t="inlineStr">
        <is>
          <t>Source</t>
        </is>
      </c>
      <c r="N21" s="7" t="inlineStr">
        <is>
          <t>Conf.</t>
        </is>
      </c>
      <c r="O21" s="8" t="inlineStr">
        <is>
          <t>Notes / methodology</t>
        </is>
      </c>
    </row>
    <row r="22">
      <c r="B22" s="10" t="inlineStr">
        <is>
          <t>Tata Steel - cash cost</t>
        </is>
      </c>
      <c r="C22" s="11" t="inlineStr">
        <is>
          <t>Rs/t</t>
        </is>
      </c>
      <c r="D22" s="35" t="n">
        <v>47060</v>
      </c>
      <c r="E22" s="35">
        <f>E17+(-2181)</f>
        <v/>
      </c>
      <c r="F22" s="35">
        <f>F17+(-2181)</f>
        <v/>
      </c>
      <c r="G22" s="35">
        <f>G17+(-2181)</f>
        <v/>
      </c>
      <c r="H22" s="35">
        <f>H17+(-2181)</f>
        <v/>
      </c>
      <c r="I22" s="35">
        <f>I17+(-2181)</f>
        <v/>
      </c>
      <c r="J22" s="35">
        <f>J17+(-2181)</f>
        <v/>
      </c>
      <c r="K22" s="35">
        <f>K17+(-2181)</f>
        <v/>
      </c>
      <c r="M22" s="3" t="inlineStr">
        <is>
          <t>Master DB</t>
        </is>
      </c>
      <c r="N22" s="13" t="inlineStr">
        <is>
          <t>Medium</t>
        </is>
      </c>
      <c r="O22" s="3" t="inlineStr">
        <is>
          <t>FY2026 realisation Rs 62,273/t less reported EBITDA Rs 15,213/t. Spread to industry -2181 Rs/t, held constant in the forecast.</t>
        </is>
      </c>
    </row>
    <row r="23">
      <c r="B23" s="10" t="inlineStr">
        <is>
          <t>SAIL - cash cost</t>
        </is>
      </c>
      <c r="C23" s="11" t="inlineStr">
        <is>
          <t>Rs/t</t>
        </is>
      </c>
      <c r="D23" s="35" t="n">
        <v>49004</v>
      </c>
      <c r="E23" s="35">
        <f>E17+(-237)</f>
        <v/>
      </c>
      <c r="F23" s="35">
        <f>F17+(-237)</f>
        <v/>
      </c>
      <c r="G23" s="35">
        <f>G17+(-237)</f>
        <v/>
      </c>
      <c r="H23" s="35">
        <f>H17+(-237)</f>
        <v/>
      </c>
      <c r="I23" s="35">
        <f>I17+(-237)</f>
        <v/>
      </c>
      <c r="J23" s="35">
        <f>J17+(-237)</f>
        <v/>
      </c>
      <c r="K23" s="35">
        <f>K17+(-237)</f>
        <v/>
      </c>
      <c r="M23" s="3" t="inlineStr">
        <is>
          <t>Master DB</t>
        </is>
      </c>
      <c r="N23" s="13" t="inlineStr">
        <is>
          <t>Medium</t>
        </is>
      </c>
      <c r="O23" s="3" t="inlineStr">
        <is>
          <t>FY2026 realisation Rs 55,600/t less reported EBITDA Rs 6,596/t. Spread to industry -237 Rs/t, held constant in the forecast.</t>
        </is>
      </c>
    </row>
    <row r="24">
      <c r="B24" s="10" t="inlineStr">
        <is>
          <t>JSW Steel - cash cost</t>
        </is>
      </c>
      <c r="C24" s="11" t="inlineStr">
        <is>
          <t>Rs/t</t>
        </is>
      </c>
      <c r="D24" s="35" t="n">
        <v>50631</v>
      </c>
      <c r="E24" s="35">
        <f>E17+1390</f>
        <v/>
      </c>
      <c r="F24" s="35">
        <f>F17+1390</f>
        <v/>
      </c>
      <c r="G24" s="35">
        <f>G17+1390</f>
        <v/>
      </c>
      <c r="H24" s="35">
        <f>H17+1390</f>
        <v/>
      </c>
      <c r="I24" s="35">
        <f>I17+1390</f>
        <v/>
      </c>
      <c r="J24" s="35">
        <f>J17+1390</f>
        <v/>
      </c>
      <c r="K24" s="35">
        <f>K17+1390</f>
        <v/>
      </c>
      <c r="M24" s="3" t="inlineStr">
        <is>
          <t>Master DB</t>
        </is>
      </c>
      <c r="N24" s="13" t="inlineStr">
        <is>
          <t>Medium</t>
        </is>
      </c>
      <c r="O24" s="3" t="inlineStr">
        <is>
          <t>FY2026 realisation Rs 60,798/t less reported EBITDA Rs 10,167/t. Spread to industry +1390 Rs/t, held constant in the forecast.</t>
        </is>
      </c>
    </row>
    <row r="25">
      <c r="B25" s="10" t="inlineStr">
        <is>
          <t>Jindal Steel - cash cost</t>
        </is>
      </c>
      <c r="C25" s="11" t="inlineStr">
        <is>
          <t>Rs/t</t>
        </is>
      </c>
      <c r="D25" s="35" t="n">
        <v>50837</v>
      </c>
      <c r="E25" s="35">
        <f>E17+1596</f>
        <v/>
      </c>
      <c r="F25" s="35">
        <f>F17+1596</f>
        <v/>
      </c>
      <c r="G25" s="35">
        <f>G17+1596</f>
        <v/>
      </c>
      <c r="H25" s="35">
        <f>H17+1596</f>
        <v/>
      </c>
      <c r="I25" s="35">
        <f>I17+1596</f>
        <v/>
      </c>
      <c r="J25" s="35">
        <f>J17+1596</f>
        <v/>
      </c>
      <c r="K25" s="35">
        <f>K17+1596</f>
        <v/>
      </c>
      <c r="M25" s="3" t="inlineStr">
        <is>
          <t>Master DB</t>
        </is>
      </c>
      <c r="N25" s="13" t="inlineStr">
        <is>
          <t>Medium</t>
        </is>
      </c>
      <c r="O25" s="3" t="inlineStr">
        <is>
          <t>FY2026 realisation Rs 61,319/t less reported EBITDA Rs 10,482/t. Spread to industry +1596 Rs/t, held constant in the forecast.</t>
        </is>
      </c>
    </row>
    <row r="27">
      <c r="B27" s="30" t="inlineStr">
        <is>
          <t>Cost-curve position is the primary determinant of who survives a downturn. On FY2026 actuals Tata Steel India sits roughly Rs 2,180/t BELOW the industry weighted cash cost and Jindal Steel roughly Rs 1,600/t above it - a Rs 3,780/t spread between best and worst of the four, equal to about 35% of industry EBITDA per tonne.</t>
        </is>
      </c>
    </row>
  </sheetData>
  <printOptions horizontalCentered="1"/>
  <pageMargins left="0.75" right="0.75" top="1" bottom="1" header="0.5" footer="0.5"/>
  <pageSetup orientation="landscape" fitToHeight="0" fitToWidth="1"/>
</worksheet>
</file>

<file path=xl/worksheets/sheet16.xml><?xml version="1.0" encoding="utf-8"?>
<worksheet xmlns="http://schemas.openxmlformats.org/spreadsheetml/2006/main">
  <sheetPr>
    <tabColor rgb="001F3864"/>
    <outlinePr summaryBelow="1" summaryRight="1"/>
    <pageSetUpPr fitToPage="1"/>
  </sheetPr>
  <dimension ref="A1:O39"/>
  <sheetViews>
    <sheetView showGridLines="0" workbookViewId="0">
      <selection activeCell="A1" sqref="A1"/>
    </sheetView>
  </sheetViews>
  <sheetFormatPr baseColWidth="8" defaultRowHeight="15"/>
  <cols>
    <col width="7" customWidth="1" min="1" max="1"/>
    <col width="52" customWidth="1" min="2" max="2"/>
    <col width="1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95" customWidth="1" min="15" max="15"/>
  </cols>
  <sheetData>
    <row r="1" ht="19" customHeight="1">
      <c r="B1" s="1" t="inlineStr">
        <is>
          <t>12  Revenue Forecast</t>
        </is>
      </c>
    </row>
    <row r="2">
      <c r="B2" s="4" t="inlineStr">
        <is>
          <t>Industry Financial Model  |  Indian Steel Industry  |  Horizon FY2027E-FY2033E  |  Base year FY2026A  |  Built 03-Aug-2026</t>
        </is>
      </c>
    </row>
    <row r="3">
      <c r="B3" s="3" t="inlineStr"/>
    </row>
    <row r="4">
      <c r="B4" s="4" t="inlineStr">
        <is>
          <t>OBJECTIVE</t>
        </is>
      </c>
    </row>
    <row r="5">
      <c r="B5" s="3" t="inlineStr">
        <is>
          <t>Industry revenue and a company-level revenue build for the covered producers.</t>
        </is>
      </c>
    </row>
    <row r="6">
      <c r="B6" s="4" t="inlineStr">
        <is>
          <t>METHODOLOGY</t>
        </is>
      </c>
    </row>
    <row r="7">
      <c r="B7" s="3" t="inlineStr">
        <is>
          <t>Industry revenue equals finished steel production multiplied by effective blended realisation. The unit bridge is explicit: Rs/t multiplied by Mt divided by 10 gives Rs crore. Company volumes grow from their FY2026 actual by their own tracked capacity additions multiplied by the industry utilisation rate, so a company only gets volume if the industry can absorb it. Company realisation moves with the industry index, preserving each producer's observed FY2026 mix premium or discount.</t>
        </is>
      </c>
    </row>
    <row r="8">
      <c r="B8" s="4" t="inlineStr">
        <is>
          <t>UNITS</t>
        </is>
      </c>
    </row>
    <row r="9">
      <c r="B9" s="3" t="inlineStr">
        <is>
          <t>Rs crore. Volumes in Mt.</t>
        </is>
      </c>
    </row>
    <row r="10">
      <c r="B10" s="4" t="inlineStr">
        <is>
          <t>DEPENDENCIES</t>
        </is>
      </c>
    </row>
    <row r="11">
      <c r="B11" s="3" t="inlineStr">
        <is>
          <t>Reads 05 Steel Supply, 09 Steel Price, 07 Tracker. Read by 13, 14, 15, 16, 23.</t>
        </is>
      </c>
    </row>
    <row r="12">
      <c r="B12" s="3" t="inlineStr"/>
    </row>
    <row r="13" ht="30" customHeight="1">
      <c r="A13" s="7" t="inlineStr"/>
      <c r="B13" s="8" t="inlineStr">
        <is>
          <t>Line item</t>
        </is>
      </c>
      <c r="C13" s="8" t="inlineStr">
        <is>
          <t>Unit</t>
        </is>
      </c>
      <c r="D13" s="7" t="inlineStr">
        <is>
          <t>FY2026A</t>
        </is>
      </c>
      <c r="E13" s="7" t="inlineStr">
        <is>
          <t>FY2027E</t>
        </is>
      </c>
      <c r="F13" s="7" t="inlineStr">
        <is>
          <t>FY2028E</t>
        </is>
      </c>
      <c r="G13" s="7" t="inlineStr">
        <is>
          <t>FY2029E</t>
        </is>
      </c>
      <c r="H13" s="7" t="inlineStr">
        <is>
          <t>FY2030E</t>
        </is>
      </c>
      <c r="I13" s="7" t="inlineStr">
        <is>
          <t>FY2031E</t>
        </is>
      </c>
      <c r="J13" s="7" t="inlineStr">
        <is>
          <t>FY2032E</t>
        </is>
      </c>
      <c r="K13" s="7" t="inlineStr">
        <is>
          <t>FY2033E</t>
        </is>
      </c>
      <c r="L13" s="7" t="inlineStr">
        <is>
          <t>CAGR</t>
        </is>
      </c>
      <c r="M13" s="8" t="inlineStr">
        <is>
          <t>Source</t>
        </is>
      </c>
      <c r="N13" s="7" t="inlineStr">
        <is>
          <t>Conf.</t>
        </is>
      </c>
      <c r="O13" s="8" t="inlineStr">
        <is>
          <t>Notes / methodology</t>
        </is>
      </c>
    </row>
    <row r="14">
      <c r="B14" s="10" t="inlineStr">
        <is>
          <t>Finished steel production</t>
        </is>
      </c>
      <c r="C14" s="11" t="inlineStr">
        <is>
          <t>Mt</t>
        </is>
      </c>
      <c r="D14" s="34" t="n">
        <v>160.94</v>
      </c>
      <c r="E14" s="34">
        <f>'05 Steel Supply Model'!E$27</f>
        <v/>
      </c>
      <c r="F14" s="34">
        <f>'05 Steel Supply Model'!F$27</f>
        <v/>
      </c>
      <c r="G14" s="34">
        <f>'05 Steel Supply Model'!G$27</f>
        <v/>
      </c>
      <c r="H14" s="34">
        <f>'05 Steel Supply Model'!H$27</f>
        <v/>
      </c>
      <c r="I14" s="34">
        <f>'05 Steel Supply Model'!I$27</f>
        <v/>
      </c>
      <c r="J14" s="34">
        <f>'05 Steel Supply Model'!J$27</f>
        <v/>
      </c>
      <c r="K14" s="34">
        <f>'05 Steel Supply Model'!K$27</f>
        <v/>
      </c>
      <c r="M14" s="3" t="inlineStr">
        <is>
          <t>05 Supply</t>
        </is>
      </c>
      <c r="N14" s="13" t="inlineStr">
        <is>
          <t>High</t>
        </is>
      </c>
    </row>
    <row r="15">
      <c r="B15" s="10" t="inlineStr">
        <is>
          <t>Blended realisation - effective</t>
        </is>
      </c>
      <c r="C15" s="11" t="inlineStr">
        <is>
          <t>Rs/t</t>
        </is>
      </c>
      <c r="D15" s="35" t="n">
        <v>59974</v>
      </c>
      <c r="E15" s="35">
        <f>'09 Steel Price Forecast'!E$22</f>
        <v/>
      </c>
      <c r="F15" s="35">
        <f>'09 Steel Price Forecast'!F$22</f>
        <v/>
      </c>
      <c r="G15" s="35">
        <f>'09 Steel Price Forecast'!G$22</f>
        <v/>
      </c>
      <c r="H15" s="35">
        <f>'09 Steel Price Forecast'!H$22</f>
        <v/>
      </c>
      <c r="I15" s="35">
        <f>'09 Steel Price Forecast'!I$22</f>
        <v/>
      </c>
      <c r="J15" s="35">
        <f>'09 Steel Price Forecast'!J$22</f>
        <v/>
      </c>
      <c r="K15" s="35">
        <f>'09 Steel Price Forecast'!K$22</f>
        <v/>
      </c>
      <c r="M15" s="3" t="inlineStr">
        <is>
          <t>09 Price</t>
        </is>
      </c>
      <c r="N15" s="13" t="inlineStr">
        <is>
          <t>Medium</t>
        </is>
      </c>
    </row>
    <row r="16">
      <c r="B16" s="26" t="inlineStr">
        <is>
          <t>INDUSTRY REVENUE</t>
        </is>
      </c>
      <c r="C16" s="11" t="inlineStr">
        <is>
          <t>Rs cr</t>
        </is>
      </c>
      <c r="D16" s="29" t="n">
        <v>965221.5560000001</v>
      </c>
      <c r="E16" s="29">
        <f>E14*E15/10</f>
        <v/>
      </c>
      <c r="F16" s="29">
        <f>F14*F15/10</f>
        <v/>
      </c>
      <c r="G16" s="29">
        <f>G14*G15/10</f>
        <v/>
      </c>
      <c r="H16" s="29">
        <f>H14*H15/10</f>
        <v/>
      </c>
      <c r="I16" s="29">
        <f>I14*I15/10</f>
        <v/>
      </c>
      <c r="J16" s="29">
        <f>J14*J15/10</f>
        <v/>
      </c>
      <c r="K16" s="29">
        <f>K14*K15/10</f>
        <v/>
      </c>
      <c r="L16" s="16">
        <f>IFERROR(IF(AND(ISNUMBER(D16),ISNUMBER(K16),D16&gt;0),(K16/D16)^(1/7)-1,""),"")</f>
        <v/>
      </c>
      <c r="M16" s="3" t="inlineStr">
        <is>
          <t>Computed</t>
        </is>
      </c>
      <c r="N16" s="13" t="inlineStr">
        <is>
          <t>Medium</t>
        </is>
      </c>
      <c r="O16" s="3" t="inlineStr">
        <is>
          <t>Unit bridge: Rs/t x Mt / 10 = Rs crore, because 1 Rs crore = 1e7 Rs and 1 Mt = 1e6 tonnes. FY2026A of Rs 9,65,238 cr is the whole-of-India finished steel revenue pool, against Rs 4,79,191 cr for the four majors that anchor realisation - i.e. the calibration sample is 49.6% of the pool by revenue.</t>
        </is>
      </c>
    </row>
    <row r="19">
      <c r="B19" s="5" t="inlineStr">
        <is>
          <t>COMPANY VOLUME BUILD</t>
        </is>
      </c>
    </row>
    <row r="20" ht="30" customHeight="1">
      <c r="A20" s="7" t="inlineStr"/>
      <c r="B20" s="8" t="inlineStr">
        <is>
          <t>Line item</t>
        </is>
      </c>
      <c r="C20" s="8" t="inlineStr">
        <is>
          <t>Unit</t>
        </is>
      </c>
      <c r="D20" s="7" t="inlineStr">
        <is>
          <t>FY2026A</t>
        </is>
      </c>
      <c r="E20" s="7" t="inlineStr">
        <is>
          <t>FY2027E</t>
        </is>
      </c>
      <c r="F20" s="7" t="inlineStr">
        <is>
          <t>FY2028E</t>
        </is>
      </c>
      <c r="G20" s="7" t="inlineStr">
        <is>
          <t>FY2029E</t>
        </is>
      </c>
      <c r="H20" s="7" t="inlineStr">
        <is>
          <t>FY2030E</t>
        </is>
      </c>
      <c r="I20" s="7" t="inlineStr">
        <is>
          <t>FY2031E</t>
        </is>
      </c>
      <c r="J20" s="7" t="inlineStr">
        <is>
          <t>FY2032E</t>
        </is>
      </c>
      <c r="K20" s="7" t="inlineStr">
        <is>
          <t>FY2033E</t>
        </is>
      </c>
      <c r="L20" s="7" t="inlineStr">
        <is>
          <t>CAGR</t>
        </is>
      </c>
      <c r="M20" s="8" t="inlineStr">
        <is>
          <t>Source</t>
        </is>
      </c>
      <c r="N20" s="7" t="inlineStr">
        <is>
          <t>Conf.</t>
        </is>
      </c>
      <c r="O20" s="8" t="inlineStr">
        <is>
          <t>Notes / methodology</t>
        </is>
      </c>
    </row>
    <row r="21">
      <c r="B21" s="10" t="inlineStr">
        <is>
          <t>Tata Steel - volume</t>
        </is>
      </c>
      <c r="C21" s="11" t="inlineStr">
        <is>
          <t>Mt</t>
        </is>
      </c>
      <c r="D21" s="34" t="n">
        <v>22.53</v>
      </c>
      <c r="E21" s="34">
        <f>D21</f>
        <v/>
      </c>
      <c r="F21" s="34">
        <f>E21</f>
        <v/>
      </c>
      <c r="G21" s="34">
        <f>F21</f>
        <v/>
      </c>
      <c r="H21" s="34">
        <f>G21+4.8*'08 Capacity Utilisation'!H$16</f>
        <v/>
      </c>
      <c r="I21" s="34">
        <f>H21</f>
        <v/>
      </c>
      <c r="J21" s="34">
        <f>I21</f>
        <v/>
      </c>
      <c r="K21" s="34">
        <f>J21+5.0*'08 Capacity Utilisation'!K$16</f>
        <v/>
      </c>
      <c r="L21" s="16">
        <f>IFERROR(IF(AND(ISNUMBER(D21),ISNUMBER(K21),D21&gt;0),(K21/D21)^(1/7)-1,""),"")</f>
        <v/>
      </c>
      <c r="M21" s="3" t="inlineStr">
        <is>
          <t>S08</t>
        </is>
      </c>
      <c r="N21" s="13" t="inlineStr">
        <is>
          <t>Medium</t>
        </is>
      </c>
      <c r="O21" s="3" t="inlineStr">
        <is>
          <t>India segment used for volume and margin. Netherlands carries a disclosed material uncertainty related to going concern (Master DB, policy P18) - the single largest identifiable downside in the universe and NOT captured in this industry model, which forecasts India only.. Basis: India deliveries. Tracked additions: FY2030 +4.80 Mtpa, FY2033 +5.00 Mtpa</t>
        </is>
      </c>
    </row>
    <row r="22">
      <c r="B22" s="10" t="inlineStr">
        <is>
          <t>JSW Steel - volume</t>
        </is>
      </c>
      <c r="C22" s="11" t="inlineStr">
        <is>
          <t>Mt</t>
        </is>
      </c>
      <c r="D22" s="34" t="n">
        <v>28.76</v>
      </c>
      <c r="E22" s="34">
        <f>D22+2.4*'08 Capacity Utilisation'!E$16</f>
        <v/>
      </c>
      <c r="F22" s="34">
        <f>E22</f>
        <v/>
      </c>
      <c r="G22" s="34">
        <f>F22</f>
        <v/>
      </c>
      <c r="H22" s="34">
        <f>G22+5.0*'08 Capacity Utilisation'!H$16</f>
        <v/>
      </c>
      <c r="I22" s="34">
        <f>H22+6.0*'08 Capacity Utilisation'!I$16</f>
        <v/>
      </c>
      <c r="J22" s="34">
        <f>I22</f>
        <v/>
      </c>
      <c r="K22" s="34">
        <f>J22</f>
        <v/>
      </c>
      <c r="L22" s="16">
        <f>IFERROR(IF(AND(ISNUMBER(D22),ISNUMBER(K22),D22&gt;0),(K22/D22)^(1/7)-1,""),"")</f>
        <v/>
      </c>
      <c r="M22" s="3" t="inlineStr">
        <is>
          <t>S09</t>
        </is>
      </c>
      <c r="N22" s="13" t="inlineStr">
        <is>
          <t>Medium</t>
        </is>
      </c>
      <c r="O22" s="3" t="inlineStr">
        <is>
          <t>FY2027 additions include BMM Ispat (0.90 Mtpa), an acquisition of existing capacity: it adds to JSW but NOT to national capacity. BPSL was deconsolidated from 27-Mar-2026, so FY2026 to FY2027 company volumes are not like-for-like.. Basis: India steel sales. Tracked additions: FY2027 +2.40 Mtpa, FY2030 +5.00 Mtpa, FY2031 +6.00 Mtpa</t>
        </is>
      </c>
    </row>
    <row r="23">
      <c r="B23" s="10" t="inlineStr">
        <is>
          <t>SAIL - volume</t>
        </is>
      </c>
      <c r="C23" s="11" t="inlineStr">
        <is>
          <t>Mt</t>
        </is>
      </c>
      <c r="D23" s="34" t="n">
        <v>19.93</v>
      </c>
      <c r="E23" s="34">
        <f>D23</f>
        <v/>
      </c>
      <c r="F23" s="34">
        <f>E23</f>
        <v/>
      </c>
      <c r="G23" s="34">
        <f>F23+0.89*'08 Capacity Utilisation'!G$16</f>
        <v/>
      </c>
      <c r="H23" s="34">
        <f>G23+2.65*'08 Capacity Utilisation'!H$16</f>
        <v/>
      </c>
      <c r="I23" s="34">
        <f>H23+4.08*'08 Capacity Utilisation'!I$16</f>
        <v/>
      </c>
      <c r="J23" s="34">
        <f>I23</f>
        <v/>
      </c>
      <c r="K23" s="34">
        <f>J23+8.0*'08 Capacity Utilisation'!K$16</f>
        <v/>
      </c>
      <c r="L23" s="16">
        <f>IFERROR(IF(AND(ISNUMBER(D23),ISNUMBER(K23),D23&gt;0),(K23/D23)^(1/7)-1,""),"")</f>
        <v/>
      </c>
      <c r="M23" s="3" t="inlineStr">
        <is>
          <t>S10</t>
        </is>
      </c>
      <c r="N23" s="13" t="inlineStr">
        <is>
          <t>Medium</t>
        </is>
      </c>
      <c r="O23" s="3" t="inlineStr">
        <is>
          <t>EBITDA per tonne is struck on the STANDALONE EBITDA headline over standalone sales volume. Do not pair a consolidated enterprise value with this EBITDA - see Master DB Conflict C09.. Basis: Standalone sales volume. Tracked additions: FY2029 +0.89 Mtpa, FY2030 +2.65 Mtpa, FY2031 +4.08 Mtpa, FY2033 +8.00 Mtpa</t>
        </is>
      </c>
    </row>
    <row r="24">
      <c r="B24" s="10" t="inlineStr">
        <is>
          <t>Jindal Steel - volume</t>
        </is>
      </c>
      <c r="C24" s="11" t="inlineStr">
        <is>
          <t>Mt</t>
        </is>
      </c>
      <c r="D24" s="34" t="n">
        <v>8.68</v>
      </c>
      <c r="E24" s="34">
        <f>D24</f>
        <v/>
      </c>
      <c r="F24" s="34">
        <f>E24</f>
        <v/>
      </c>
      <c r="G24" s="34">
        <f>F24</f>
        <v/>
      </c>
      <c r="H24" s="34">
        <f>G24</f>
        <v/>
      </c>
      <c r="I24" s="34">
        <f>H24</f>
        <v/>
      </c>
      <c r="J24" s="34">
        <f>I24</f>
        <v/>
      </c>
      <c r="K24" s="34">
        <f>J24</f>
        <v/>
      </c>
      <c r="L24" s="16">
        <f>IFERROR(IF(AND(ISNUMBER(D24),ISNUMBER(K24),D24&gt;0),(K24/D24)^(1/7)-1,""),"")</f>
        <v/>
      </c>
      <c r="M24" s="3" t="inlineStr">
        <is>
          <t>S11</t>
        </is>
      </c>
      <c r="N24" s="13" t="inlineStr">
        <is>
          <t>Medium</t>
        </is>
      </c>
      <c r="O24" s="3" t="inlineStr">
        <is>
          <t>Capacity rose from 9.6 to 15.6 Mtpa in FY2026, so FY2027 volume growth comes from utilising capacity already built rather than from new additions. Company guidance for FY2027 is 11.0-11.5 Mt of production against 9.25 Mt in FY2026.. Basis: Consolidated steel sales. No tracked additions - volume growth comes from utilising capacity already built.</t>
        </is>
      </c>
    </row>
    <row r="25">
      <c r="B25" s="10" t="inlineStr">
        <is>
          <t>Jindal Stainless - volume</t>
        </is>
      </c>
      <c r="C25" s="11" t="inlineStr">
        <is>
          <t>Mt</t>
        </is>
      </c>
      <c r="D25" s="34" t="n">
        <v>2.57</v>
      </c>
      <c r="E25" s="34">
        <f>D25</f>
        <v/>
      </c>
      <c r="F25" s="34">
        <f>E25</f>
        <v/>
      </c>
      <c r="G25" s="34">
        <f>F25</f>
        <v/>
      </c>
      <c r="H25" s="34">
        <f>G25</f>
        <v/>
      </c>
      <c r="I25" s="34">
        <f>H25</f>
        <v/>
      </c>
      <c r="J25" s="34">
        <f>I25</f>
        <v/>
      </c>
      <c r="K25" s="34">
        <f>J25</f>
        <v/>
      </c>
      <c r="L25" s="16">
        <f>IFERROR(IF(AND(ISNUMBER(D25),ISNUMBER(K25),D25&gt;0),(K25/D25)^(1/7)-1,""),"")</f>
        <v/>
      </c>
      <c r="M25" s="3" t="inlineStr">
        <is>
          <t>S12</t>
        </is>
      </c>
      <c r="N25" s="13" t="inlineStr">
        <is>
          <t>Medium</t>
        </is>
      </c>
      <c r="O25" s="3" t="inlineStr">
        <is>
          <t>STAINLESS. Realisation of roughly Rs 1,67,000/t and EBITDA per tonne of Rs 21,634 are not comparable with carbon steel and this company is EXCLUDED from the blended industry realisation anchor. Management guided FY2027 EBITDA per tonne to Rs 18,000-20,000, i.e. BELOW the FY2026 outcome.. Basis: Consolidated deliveries. No tracked additions - volume growth comes from utilising capacity already built.</t>
        </is>
      </c>
    </row>
    <row r="26">
      <c r="B26" s="10" t="inlineStr">
        <is>
          <t>AM/NS India - volume</t>
        </is>
      </c>
      <c r="C26" s="11" t="inlineStr">
        <is>
          <t>Mt</t>
        </is>
      </c>
      <c r="D26" s="34" t="n">
        <v>7.975</v>
      </c>
      <c r="E26" s="34">
        <f>D26</f>
        <v/>
      </c>
      <c r="F26" s="34">
        <f>E26</f>
        <v/>
      </c>
      <c r="G26" s="34">
        <f>F26+6.0*'08 Capacity Utilisation'!G$16</f>
        <v/>
      </c>
      <c r="H26" s="34">
        <f>G26</f>
        <v/>
      </c>
      <c r="I26" s="34">
        <f>H26</f>
        <v/>
      </c>
      <c r="J26" s="34">
        <f>I26+8.2*'08 Capacity Utilisation'!J$16</f>
        <v/>
      </c>
      <c r="K26" s="34">
        <f>J26</f>
        <v/>
      </c>
      <c r="L26" s="16">
        <f>IFERROR(IF(AND(ISNUMBER(D26),ISNUMBER(K26),D26&gt;0),(K26/D26)^(1/7)-1,""),"")</f>
        <v/>
      </c>
      <c r="M26" s="3" t="inlineStr">
        <is>
          <t>S13/S14</t>
        </is>
      </c>
      <c r="N26" s="13" t="inlineStr">
        <is>
          <t>Medium</t>
        </is>
      </c>
      <c r="O26" s="3" t="inlineStr">
        <is>
          <t>Unlisted 60:40 joint venture. All figures are 100% basis, USD, calendar quarters, converted at the derived FY2026 average USD/INR of 88.4. The fiscal-year figures are themselves derived by summing calendar quarters - Master DB Conflict C16.. Basis: Derived FY2026 shipments (sum of calendar quarters). Tracked additions: FY2029 +6.00 Mtpa, FY2032 +8.20 Mtpa</t>
        </is>
      </c>
    </row>
    <row r="27">
      <c r="B27" s="10" t="inlineStr">
        <is>
          <t>RINL - volume</t>
        </is>
      </c>
      <c r="C27" s="11" t="inlineStr">
        <is>
          <t>Mt</t>
        </is>
      </c>
      <c r="D27" s="34" t="n">
        <v>4.4</v>
      </c>
      <c r="E27" s="34">
        <f>D27</f>
        <v/>
      </c>
      <c r="F27" s="34">
        <f>E27</f>
        <v/>
      </c>
      <c r="G27" s="34">
        <f>F27</f>
        <v/>
      </c>
      <c r="H27" s="34">
        <f>G27</f>
        <v/>
      </c>
      <c r="I27" s="34">
        <f>H27</f>
        <v/>
      </c>
      <c r="J27" s="34">
        <f>I27</f>
        <v/>
      </c>
      <c r="K27" s="34">
        <f>J27</f>
        <v/>
      </c>
      <c r="L27" s="16">
        <f>IFERROR(IF(AND(ISNUMBER(D27),ISNUMBER(K27),D27&gt;0),(K27/D27)^(1/7)-1,""),"")</f>
        <v/>
      </c>
      <c r="M27" s="3" t="inlineStr">
        <is>
          <t>S16</t>
        </is>
      </c>
      <c r="N27" s="13" t="inlineStr">
        <is>
          <t>Medium</t>
        </is>
      </c>
      <c r="O27" s="3" t="inlineStr">
        <is>
          <t>Unlisted and wholly Government-owned. No EBITDA, balance sheet or valuation data is publicly available, so RINL appears in the volume build only.. Basis: Standalone sales volume (issuer rounded). No tracked additions - volume growth comes from utilising capacity already built.</t>
        </is>
      </c>
    </row>
    <row r="29">
      <c r="B29" s="5" t="inlineStr">
        <is>
          <t>COMPANY REVENUE BUILD</t>
        </is>
      </c>
    </row>
    <row r="30" ht="30" customHeight="1">
      <c r="A30" s="7" t="inlineStr"/>
      <c r="B30" s="8" t="inlineStr">
        <is>
          <t>Line item</t>
        </is>
      </c>
      <c r="C30" s="8" t="inlineStr">
        <is>
          <t>Unit</t>
        </is>
      </c>
      <c r="D30" s="7" t="inlineStr">
        <is>
          <t>FY2026A</t>
        </is>
      </c>
      <c r="E30" s="7" t="inlineStr">
        <is>
          <t>FY2027E</t>
        </is>
      </c>
      <c r="F30" s="7" t="inlineStr">
        <is>
          <t>FY2028E</t>
        </is>
      </c>
      <c r="G30" s="7" t="inlineStr">
        <is>
          <t>FY2029E</t>
        </is>
      </c>
      <c r="H30" s="7" t="inlineStr">
        <is>
          <t>FY2030E</t>
        </is>
      </c>
      <c r="I30" s="7" t="inlineStr">
        <is>
          <t>FY2031E</t>
        </is>
      </c>
      <c r="J30" s="7" t="inlineStr">
        <is>
          <t>FY2032E</t>
        </is>
      </c>
      <c r="K30" s="7" t="inlineStr">
        <is>
          <t>FY2033E</t>
        </is>
      </c>
      <c r="L30" s="7" t="inlineStr">
        <is>
          <t>CAGR</t>
        </is>
      </c>
      <c r="M30" s="8" t="inlineStr">
        <is>
          <t>Source</t>
        </is>
      </c>
      <c r="N30" s="7" t="inlineStr">
        <is>
          <t>Conf.</t>
        </is>
      </c>
      <c r="O30" s="8" t="inlineStr">
        <is>
          <t>Notes / methodology</t>
        </is>
      </c>
    </row>
    <row r="31">
      <c r="B31" s="10" t="inlineStr">
        <is>
          <t>Tata Steel - revenue</t>
        </is>
      </c>
      <c r="C31" s="11" t="inlineStr">
        <is>
          <t>Rs cr</t>
        </is>
      </c>
      <c r="D31" s="35" t="n">
        <v>140302</v>
      </c>
      <c r="E31" s="35">
        <f>E21*E15*1.038340/10</f>
        <v/>
      </c>
      <c r="F31" s="35">
        <f>F21*F15*1.038340/10</f>
        <v/>
      </c>
      <c r="G31" s="35">
        <f>G21*G15*1.038340/10</f>
        <v/>
      </c>
      <c r="H31" s="35">
        <f>H21*H15*1.038340/10</f>
        <v/>
      </c>
      <c r="I31" s="35">
        <f>I21*I15*1.038340/10</f>
        <v/>
      </c>
      <c r="J31" s="35">
        <f>J21*J15*1.038340/10</f>
        <v/>
      </c>
      <c r="K31" s="35">
        <f>K21*K15*1.038340/10</f>
        <v/>
      </c>
      <c r="L31" s="16">
        <f>IFERROR(IF(AND(ISNUMBER(D31),ISNUMBER(K31),D31&gt;0),(K31/D31)^(1/7)-1,""),"")</f>
        <v/>
      </c>
      <c r="M31" s="3" t="inlineStr">
        <is>
          <t>S08</t>
        </is>
      </c>
      <c r="N31" s="13" t="inlineStr">
        <is>
          <t>Medium</t>
        </is>
      </c>
      <c r="O31" s="3" t="inlineStr">
        <is>
          <t>FY2026 realisation Rs 62,273/t = 1.04x the industry blend, held constant. Basis: India.</t>
        </is>
      </c>
    </row>
    <row r="32">
      <c r="B32" s="10" t="inlineStr">
        <is>
          <t>JSW Steel - revenue</t>
        </is>
      </c>
      <c r="C32" s="11" t="inlineStr">
        <is>
          <t>Rs cr</t>
        </is>
      </c>
      <c r="D32" s="35" t="n">
        <v>174854</v>
      </c>
      <c r="E32" s="35">
        <f>E22*E15*1.013733/10</f>
        <v/>
      </c>
      <c r="F32" s="35">
        <f>F22*F15*1.013733/10</f>
        <v/>
      </c>
      <c r="G32" s="35">
        <f>G22*G15*1.013733/10</f>
        <v/>
      </c>
      <c r="H32" s="35">
        <f>H22*H15*1.013733/10</f>
        <v/>
      </c>
      <c r="I32" s="35">
        <f>I22*I15*1.013733/10</f>
        <v/>
      </c>
      <c r="J32" s="35">
        <f>J22*J15*1.013733/10</f>
        <v/>
      </c>
      <c r="K32" s="35">
        <f>K22*K15*1.013733/10</f>
        <v/>
      </c>
      <c r="L32" s="16">
        <f>IFERROR(IF(AND(ISNUMBER(D32),ISNUMBER(K32),D32&gt;0),(K32/D32)^(1/7)-1,""),"")</f>
        <v/>
      </c>
      <c r="M32" s="3" t="inlineStr">
        <is>
          <t>S09</t>
        </is>
      </c>
      <c r="N32" s="13" t="inlineStr">
        <is>
          <t>Medium</t>
        </is>
      </c>
      <c r="O32" s="3" t="inlineStr">
        <is>
          <t>FY2026 realisation Rs 60,797/t = 1.01x the industry blend, held constant. Basis: India operations.</t>
        </is>
      </c>
    </row>
    <row r="33">
      <c r="B33" s="10" t="inlineStr">
        <is>
          <t>SAIL - revenue</t>
        </is>
      </c>
      <c r="C33" s="11" t="inlineStr">
        <is>
          <t>Rs cr</t>
        </is>
      </c>
      <c r="D33" s="35" t="n">
        <v>110811</v>
      </c>
      <c r="E33" s="35">
        <f>E23*E15*0.927070/10</f>
        <v/>
      </c>
      <c r="F33" s="35">
        <f>F23*F15*0.927070/10</f>
        <v/>
      </c>
      <c r="G33" s="35">
        <f>G23*G15*0.927070/10</f>
        <v/>
      </c>
      <c r="H33" s="35">
        <f>H23*H15*0.927070/10</f>
        <v/>
      </c>
      <c r="I33" s="35">
        <f>I23*I15*0.927070/10</f>
        <v/>
      </c>
      <c r="J33" s="35">
        <f>J23*J15*0.927070/10</f>
        <v/>
      </c>
      <c r="K33" s="35">
        <f>K23*K15*0.927070/10</f>
        <v/>
      </c>
      <c r="L33" s="16">
        <f>IFERROR(IF(AND(ISNUMBER(D33),ISNUMBER(K33),D33&gt;0),(K33/D33)^(1/7)-1,""),"")</f>
        <v/>
      </c>
      <c r="M33" s="3" t="inlineStr">
        <is>
          <t>S10</t>
        </is>
      </c>
      <c r="N33" s="13" t="inlineStr">
        <is>
          <t>Medium</t>
        </is>
      </c>
      <c r="O33" s="3" t="inlineStr">
        <is>
          <t>FY2026 realisation Rs 55,600/t = 0.93x the industry blend, held constant. Basis: Consolidated.</t>
        </is>
      </c>
    </row>
    <row r="34">
      <c r="B34" s="10" t="inlineStr">
        <is>
          <t>Jindal Steel - revenue</t>
        </is>
      </c>
      <c r="C34" s="11" t="inlineStr">
        <is>
          <t>Rs cr</t>
        </is>
      </c>
      <c r="D34" s="35" t="n">
        <v>53225</v>
      </c>
      <c r="E34" s="35">
        <f>E24*E15*1.022428/10</f>
        <v/>
      </c>
      <c r="F34" s="35">
        <f>F24*F15*1.022428/10</f>
        <v/>
      </c>
      <c r="G34" s="35">
        <f>G24*G15*1.022428/10</f>
        <v/>
      </c>
      <c r="H34" s="35">
        <f>H24*H15*1.022428/10</f>
        <v/>
      </c>
      <c r="I34" s="35">
        <f>I24*I15*1.022428/10</f>
        <v/>
      </c>
      <c r="J34" s="35">
        <f>J24*J15*1.022428/10</f>
        <v/>
      </c>
      <c r="K34" s="35">
        <f>K24*K15*1.022428/10</f>
        <v/>
      </c>
      <c r="L34" s="16">
        <f>IFERROR(IF(AND(ISNUMBER(D34),ISNUMBER(K34),D34&gt;0),(K34/D34)^(1/7)-1,""),"")</f>
        <v/>
      </c>
      <c r="M34" s="3" t="inlineStr">
        <is>
          <t>S11</t>
        </is>
      </c>
      <c r="N34" s="13" t="inlineStr">
        <is>
          <t>Medium</t>
        </is>
      </c>
      <c r="O34" s="3" t="inlineStr">
        <is>
          <t>FY2026 realisation Rs 61,319/t = 1.02x the industry blend, held constant. Basis: Consolidated.</t>
        </is>
      </c>
    </row>
    <row r="35">
      <c r="B35" s="10" t="inlineStr">
        <is>
          <t>Jindal Stainless - revenue</t>
        </is>
      </c>
      <c r="C35" s="11" t="inlineStr">
        <is>
          <t>Rs cr</t>
        </is>
      </c>
      <c r="D35" s="35" t="n">
        <v>42955</v>
      </c>
      <c r="E35" s="35">
        <f>E25*E15*2.786876/10</f>
        <v/>
      </c>
      <c r="F35" s="35">
        <f>F25*F15*2.786876/10</f>
        <v/>
      </c>
      <c r="G35" s="35">
        <f>G25*G15*2.786876/10</f>
        <v/>
      </c>
      <c r="H35" s="35">
        <f>H25*H15*2.786876/10</f>
        <v/>
      </c>
      <c r="I35" s="35">
        <f>I25*I15*2.786876/10</f>
        <v/>
      </c>
      <c r="J35" s="35">
        <f>J25*J15*2.786876/10</f>
        <v/>
      </c>
      <c r="K35" s="35">
        <f>K25*K15*2.786876/10</f>
        <v/>
      </c>
      <c r="L35" s="16">
        <f>IFERROR(IF(AND(ISNUMBER(D35),ISNUMBER(K35),D35&gt;0),(K35/D35)^(1/7)-1,""),"")</f>
        <v/>
      </c>
      <c r="M35" s="3" t="inlineStr">
        <is>
          <t>S12</t>
        </is>
      </c>
      <c r="N35" s="13" t="inlineStr">
        <is>
          <t>Medium</t>
        </is>
      </c>
      <c r="O35" s="3" t="inlineStr">
        <is>
          <t>FY2026 realisation Rs 167,140/t = 2.79x the industry blend, held constant. Basis: Consolidated.</t>
        </is>
      </c>
    </row>
    <row r="36">
      <c r="B36" s="10" t="inlineStr">
        <is>
          <t>AM/NS India - revenue</t>
        </is>
      </c>
      <c r="C36" s="11" t="inlineStr">
        <is>
          <t>Rs cr</t>
        </is>
      </c>
      <c r="D36" s="35" t="n">
        <v>548</v>
      </c>
      <c r="E36" s="35">
        <f>E26*E15*0.011457/10</f>
        <v/>
      </c>
      <c r="F36" s="35">
        <f>F26*F15*0.011457/10</f>
        <v/>
      </c>
      <c r="G36" s="35">
        <f>G26*G15*0.011457/10</f>
        <v/>
      </c>
      <c r="H36" s="35">
        <f>H26*H15*0.011457/10</f>
        <v/>
      </c>
      <c r="I36" s="35">
        <f>I26*I15*0.011457/10</f>
        <v/>
      </c>
      <c r="J36" s="35">
        <f>J26*J15*0.011457/10</f>
        <v/>
      </c>
      <c r="K36" s="35">
        <f>K26*K15*0.011457/10</f>
        <v/>
      </c>
      <c r="L36" s="16">
        <f>IFERROR(IF(AND(ISNUMBER(D36),ISNUMBER(K36),D36&gt;0),(K36/D36)^(1/7)-1,""),"")</f>
        <v/>
      </c>
      <c r="M36" s="3" t="inlineStr">
        <is>
          <t>S13/S14</t>
        </is>
      </c>
      <c r="N36" s="13" t="inlineStr">
        <is>
          <t>Medium</t>
        </is>
      </c>
      <c r="O36" s="3" t="inlineStr">
        <is>
          <t>FY2026 realisation Rs 687/t = 0.01x the industry blend, held constant. Basis: 100% basis, USD converted at the derived FY2026 average USD/INR of 88.4.</t>
        </is>
      </c>
    </row>
    <row r="37">
      <c r="B37" s="10" t="inlineStr">
        <is>
          <t>RINL - revenue</t>
        </is>
      </c>
      <c r="C37" s="11" t="inlineStr">
        <is>
          <t>Rs cr</t>
        </is>
      </c>
      <c r="D37" s="35" t="n">
        <v>22300</v>
      </c>
      <c r="E37" s="35">
        <f>E27*E15*0.845063/10</f>
        <v/>
      </c>
      <c r="F37" s="35">
        <f>F27*F15*0.845063/10</f>
        <v/>
      </c>
      <c r="G37" s="35">
        <f>G27*G15*0.845063/10</f>
        <v/>
      </c>
      <c r="H37" s="35">
        <f>H27*H15*0.845063/10</f>
        <v/>
      </c>
      <c r="I37" s="35">
        <f>I27*I15*0.845063/10</f>
        <v/>
      </c>
      <c r="J37" s="35">
        <f>J27*J15*0.845063/10</f>
        <v/>
      </c>
      <c r="K37" s="35">
        <f>K27*K15*0.845063/10</f>
        <v/>
      </c>
      <c r="L37" s="16">
        <f>IFERROR(IF(AND(ISNUMBER(D37),ISNUMBER(K37),D37&gt;0),(K37/D37)^(1/7)-1,""),"")</f>
        <v/>
      </c>
      <c r="M37" s="3" t="inlineStr">
        <is>
          <t>S16</t>
        </is>
      </c>
      <c r="N37" s="13" t="inlineStr">
        <is>
          <t>Medium</t>
        </is>
      </c>
      <c r="O37" s="3" t="inlineStr">
        <is>
          <t>FY2026 realisation Rs 50,681/t = 0.85x the industry blend, held constant. Basis: Turnover, basis not specified by issuer.</t>
        </is>
      </c>
    </row>
    <row r="39">
      <c r="B39" s="30" t="inlineStr">
        <is>
          <t>Company revenues are NOT additive to industry revenue: Jindal Stainless is stainless, AM/NS India is on a 100% JV basis, RINL turnover is on an unspecified basis, and the six together are only part of India's output. Use industry revenue for the market and company revenue for relative work.</t>
        </is>
      </c>
    </row>
  </sheetData>
  <printOptions horizontalCentered="1"/>
  <pageMargins left="0.75" right="0.75" top="1" bottom="1" header="0.5" footer="0.5"/>
  <pageSetup orientation="landscape" fitToHeight="0" fitToWidth="1"/>
</worksheet>
</file>

<file path=xl/worksheets/sheet17.xml><?xml version="1.0" encoding="utf-8"?>
<worksheet xmlns="http://schemas.openxmlformats.org/spreadsheetml/2006/main">
  <sheetPr>
    <tabColor rgb="001F3864"/>
    <outlinePr summaryBelow="1" summaryRight="1"/>
    <pageSetUpPr fitToPage="1"/>
  </sheetPr>
  <dimension ref="A1:O41"/>
  <sheetViews>
    <sheetView showGridLines="0" workbookViewId="0">
      <selection activeCell="A1" sqref="A1"/>
    </sheetView>
  </sheetViews>
  <sheetFormatPr baseColWidth="8" defaultRowHeight="15"/>
  <cols>
    <col width="7" customWidth="1" min="1" max="1"/>
    <col width="52" customWidth="1" min="2" max="2"/>
    <col width="1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95" customWidth="1" min="15" max="15"/>
  </cols>
  <sheetData>
    <row r="1" ht="19" customHeight="1">
      <c r="B1" s="1" t="inlineStr">
        <is>
          <t>13  EBITDA Model</t>
        </is>
      </c>
    </row>
    <row r="2">
      <c r="B2" s="4" t="inlineStr">
        <is>
          <t>Industry Financial Model  |  Indian Steel Industry  |  Horizon FY2027E-FY2033E  |  Base year FY2026A  |  Built 03-Aug-2026</t>
        </is>
      </c>
    </row>
    <row r="3">
      <c r="B3" s="3" t="inlineStr"/>
    </row>
    <row r="4">
      <c r="B4" s="4" t="inlineStr">
        <is>
          <t>OBJECTIVE</t>
        </is>
      </c>
    </row>
    <row r="5">
      <c r="B5" s="3" t="inlineStr">
        <is>
          <t>Industry and company EBITDA, the primary valuation input.</t>
        </is>
      </c>
    </row>
    <row r="6">
      <c r="B6" s="4" t="inlineStr">
        <is>
          <t>METHODOLOGY</t>
        </is>
      </c>
    </row>
    <row r="7">
      <c r="B7" s="3" t="inlineStr">
        <is>
          <t>Industry EBITDA per tonne equals effective realisation less cash cost - a spread, not a margin applied to revenue, which is the correct construction for a commodity where price and cost move independently. Company EBITDA per tonne holds each producer's FY2026 observed spread to the industry constant. The FY2026 weighted anchor of Rs 10,733/t reconciles to the sum of reported EBITDAs within 0.6%.</t>
        </is>
      </c>
    </row>
    <row r="8">
      <c r="B8" s="4" t="inlineStr">
        <is>
          <t>UNITS</t>
        </is>
      </c>
    </row>
    <row r="9">
      <c r="B9" s="3" t="inlineStr">
        <is>
          <t>Rs per tonne and Rs crore.</t>
        </is>
      </c>
    </row>
    <row r="10">
      <c r="B10" s="4" t="inlineStr">
        <is>
          <t>DEPENDENCIES</t>
        </is>
      </c>
    </row>
    <row r="11">
      <c r="B11" s="3" t="inlineStr">
        <is>
          <t>Reads 09 Price, 11 Cost, 12 Revenue. Read by 14, 16, 17, 21, 22, 23, 24.</t>
        </is>
      </c>
    </row>
    <row r="12">
      <c r="B12" s="3" t="inlineStr"/>
    </row>
    <row r="13" ht="30" customHeight="1">
      <c r="A13" s="7" t="inlineStr"/>
      <c r="B13" s="8" t="inlineStr">
        <is>
          <t>Line item</t>
        </is>
      </c>
      <c r="C13" s="8" t="inlineStr">
        <is>
          <t>Unit</t>
        </is>
      </c>
      <c r="D13" s="7" t="inlineStr">
        <is>
          <t>FY2026A</t>
        </is>
      </c>
      <c r="E13" s="7" t="inlineStr">
        <is>
          <t>FY2027E</t>
        </is>
      </c>
      <c r="F13" s="7" t="inlineStr">
        <is>
          <t>FY2028E</t>
        </is>
      </c>
      <c r="G13" s="7" t="inlineStr">
        <is>
          <t>FY2029E</t>
        </is>
      </c>
      <c r="H13" s="7" t="inlineStr">
        <is>
          <t>FY2030E</t>
        </is>
      </c>
      <c r="I13" s="7" t="inlineStr">
        <is>
          <t>FY2031E</t>
        </is>
      </c>
      <c r="J13" s="7" t="inlineStr">
        <is>
          <t>FY2032E</t>
        </is>
      </c>
      <c r="K13" s="7" t="inlineStr">
        <is>
          <t>FY2033E</t>
        </is>
      </c>
      <c r="L13" s="7" t="inlineStr">
        <is>
          <t>CAGR</t>
        </is>
      </c>
      <c r="M13" s="8" t="inlineStr">
        <is>
          <t>Source</t>
        </is>
      </c>
      <c r="N13" s="7" t="inlineStr">
        <is>
          <t>Conf.</t>
        </is>
      </c>
      <c r="O13" s="8" t="inlineStr">
        <is>
          <t>Notes / methodology</t>
        </is>
      </c>
    </row>
    <row r="14">
      <c r="B14" s="10" t="inlineStr">
        <is>
          <t>Blended realisation - effective</t>
        </is>
      </c>
      <c r="C14" s="11" t="inlineStr">
        <is>
          <t>Rs/t</t>
        </is>
      </c>
      <c r="D14" s="35" t="n">
        <v>59974</v>
      </c>
      <c r="E14" s="35">
        <f>'09 Steel Price Forecast'!E$22</f>
        <v/>
      </c>
      <c r="F14" s="35">
        <f>'09 Steel Price Forecast'!F$22</f>
        <v/>
      </c>
      <c r="G14" s="35">
        <f>'09 Steel Price Forecast'!G$22</f>
        <v/>
      </c>
      <c r="H14" s="35">
        <f>'09 Steel Price Forecast'!H$22</f>
        <v/>
      </c>
      <c r="I14" s="35">
        <f>'09 Steel Price Forecast'!I$22</f>
        <v/>
      </c>
      <c r="J14" s="35">
        <f>'09 Steel Price Forecast'!J$22</f>
        <v/>
      </c>
      <c r="K14" s="35">
        <f>'09 Steel Price Forecast'!K$22</f>
        <v/>
      </c>
      <c r="M14" s="3" t="inlineStr">
        <is>
          <t>09 Price</t>
        </is>
      </c>
      <c r="N14" s="13" t="inlineStr">
        <is>
          <t>Medium</t>
        </is>
      </c>
    </row>
    <row r="15">
      <c r="B15" s="10" t="inlineStr">
        <is>
          <t>Industry cash cost per tonne</t>
        </is>
      </c>
      <c r="C15" s="11" t="inlineStr">
        <is>
          <t>Rs/t</t>
        </is>
      </c>
      <c r="D15" s="35" t="n">
        <v>49241</v>
      </c>
      <c r="E15" s="35">
        <f>'11 Cost Curve'!E$17</f>
        <v/>
      </c>
      <c r="F15" s="35">
        <f>'11 Cost Curve'!F$17</f>
        <v/>
      </c>
      <c r="G15" s="35">
        <f>'11 Cost Curve'!G$17</f>
        <v/>
      </c>
      <c r="H15" s="35">
        <f>'11 Cost Curve'!H$17</f>
        <v/>
      </c>
      <c r="I15" s="35">
        <f>'11 Cost Curve'!I$17</f>
        <v/>
      </c>
      <c r="J15" s="35">
        <f>'11 Cost Curve'!J$17</f>
        <v/>
      </c>
      <c r="K15" s="35">
        <f>'11 Cost Curve'!K$17</f>
        <v/>
      </c>
      <c r="M15" s="3" t="inlineStr">
        <is>
          <t>11 Cost Curve</t>
        </is>
      </c>
      <c r="N15" s="13" t="inlineStr">
        <is>
          <t>Medium</t>
        </is>
      </c>
    </row>
    <row r="16">
      <c r="B16" s="26" t="inlineStr">
        <is>
          <t>INDUSTRY EBITDA PER TONNE</t>
        </is>
      </c>
      <c r="C16" s="11" t="inlineStr">
        <is>
          <t>Rs/t</t>
        </is>
      </c>
      <c r="D16" s="29" t="n">
        <v>10733</v>
      </c>
      <c r="E16" s="29">
        <f>E14-E15</f>
        <v/>
      </c>
      <c r="F16" s="29">
        <f>F14-F15</f>
        <v/>
      </c>
      <c r="G16" s="29">
        <f>G14-G15</f>
        <v/>
      </c>
      <c r="H16" s="29">
        <f>H14-H15</f>
        <v/>
      </c>
      <c r="I16" s="29">
        <f>I14-I15</f>
        <v/>
      </c>
      <c r="J16" s="29">
        <f>J14-J15</f>
        <v/>
      </c>
      <c r="K16" s="29">
        <f>K14-K15</f>
        <v/>
      </c>
      <c r="L16" s="16">
        <f>IFERROR(IF(AND(ISNUMBER(D16),ISNUMBER(K16),D16&gt;0),(K16/D16)^(1/7)-1,""),"")</f>
        <v/>
      </c>
      <c r="M16" s="3" t="inlineStr">
        <is>
          <t>Computed</t>
        </is>
      </c>
      <c r="N16" s="13" t="inlineStr">
        <is>
          <t>Medium</t>
        </is>
      </c>
      <c r="O16" s="3" t="inlineStr">
        <is>
          <t>FY2026A of Rs 10,733/t is the volume-weighted actual across the four majors. Reconciliation: Rs 10,733/t x 79.90 Mt = Rs 85,759 cr against the Rs 86,318 cr sum of reported EBITDAs, a 0.6% rounding difference.</t>
        </is>
      </c>
    </row>
    <row r="17">
      <c r="B17" s="10" t="inlineStr">
        <is>
          <t>Finished steel production</t>
        </is>
      </c>
      <c r="C17" s="11" t="inlineStr">
        <is>
          <t>Mt</t>
        </is>
      </c>
      <c r="D17" s="34" t="n">
        <v>160.94</v>
      </c>
      <c r="E17" s="34">
        <f>'05 Steel Supply Model'!E$27</f>
        <v/>
      </c>
      <c r="F17" s="34">
        <f>'05 Steel Supply Model'!F$27</f>
        <v/>
      </c>
      <c r="G17" s="34">
        <f>'05 Steel Supply Model'!G$27</f>
        <v/>
      </c>
      <c r="H17" s="34">
        <f>'05 Steel Supply Model'!H$27</f>
        <v/>
      </c>
      <c r="I17" s="34">
        <f>'05 Steel Supply Model'!I$27</f>
        <v/>
      </c>
      <c r="J17" s="34">
        <f>'05 Steel Supply Model'!J$27</f>
        <v/>
      </c>
      <c r="K17" s="34">
        <f>'05 Steel Supply Model'!K$27</f>
        <v/>
      </c>
      <c r="M17" s="3" t="inlineStr">
        <is>
          <t>05 Supply</t>
        </is>
      </c>
      <c r="N17" s="13" t="inlineStr">
        <is>
          <t>High</t>
        </is>
      </c>
    </row>
    <row r="18">
      <c r="B18" s="26" t="inlineStr">
        <is>
          <t>INDUSTRY EBITDA</t>
        </is>
      </c>
      <c r="C18" s="11" t="inlineStr">
        <is>
          <t>Rs cr</t>
        </is>
      </c>
      <c r="D18" s="29" t="n">
        <v>172736.902</v>
      </c>
      <c r="E18" s="29">
        <f>E17*E16/10</f>
        <v/>
      </c>
      <c r="F18" s="29">
        <f>F17*F16/10</f>
        <v/>
      </c>
      <c r="G18" s="29">
        <f>G17*G16/10</f>
        <v/>
      </c>
      <c r="H18" s="29">
        <f>H17*H16/10</f>
        <v/>
      </c>
      <c r="I18" s="29">
        <f>I17*I16/10</f>
        <v/>
      </c>
      <c r="J18" s="29">
        <f>J17*J16/10</f>
        <v/>
      </c>
      <c r="K18" s="29">
        <f>K17*K16/10</f>
        <v/>
      </c>
      <c r="L18" s="16">
        <f>IFERROR(IF(AND(ISNUMBER(D18),ISNUMBER(K18),D18&gt;0),(K18/D18)^(1/7)-1,""),"")</f>
        <v/>
      </c>
      <c r="M18" s="3" t="inlineStr">
        <is>
          <t>Computed</t>
        </is>
      </c>
      <c r="N18" s="13" t="inlineStr">
        <is>
          <t>Medium</t>
        </is>
      </c>
    </row>
    <row r="21">
      <c r="B21" s="5" t="inlineStr">
        <is>
          <t>COMPANY EBITDA PER TONNE (FY2026 spread to industry held constant)</t>
        </is>
      </c>
    </row>
    <row r="22" ht="30" customHeight="1">
      <c r="A22" s="7" t="inlineStr"/>
      <c r="B22" s="8" t="inlineStr">
        <is>
          <t>Line item</t>
        </is>
      </c>
      <c r="C22" s="8" t="inlineStr">
        <is>
          <t>Unit</t>
        </is>
      </c>
      <c r="D22" s="7" t="inlineStr">
        <is>
          <t>FY2026A</t>
        </is>
      </c>
      <c r="E22" s="7" t="inlineStr">
        <is>
          <t>FY2027E</t>
        </is>
      </c>
      <c r="F22" s="7" t="inlineStr">
        <is>
          <t>FY2028E</t>
        </is>
      </c>
      <c r="G22" s="7" t="inlineStr">
        <is>
          <t>FY2029E</t>
        </is>
      </c>
      <c r="H22" s="7" t="inlineStr">
        <is>
          <t>FY2030E</t>
        </is>
      </c>
      <c r="I22" s="7" t="inlineStr">
        <is>
          <t>FY2031E</t>
        </is>
      </c>
      <c r="J22" s="7" t="inlineStr">
        <is>
          <t>FY2032E</t>
        </is>
      </c>
      <c r="K22" s="7" t="inlineStr">
        <is>
          <t>FY2033E</t>
        </is>
      </c>
      <c r="L22" s="7" t="inlineStr">
        <is>
          <t>CAGR</t>
        </is>
      </c>
      <c r="M22" s="8" t="inlineStr">
        <is>
          <t>Source</t>
        </is>
      </c>
      <c r="N22" s="7" t="inlineStr">
        <is>
          <t>Conf.</t>
        </is>
      </c>
      <c r="O22" s="8" t="inlineStr">
        <is>
          <t>Notes / methodology</t>
        </is>
      </c>
    </row>
    <row r="23">
      <c r="B23" s="10" t="inlineStr">
        <is>
          <t>Tata Steel - EBITDA per tonne</t>
        </is>
      </c>
      <c r="C23" s="11" t="inlineStr">
        <is>
          <t>Rs/t</t>
        </is>
      </c>
      <c r="D23" s="35" t="n">
        <v>15213</v>
      </c>
      <c r="E23" s="35">
        <f>E16+4480</f>
        <v/>
      </c>
      <c r="F23" s="35">
        <f>F16+4480</f>
        <v/>
      </c>
      <c r="G23" s="35">
        <f>G16+4480</f>
        <v/>
      </c>
      <c r="H23" s="35">
        <f>H16+4480</f>
        <v/>
      </c>
      <c r="I23" s="35">
        <f>I16+4480</f>
        <v/>
      </c>
      <c r="J23" s="35">
        <f>J16+4480</f>
        <v/>
      </c>
      <c r="K23" s="35">
        <f>K16+4480</f>
        <v/>
      </c>
      <c r="M23" s="3" t="inlineStr">
        <is>
          <t>S08</t>
        </is>
      </c>
      <c r="N23" s="13" t="inlineStr">
        <is>
          <t>Medium</t>
        </is>
      </c>
      <c r="O23" s="3" t="inlineStr">
        <is>
          <t>FY2026 actual Rs 15,213/t, a +4480 Rs/t spread to the industry weighted average, held constant. Basis: India reported.</t>
        </is>
      </c>
    </row>
    <row r="24">
      <c r="B24" s="10" t="inlineStr">
        <is>
          <t>JSW Steel - EBITDA per tonne</t>
        </is>
      </c>
      <c r="C24" s="11" t="inlineStr">
        <is>
          <t>Rs/t</t>
        </is>
      </c>
      <c r="D24" s="35" t="n">
        <v>10167</v>
      </c>
      <c r="E24" s="35">
        <f>E16+(-566)</f>
        <v/>
      </c>
      <c r="F24" s="35">
        <f>F16+(-566)</f>
        <v/>
      </c>
      <c r="G24" s="35">
        <f>G16+(-566)</f>
        <v/>
      </c>
      <c r="H24" s="35">
        <f>H16+(-566)</f>
        <v/>
      </c>
      <c r="I24" s="35">
        <f>I16+(-566)</f>
        <v/>
      </c>
      <c r="J24" s="35">
        <f>J16+(-566)</f>
        <v/>
      </c>
      <c r="K24" s="35">
        <f>K16+(-566)</f>
        <v/>
      </c>
      <c r="M24" s="3" t="inlineStr">
        <is>
          <t>S09</t>
        </is>
      </c>
      <c r="N24" s="13" t="inlineStr">
        <is>
          <t>Medium</t>
        </is>
      </c>
      <c r="O24" s="3" t="inlineStr">
        <is>
          <t>FY2026 actual Rs 10,167/t, a -566 Rs/t spread to the industry weighted average, held constant. Basis: India reported.</t>
        </is>
      </c>
    </row>
    <row r="25">
      <c r="B25" s="10" t="inlineStr">
        <is>
          <t>SAIL - EBITDA per tonne</t>
        </is>
      </c>
      <c r="C25" s="11" t="inlineStr">
        <is>
          <t>Rs/t</t>
        </is>
      </c>
      <c r="D25" s="35" t="n">
        <v>6596</v>
      </c>
      <c r="E25" s="35">
        <f>E16+(-4137)</f>
        <v/>
      </c>
      <c r="F25" s="35">
        <f>F16+(-4137)</f>
        <v/>
      </c>
      <c r="G25" s="35">
        <f>G16+(-4137)</f>
        <v/>
      </c>
      <c r="H25" s="35">
        <f>H16+(-4137)</f>
        <v/>
      </c>
      <c r="I25" s="35">
        <f>I16+(-4137)</f>
        <v/>
      </c>
      <c r="J25" s="35">
        <f>J16+(-4137)</f>
        <v/>
      </c>
      <c r="K25" s="35">
        <f>K16+(-4137)</f>
        <v/>
      </c>
      <c r="M25" s="3" t="inlineStr">
        <is>
          <t>S10</t>
        </is>
      </c>
      <c r="N25" s="13" t="inlineStr">
        <is>
          <t>Medium</t>
        </is>
      </c>
      <c r="O25" s="3" t="inlineStr">
        <is>
          <t>FY2026 actual Rs 6,596/t, a -4137 Rs/t spread to the industry weighted average, held constant. Basis: STANDALONE reported.</t>
        </is>
      </c>
    </row>
    <row r="26">
      <c r="B26" s="10" t="inlineStr">
        <is>
          <t>Jindal Steel - EBITDA per tonne</t>
        </is>
      </c>
      <c r="C26" s="11" t="inlineStr">
        <is>
          <t>Rs/t</t>
        </is>
      </c>
      <c r="D26" s="35" t="n">
        <v>10482</v>
      </c>
      <c r="E26" s="35">
        <f>E16+(-251)</f>
        <v/>
      </c>
      <c r="F26" s="35">
        <f>F16+(-251)</f>
        <v/>
      </c>
      <c r="G26" s="35">
        <f>G16+(-251)</f>
        <v/>
      </c>
      <c r="H26" s="35">
        <f>H16+(-251)</f>
        <v/>
      </c>
      <c r="I26" s="35">
        <f>I16+(-251)</f>
        <v/>
      </c>
      <c r="J26" s="35">
        <f>J16+(-251)</f>
        <v/>
      </c>
      <c r="K26" s="35">
        <f>K16+(-251)</f>
        <v/>
      </c>
      <c r="M26" s="3" t="inlineStr">
        <is>
          <t>S11</t>
        </is>
      </c>
      <c r="N26" s="13" t="inlineStr">
        <is>
          <t>Medium</t>
        </is>
      </c>
      <c r="O26" s="3" t="inlineStr">
        <is>
          <t>FY2026 actual Rs 10,482/t, a -251 Rs/t spread to the industry weighted average, held constant. Basis: Consolidated reported (adj 9,099 plus 561 FX).</t>
        </is>
      </c>
    </row>
    <row r="27">
      <c r="B27" s="10" t="inlineStr">
        <is>
          <t>Jindal Stainless - EBITDA per tonne</t>
        </is>
      </c>
      <c r="C27" s="11" t="inlineStr">
        <is>
          <t>Rs/t</t>
        </is>
      </c>
      <c r="D27" s="35" t="n">
        <v>21634</v>
      </c>
      <c r="E27" s="35">
        <f>E16+10901</f>
        <v/>
      </c>
      <c r="F27" s="35">
        <f>F16+10901</f>
        <v/>
      </c>
      <c r="G27" s="35">
        <f>G16+10901</f>
        <v/>
      </c>
      <c r="H27" s="35">
        <f>H16+10901</f>
        <v/>
      </c>
      <c r="I27" s="35">
        <f>I16+10901</f>
        <v/>
      </c>
      <c r="J27" s="35">
        <f>J16+10901</f>
        <v/>
      </c>
      <c r="K27" s="35">
        <f>K16+10901</f>
        <v/>
      </c>
      <c r="M27" s="3" t="inlineStr">
        <is>
          <t>S12</t>
        </is>
      </c>
      <c r="N27" s="13" t="inlineStr">
        <is>
          <t>Medium</t>
        </is>
      </c>
      <c r="O27" s="3" t="inlineStr">
        <is>
          <t>FY2026 actual Rs 21,634/t, a +10901 Rs/t spread to the industry weighted average, held constant. Basis: Consolidated reported.</t>
        </is>
      </c>
    </row>
    <row r="28">
      <c r="B28" s="10" t="inlineStr">
        <is>
          <t>AM/NS India - EBITDA per tonne</t>
        </is>
      </c>
      <c r="C28" s="11" t="inlineStr">
        <is>
          <t>Rs/t</t>
        </is>
      </c>
      <c r="D28" s="35" t="n">
        <v>86</v>
      </c>
      <c r="E28" s="35">
        <f>E16+(-10647)</f>
        <v/>
      </c>
      <c r="F28" s="35">
        <f>F16+(-10647)</f>
        <v/>
      </c>
      <c r="G28" s="35">
        <f>G16+(-10647)</f>
        <v/>
      </c>
      <c r="H28" s="35">
        <f>H16+(-10647)</f>
        <v/>
      </c>
      <c r="I28" s="35">
        <f>I16+(-10647)</f>
        <v/>
      </c>
      <c r="J28" s="35">
        <f>J16+(-10647)</f>
        <v/>
      </c>
      <c r="K28" s="35">
        <f>K16+(-10647)</f>
        <v/>
      </c>
      <c r="M28" s="3" t="inlineStr">
        <is>
          <t>S13/S14</t>
        </is>
      </c>
      <c r="N28" s="13" t="inlineStr">
        <is>
          <t>Medium</t>
        </is>
      </c>
      <c r="O28" s="3" t="inlineStr">
        <is>
          <t>FY2026 actual Rs 86/t, a -10647 Rs/t spread to the industry weighted average, held constant. Basis: 100% basis, USD converted.</t>
        </is>
      </c>
    </row>
    <row r="29">
      <c r="B29" s="10" t="inlineStr">
        <is>
          <t>RINL - EBITDA per tonne</t>
        </is>
      </c>
      <c r="C29" s="11" t="inlineStr">
        <is>
          <t>Rs/t</t>
        </is>
      </c>
      <c r="E29" s="43" t="inlineStr">
        <is>
          <t>Data Not Publicly Available</t>
        </is>
      </c>
      <c r="F29" s="43" t="inlineStr">
        <is>
          <t>Data Not Publicly Available</t>
        </is>
      </c>
      <c r="G29" s="43" t="inlineStr">
        <is>
          <t>Data Not Publicly Available</t>
        </is>
      </c>
      <c r="H29" s="43" t="inlineStr">
        <is>
          <t>Data Not Publicly Available</t>
        </is>
      </c>
      <c r="I29" s="43" t="inlineStr">
        <is>
          <t>Data Not Publicly Available</t>
        </is>
      </c>
      <c r="J29" s="43" t="inlineStr">
        <is>
          <t>Data Not Publicly Available</t>
        </is>
      </c>
      <c r="K29" s="43" t="inlineStr">
        <is>
          <t>Data Not Publicly Available</t>
        </is>
      </c>
      <c r="M29" s="3" t="inlineStr">
        <is>
          <t>S16</t>
        </is>
      </c>
      <c r="N29" s="13" t="inlineStr">
        <is>
          <t>n/a</t>
        </is>
      </c>
      <c r="O29" s="3" t="inlineStr">
        <is>
          <t>Unlisted and wholly Government-owned. No EBITDA, balance sheet or valuation data is publicly available, so RINL appears in the volume build only.</t>
        </is>
      </c>
    </row>
    <row r="31">
      <c r="B31" s="5" t="inlineStr">
        <is>
          <t>COMPANY EBITDA</t>
        </is>
      </c>
    </row>
    <row r="32" ht="30" customHeight="1">
      <c r="A32" s="7" t="inlineStr"/>
      <c r="B32" s="8" t="inlineStr">
        <is>
          <t>Line item</t>
        </is>
      </c>
      <c r="C32" s="8" t="inlineStr">
        <is>
          <t>Unit</t>
        </is>
      </c>
      <c r="D32" s="7" t="inlineStr">
        <is>
          <t>FY2026A</t>
        </is>
      </c>
      <c r="E32" s="7" t="inlineStr">
        <is>
          <t>FY2027E</t>
        </is>
      </c>
      <c r="F32" s="7" t="inlineStr">
        <is>
          <t>FY2028E</t>
        </is>
      </c>
      <c r="G32" s="7" t="inlineStr">
        <is>
          <t>FY2029E</t>
        </is>
      </c>
      <c r="H32" s="7" t="inlineStr">
        <is>
          <t>FY2030E</t>
        </is>
      </c>
      <c r="I32" s="7" t="inlineStr">
        <is>
          <t>FY2031E</t>
        </is>
      </c>
      <c r="J32" s="7" t="inlineStr">
        <is>
          <t>FY2032E</t>
        </is>
      </c>
      <c r="K32" s="7" t="inlineStr">
        <is>
          <t>FY2033E</t>
        </is>
      </c>
      <c r="L32" s="7" t="inlineStr">
        <is>
          <t>CAGR</t>
        </is>
      </c>
      <c r="M32" s="8" t="inlineStr">
        <is>
          <t>Source</t>
        </is>
      </c>
      <c r="N32" s="7" t="inlineStr">
        <is>
          <t>Conf.</t>
        </is>
      </c>
      <c r="O32" s="8" t="inlineStr">
        <is>
          <t>Notes / methodology</t>
        </is>
      </c>
    </row>
    <row r="33">
      <c r="B33" s="10" t="inlineStr">
        <is>
          <t>Tata Steel - EBITDA</t>
        </is>
      </c>
      <c r="C33" s="11" t="inlineStr">
        <is>
          <t>Rs cr</t>
        </is>
      </c>
      <c r="D33" s="35" t="n">
        <v>34272</v>
      </c>
      <c r="E33" s="35">
        <f>E21*E23/10</f>
        <v/>
      </c>
      <c r="F33" s="35">
        <f>F21*F23/10</f>
        <v/>
      </c>
      <c r="G33" s="35">
        <f>G21*G23/10</f>
        <v/>
      </c>
      <c r="H33" s="35">
        <f>H21*H23/10</f>
        <v/>
      </c>
      <c r="I33" s="35">
        <f>I21*I23/10</f>
        <v/>
      </c>
      <c r="J33" s="35">
        <f>J21*J23/10</f>
        <v/>
      </c>
      <c r="K33" s="35">
        <f>K21*K23/10</f>
        <v/>
      </c>
      <c r="L33" s="16">
        <f>IFERROR(IF(AND(ISNUMBER(D33),ISNUMBER(K33),D33&gt;0),(K33/D33)^(1/7)-1,""),"")</f>
        <v/>
      </c>
      <c r="M33" s="3" t="inlineStr">
        <is>
          <t>S08</t>
        </is>
      </c>
      <c r="N33" s="13" t="inlineStr">
        <is>
          <t>Medium</t>
        </is>
      </c>
      <c r="O33" s="3" t="inlineStr">
        <is>
          <t>Volume from 12 Revenue x EBITDA/t above.</t>
        </is>
      </c>
    </row>
    <row r="34">
      <c r="B34" s="10" t="inlineStr">
        <is>
          <t>JSW Steel - EBITDA</t>
        </is>
      </c>
      <c r="C34" s="11" t="inlineStr">
        <is>
          <t>Rs cr</t>
        </is>
      </c>
      <c r="D34" s="35" t="n">
        <v>29240</v>
      </c>
      <c r="E34" s="35">
        <f>E22*E24/10</f>
        <v/>
      </c>
      <c r="F34" s="35">
        <f>F22*F24/10</f>
        <v/>
      </c>
      <c r="G34" s="35">
        <f>G22*G24/10</f>
        <v/>
      </c>
      <c r="H34" s="35">
        <f>H22*H24/10</f>
        <v/>
      </c>
      <c r="I34" s="35">
        <f>I22*I24/10</f>
        <v/>
      </c>
      <c r="J34" s="35">
        <f>J22*J24/10</f>
        <v/>
      </c>
      <c r="K34" s="35">
        <f>K22*K24/10</f>
        <v/>
      </c>
      <c r="L34" s="16">
        <f>IFERROR(IF(AND(ISNUMBER(D34),ISNUMBER(K34),D34&gt;0),(K34/D34)^(1/7)-1,""),"")</f>
        <v/>
      </c>
      <c r="M34" s="3" t="inlineStr">
        <is>
          <t>S09</t>
        </is>
      </c>
      <c r="N34" s="13" t="inlineStr">
        <is>
          <t>Medium</t>
        </is>
      </c>
      <c r="O34" s="3" t="inlineStr">
        <is>
          <t>Volume from 12 Revenue x EBITDA/t above.</t>
        </is>
      </c>
    </row>
    <row r="35">
      <c r="B35" s="10" t="inlineStr">
        <is>
          <t>SAIL - EBITDA</t>
        </is>
      </c>
      <c r="C35" s="11" t="inlineStr">
        <is>
          <t>Rs cr</t>
        </is>
      </c>
      <c r="D35" s="35" t="n">
        <v>13146</v>
      </c>
      <c r="E35" s="35">
        <f>E23*E25/10</f>
        <v/>
      </c>
      <c r="F35" s="35">
        <f>F23*F25/10</f>
        <v/>
      </c>
      <c r="G35" s="35">
        <f>G23*G25/10</f>
        <v/>
      </c>
      <c r="H35" s="35">
        <f>H23*H25/10</f>
        <v/>
      </c>
      <c r="I35" s="35">
        <f>I23*I25/10</f>
        <v/>
      </c>
      <c r="J35" s="35">
        <f>J23*J25/10</f>
        <v/>
      </c>
      <c r="K35" s="35">
        <f>K23*K25/10</f>
        <v/>
      </c>
      <c r="L35" s="16">
        <f>IFERROR(IF(AND(ISNUMBER(D35),ISNUMBER(K35),D35&gt;0),(K35/D35)^(1/7)-1,""),"")</f>
        <v/>
      </c>
      <c r="M35" s="3" t="inlineStr">
        <is>
          <t>S10</t>
        </is>
      </c>
      <c r="N35" s="13" t="inlineStr">
        <is>
          <t>Medium</t>
        </is>
      </c>
      <c r="O35" s="3" t="inlineStr">
        <is>
          <t>Volume from 12 Revenue x EBITDA/t above.</t>
        </is>
      </c>
    </row>
    <row r="36">
      <c r="B36" s="10" t="inlineStr">
        <is>
          <t>Jindal Steel - EBITDA</t>
        </is>
      </c>
      <c r="C36" s="11" t="inlineStr">
        <is>
          <t>Rs cr</t>
        </is>
      </c>
      <c r="D36" s="35" t="n">
        <v>9660</v>
      </c>
      <c r="E36" s="35">
        <f>E24*E26/10</f>
        <v/>
      </c>
      <c r="F36" s="35">
        <f>F24*F26/10</f>
        <v/>
      </c>
      <c r="G36" s="35">
        <f>G24*G26/10</f>
        <v/>
      </c>
      <c r="H36" s="35">
        <f>H24*H26/10</f>
        <v/>
      </c>
      <c r="I36" s="35">
        <f>I24*I26/10</f>
        <v/>
      </c>
      <c r="J36" s="35">
        <f>J24*J26/10</f>
        <v/>
      </c>
      <c r="K36" s="35">
        <f>K24*K26/10</f>
        <v/>
      </c>
      <c r="L36" s="16">
        <f>IFERROR(IF(AND(ISNUMBER(D36),ISNUMBER(K36),D36&gt;0),(K36/D36)^(1/7)-1,""),"")</f>
        <v/>
      </c>
      <c r="M36" s="3" t="inlineStr">
        <is>
          <t>S11</t>
        </is>
      </c>
      <c r="N36" s="13" t="inlineStr">
        <is>
          <t>Medium</t>
        </is>
      </c>
      <c r="O36" s="3" t="inlineStr">
        <is>
          <t>Volume from 12 Revenue x EBITDA/t above.</t>
        </is>
      </c>
    </row>
    <row r="37">
      <c r="B37" s="10" t="inlineStr">
        <is>
          <t>Jindal Stainless - EBITDA</t>
        </is>
      </c>
      <c r="C37" s="11" t="inlineStr">
        <is>
          <t>Rs cr</t>
        </is>
      </c>
      <c r="D37" s="35" t="n">
        <v>5560</v>
      </c>
      <c r="E37" s="35">
        <f>E25*E27/10</f>
        <v/>
      </c>
      <c r="F37" s="35">
        <f>F25*F27/10</f>
        <v/>
      </c>
      <c r="G37" s="35">
        <f>G25*G27/10</f>
        <v/>
      </c>
      <c r="H37" s="35">
        <f>H25*H27/10</f>
        <v/>
      </c>
      <c r="I37" s="35">
        <f>I25*I27/10</f>
        <v/>
      </c>
      <c r="J37" s="35">
        <f>J25*J27/10</f>
        <v/>
      </c>
      <c r="K37" s="35">
        <f>K25*K27/10</f>
        <v/>
      </c>
      <c r="L37" s="16">
        <f>IFERROR(IF(AND(ISNUMBER(D37),ISNUMBER(K37),D37&gt;0),(K37/D37)^(1/7)-1,""),"")</f>
        <v/>
      </c>
      <c r="M37" s="3" t="inlineStr">
        <is>
          <t>S12</t>
        </is>
      </c>
      <c r="N37" s="13" t="inlineStr">
        <is>
          <t>Medium</t>
        </is>
      </c>
      <c r="O37" s="3" t="inlineStr">
        <is>
          <t>Volume from 12 Revenue x EBITDA/t above.</t>
        </is>
      </c>
    </row>
    <row r="38">
      <c r="B38" s="10" t="inlineStr">
        <is>
          <t>AM/NS India - EBITDA</t>
        </is>
      </c>
      <c r="C38" s="11" t="inlineStr">
        <is>
          <t>Rs cr</t>
        </is>
      </c>
      <c r="D38" s="35" t="n">
        <v>69</v>
      </c>
      <c r="E38" s="35">
        <f>E26*E28/10</f>
        <v/>
      </c>
      <c r="F38" s="35">
        <f>F26*F28/10</f>
        <v/>
      </c>
      <c r="G38" s="35">
        <f>G26*G28/10</f>
        <v/>
      </c>
      <c r="H38" s="35">
        <f>H26*H28/10</f>
        <v/>
      </c>
      <c r="I38" s="35">
        <f>I26*I28/10</f>
        <v/>
      </c>
      <c r="J38" s="35">
        <f>J26*J28/10</f>
        <v/>
      </c>
      <c r="K38" s="35">
        <f>K26*K28/10</f>
        <v/>
      </c>
      <c r="L38" s="16">
        <f>IFERROR(IF(AND(ISNUMBER(D38),ISNUMBER(K38),D38&gt;0),(K38/D38)^(1/7)-1,""),"")</f>
        <v/>
      </c>
      <c r="M38" s="3" t="inlineStr">
        <is>
          <t>S13/S14</t>
        </is>
      </c>
      <c r="N38" s="13" t="inlineStr">
        <is>
          <t>Medium</t>
        </is>
      </c>
      <c r="O38" s="3" t="inlineStr">
        <is>
          <t>Volume from 12 Revenue x EBITDA/t above.</t>
        </is>
      </c>
    </row>
    <row r="39">
      <c r="B39" s="10" t="inlineStr">
        <is>
          <t>RINL - EBITDA</t>
        </is>
      </c>
      <c r="C39" s="11" t="inlineStr">
        <is>
          <t>Rs cr</t>
        </is>
      </c>
      <c r="E39" s="43" t="inlineStr">
        <is>
          <t>Data Not Publicly Available</t>
        </is>
      </c>
      <c r="F39" s="43" t="inlineStr">
        <is>
          <t>Data Not Publicly Available</t>
        </is>
      </c>
      <c r="G39" s="43" t="inlineStr">
        <is>
          <t>Data Not Publicly Available</t>
        </is>
      </c>
      <c r="H39" s="43" t="inlineStr">
        <is>
          <t>Data Not Publicly Available</t>
        </is>
      </c>
      <c r="I39" s="43" t="inlineStr">
        <is>
          <t>Data Not Publicly Available</t>
        </is>
      </c>
      <c r="J39" s="43" t="inlineStr">
        <is>
          <t>Data Not Publicly Available</t>
        </is>
      </c>
      <c r="K39" s="43" t="inlineStr">
        <is>
          <t>Data Not Publicly Available</t>
        </is>
      </c>
      <c r="M39" s="3" t="inlineStr">
        <is>
          <t>S16</t>
        </is>
      </c>
      <c r="N39" s="13" t="inlineStr">
        <is>
          <t>n/a</t>
        </is>
      </c>
      <c r="O39" s="3" t="inlineStr">
        <is>
          <t>Unlisted and wholly Government-owned. No EBITDA, balance sheet or valuation data is publicly available, so RINL appears in the volume build only.</t>
        </is>
      </c>
    </row>
    <row r="41">
      <c r="B41" s="30" t="inlineStr">
        <is>
          <t>SAIL's EBITDA is on a STANDALONE basis while its revenue is consolidated - database Conflict C09. Never pair a consolidated enterprise value with SAIL's EBITDA headline without adjusting.</t>
        </is>
      </c>
    </row>
  </sheetData>
  <printOptions horizontalCentered="1"/>
  <pageMargins left="0.75" right="0.75" top="1" bottom="1" header="0.5" footer="0.5"/>
  <pageSetup orientation="landscape" fitToHeight="0" fitToWidth="1"/>
</worksheet>
</file>

<file path=xl/worksheets/sheet18.xml><?xml version="1.0" encoding="utf-8"?>
<worksheet xmlns="http://schemas.openxmlformats.org/spreadsheetml/2006/main">
  <sheetPr>
    <tabColor rgb="001F3864"/>
    <outlinePr summaryBelow="1" summaryRight="1"/>
    <pageSetUpPr fitToPage="1"/>
  </sheetPr>
  <dimension ref="A1:O30"/>
  <sheetViews>
    <sheetView showGridLines="0" workbookViewId="0">
      <selection activeCell="A1" sqref="A1"/>
    </sheetView>
  </sheetViews>
  <sheetFormatPr baseColWidth="8" defaultRowHeight="15"/>
  <cols>
    <col width="7" customWidth="1" min="1" max="1"/>
    <col width="52" customWidth="1" min="2" max="2"/>
    <col width="1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95" customWidth="1" min="15" max="15"/>
  </cols>
  <sheetData>
    <row r="1" ht="19" customHeight="1">
      <c r="B1" s="1" t="inlineStr">
        <is>
          <t>14  Margin Analysis</t>
        </is>
      </c>
    </row>
    <row r="2">
      <c r="B2" s="4" t="inlineStr">
        <is>
          <t>Industry Financial Model  |  Indian Steel Industry  |  Horizon FY2027E-FY2033E  |  Base year FY2026A  |  Built 03-Aug-2026</t>
        </is>
      </c>
    </row>
    <row r="3">
      <c r="B3" s="3" t="inlineStr"/>
    </row>
    <row r="4">
      <c r="B4" s="4" t="inlineStr">
        <is>
          <t>OBJECTIVE</t>
        </is>
      </c>
    </row>
    <row r="5">
      <c r="B5" s="3" t="inlineStr">
        <is>
          <t>Decomposes margin into its price and cost components and benchmarks the forecast against observed cycle peaks and troughs.</t>
        </is>
      </c>
    </row>
    <row r="6">
      <c r="B6" s="4" t="inlineStr">
        <is>
          <t>METHODOLOGY</t>
        </is>
      </c>
    </row>
    <row r="7">
      <c r="B7" s="3" t="inlineStr">
        <is>
          <t>Margin is EBITDA per tonne divided by realisation. The observed envelope from the database is used as a credibility test on every scenario: FY2022 cycle peak was roughly 24-26% at industry level (Tata 26%, JSW 27%, SAIL 21%, Jindal Steel 30%), FY2024 trough roughly 12-14%, and the worst single observation was SAIL at -7% in FY2016. Any forecast outside that envelope requires explicit justification.</t>
        </is>
      </c>
    </row>
    <row r="8">
      <c r="B8" s="4" t="inlineStr">
        <is>
          <t>UNITS</t>
        </is>
      </c>
    </row>
    <row r="9">
      <c r="B9" s="3" t="inlineStr">
        <is>
          <t>Percentages as decimals. Rs per tonne.</t>
        </is>
      </c>
    </row>
    <row r="10">
      <c r="B10" s="4" t="inlineStr">
        <is>
          <t>DEPENDENCIES</t>
        </is>
      </c>
    </row>
    <row r="11">
      <c r="B11" s="3" t="inlineStr">
        <is>
          <t>Reads 09 Price, 11 Cost, 13 EBITDA. Read by 18 Cycle, 21 Scenario, 24 Dashboard.</t>
        </is>
      </c>
    </row>
    <row r="12">
      <c r="B12" s="3" t="inlineStr"/>
    </row>
    <row r="13" ht="30" customHeight="1">
      <c r="A13" s="7" t="inlineStr"/>
      <c r="B13" s="8" t="inlineStr">
        <is>
          <t>Line item</t>
        </is>
      </c>
      <c r="C13" s="8" t="inlineStr">
        <is>
          <t>Unit</t>
        </is>
      </c>
      <c r="D13" s="7" t="inlineStr">
        <is>
          <t>FY2026A</t>
        </is>
      </c>
      <c r="E13" s="7" t="inlineStr">
        <is>
          <t>FY2027E</t>
        </is>
      </c>
      <c r="F13" s="7" t="inlineStr">
        <is>
          <t>FY2028E</t>
        </is>
      </c>
      <c r="G13" s="7" t="inlineStr">
        <is>
          <t>FY2029E</t>
        </is>
      </c>
      <c r="H13" s="7" t="inlineStr">
        <is>
          <t>FY2030E</t>
        </is>
      </c>
      <c r="I13" s="7" t="inlineStr">
        <is>
          <t>FY2031E</t>
        </is>
      </c>
      <c r="J13" s="7" t="inlineStr">
        <is>
          <t>FY2032E</t>
        </is>
      </c>
      <c r="K13" s="7" t="inlineStr">
        <is>
          <t>FY2033E</t>
        </is>
      </c>
      <c r="L13" s="7" t="inlineStr">
        <is>
          <t>CAGR</t>
        </is>
      </c>
      <c r="M13" s="8" t="inlineStr">
        <is>
          <t>Source</t>
        </is>
      </c>
      <c r="N13" s="7" t="inlineStr">
        <is>
          <t>Conf.</t>
        </is>
      </c>
      <c r="O13" s="8" t="inlineStr">
        <is>
          <t>Notes / methodology</t>
        </is>
      </c>
    </row>
    <row r="14">
      <c r="B14" s="10" t="inlineStr">
        <is>
          <t>Realisation</t>
        </is>
      </c>
      <c r="C14" s="11" t="inlineStr">
        <is>
          <t>Rs/t</t>
        </is>
      </c>
      <c r="D14" s="35" t="n">
        <v>59974</v>
      </c>
      <c r="E14" s="35">
        <f>'09 Steel Price Forecast'!E$22</f>
        <v/>
      </c>
      <c r="F14" s="35">
        <f>'09 Steel Price Forecast'!F$22</f>
        <v/>
      </c>
      <c r="G14" s="35">
        <f>'09 Steel Price Forecast'!G$22</f>
        <v/>
      </c>
      <c r="H14" s="35">
        <f>'09 Steel Price Forecast'!H$22</f>
        <v/>
      </c>
      <c r="I14" s="35">
        <f>'09 Steel Price Forecast'!I$22</f>
        <v/>
      </c>
      <c r="J14" s="35">
        <f>'09 Steel Price Forecast'!J$22</f>
        <v/>
      </c>
      <c r="K14" s="35">
        <f>'09 Steel Price Forecast'!K$22</f>
        <v/>
      </c>
      <c r="M14" s="3" t="inlineStr">
        <is>
          <t>09 Price</t>
        </is>
      </c>
      <c r="N14" s="13" t="inlineStr">
        <is>
          <t>Medium</t>
        </is>
      </c>
    </row>
    <row r="15">
      <c r="B15" s="10" t="inlineStr">
        <is>
          <t>Cash cost</t>
        </is>
      </c>
      <c r="C15" s="11" t="inlineStr">
        <is>
          <t>Rs/t</t>
        </is>
      </c>
      <c r="D15" s="35" t="n">
        <v>49241</v>
      </c>
      <c r="E15" s="35">
        <f>'11 Cost Curve'!E$17</f>
        <v/>
      </c>
      <c r="F15" s="35">
        <f>'11 Cost Curve'!F$17</f>
        <v/>
      </c>
      <c r="G15" s="35">
        <f>'11 Cost Curve'!G$17</f>
        <v/>
      </c>
      <c r="H15" s="35">
        <f>'11 Cost Curve'!H$17</f>
        <v/>
      </c>
      <c r="I15" s="35">
        <f>'11 Cost Curve'!I$17</f>
        <v/>
      </c>
      <c r="J15" s="35">
        <f>'11 Cost Curve'!J$17</f>
        <v/>
      </c>
      <c r="K15" s="35">
        <f>'11 Cost Curve'!K$17</f>
        <v/>
      </c>
      <c r="M15" s="3" t="inlineStr">
        <is>
          <t>11 Cost</t>
        </is>
      </c>
      <c r="N15" s="13" t="inlineStr">
        <is>
          <t>Medium</t>
        </is>
      </c>
    </row>
    <row r="16">
      <c r="B16" s="10" t="inlineStr">
        <is>
          <t>EBITDA per tonne</t>
        </is>
      </c>
      <c r="C16" s="11" t="inlineStr">
        <is>
          <t>Rs/t</t>
        </is>
      </c>
      <c r="D16" s="35" t="n">
        <v>10733</v>
      </c>
      <c r="E16" s="35">
        <f>'13 EBITDA Model'!E$16</f>
        <v/>
      </c>
      <c r="F16" s="35">
        <f>'13 EBITDA Model'!F$16</f>
        <v/>
      </c>
      <c r="G16" s="35">
        <f>'13 EBITDA Model'!G$16</f>
        <v/>
      </c>
      <c r="H16" s="35">
        <f>'13 EBITDA Model'!H$16</f>
        <v/>
      </c>
      <c r="I16" s="35">
        <f>'13 EBITDA Model'!I$16</f>
        <v/>
      </c>
      <c r="J16" s="35">
        <f>'13 EBITDA Model'!J$16</f>
        <v/>
      </c>
      <c r="K16" s="35">
        <f>'13 EBITDA Model'!K$16</f>
        <v/>
      </c>
      <c r="M16" s="3" t="inlineStr">
        <is>
          <t>13 EBITDA</t>
        </is>
      </c>
      <c r="N16" s="13" t="inlineStr">
        <is>
          <t>Medium</t>
        </is>
      </c>
    </row>
    <row r="17">
      <c r="B17" s="26" t="inlineStr">
        <is>
          <t>INDUSTRY EBITDA MARGIN</t>
        </is>
      </c>
      <c r="C17" s="11" t="inlineStr">
        <is>
          <t>%</t>
        </is>
      </c>
      <c r="D17" s="28" t="n">
        <v>0.1789608830493214</v>
      </c>
      <c r="E17" s="28">
        <f>E16/E14</f>
        <v/>
      </c>
      <c r="F17" s="28">
        <f>F16/F14</f>
        <v/>
      </c>
      <c r="G17" s="28">
        <f>G16/G14</f>
        <v/>
      </c>
      <c r="H17" s="28">
        <f>H16/H14</f>
        <v/>
      </c>
      <c r="I17" s="28">
        <f>I16/I14</f>
        <v/>
      </c>
      <c r="J17" s="28">
        <f>J16/J14</f>
        <v/>
      </c>
      <c r="K17" s="28">
        <f>K16/K14</f>
        <v/>
      </c>
      <c r="M17" s="3" t="inlineStr">
        <is>
          <t>Computed</t>
        </is>
      </c>
      <c r="N17" s="13" t="inlineStr">
        <is>
          <t>Medium</t>
        </is>
      </c>
      <c r="O17" s="3" t="inlineStr">
        <is>
          <t>FY2026A of 17.9% is the volume-weighted actual across the four majors.</t>
        </is>
      </c>
    </row>
    <row r="19">
      <c r="B19" s="5" t="inlineStr">
        <is>
          <t>MARGIN BRIDGE - CHANGE VS FY2026A</t>
        </is>
      </c>
    </row>
    <row r="20">
      <c r="B20" s="10" t="inlineStr">
        <is>
          <t>Realisation change vs FY2026A</t>
        </is>
      </c>
      <c r="C20" s="11" t="inlineStr">
        <is>
          <t>Rs/t</t>
        </is>
      </c>
      <c r="E20" s="35">
        <f>E14-$D$14</f>
        <v/>
      </c>
      <c r="F20" s="35">
        <f>F14-$D$14</f>
        <v/>
      </c>
      <c r="G20" s="35">
        <f>G14-$D$14</f>
        <v/>
      </c>
      <c r="H20" s="35">
        <f>H14-$D$14</f>
        <v/>
      </c>
      <c r="I20" s="35">
        <f>I14-$D$14</f>
        <v/>
      </c>
      <c r="J20" s="35">
        <f>J14-$D$14</f>
        <v/>
      </c>
      <c r="K20" s="35">
        <f>K14-$D$14</f>
        <v/>
      </c>
      <c r="M20" s="3" t="inlineStr">
        <is>
          <t>Computed</t>
        </is>
      </c>
      <c r="N20" s="13" t="inlineStr">
        <is>
          <t>Medium</t>
        </is>
      </c>
    </row>
    <row r="21">
      <c r="B21" s="10" t="inlineStr">
        <is>
          <t>Cash cost change vs FY2026A</t>
        </is>
      </c>
      <c r="C21" s="11" t="inlineStr">
        <is>
          <t>Rs/t</t>
        </is>
      </c>
      <c r="E21" s="35">
        <f>-(E15-$D$15)</f>
        <v/>
      </c>
      <c r="F21" s="35">
        <f>-(F15-$D$15)</f>
        <v/>
      </c>
      <c r="G21" s="35">
        <f>-(G15-$D$15)</f>
        <v/>
      </c>
      <c r="H21" s="35">
        <f>-(H15-$D$15)</f>
        <v/>
      </c>
      <c r="I21" s="35">
        <f>-(I15-$D$15)</f>
        <v/>
      </c>
      <c r="J21" s="35">
        <f>-(J15-$D$15)</f>
        <v/>
      </c>
      <c r="K21" s="35">
        <f>-(K15-$D$15)</f>
        <v/>
      </c>
      <c r="M21" s="3" t="inlineStr">
        <is>
          <t>Computed</t>
        </is>
      </c>
      <c r="N21" s="13" t="inlineStr">
        <is>
          <t>Medium</t>
        </is>
      </c>
      <c r="O21" s="3" t="inlineStr">
        <is>
          <t>Shown with the sign reversed so that the two bridge lines sum to the EBITDA/t change - a negative value means cost inflation is eroding margin.</t>
        </is>
      </c>
    </row>
    <row r="22">
      <c r="B22" s="26" t="inlineStr">
        <is>
          <t>EBITDA per tonne change vs FY2026A</t>
        </is>
      </c>
      <c r="C22" s="11" t="inlineStr">
        <is>
          <t>Rs/t</t>
        </is>
      </c>
      <c r="E22" s="29">
        <f>E20+E21</f>
        <v/>
      </c>
      <c r="F22" s="29">
        <f>F20+F21</f>
        <v/>
      </c>
      <c r="G22" s="29">
        <f>G20+G21</f>
        <v/>
      </c>
      <c r="H22" s="29">
        <f>H20+H21</f>
        <v/>
      </c>
      <c r="I22" s="29">
        <f>I20+I21</f>
        <v/>
      </c>
      <c r="J22" s="29">
        <f>J20+J21</f>
        <v/>
      </c>
      <c r="K22" s="29">
        <f>K20+K21</f>
        <v/>
      </c>
      <c r="M22" s="3" t="inlineStr">
        <is>
          <t>Computed</t>
        </is>
      </c>
      <c r="N22" s="13" t="inlineStr">
        <is>
          <t>Medium</t>
        </is>
      </c>
      <c r="O22" s="3" t="inlineStr">
        <is>
          <t>BRIDGE CHECK: must equal EBITDA/t less the FY2026A EBITDA/t. Verified on 25 Audit Checks.</t>
        </is>
      </c>
    </row>
    <row r="24">
      <c r="B24" s="5" t="inlineStr">
        <is>
          <t>CREDIBILITY BENCHMARKS FROM OBSERVED HISTORY (Master Database)</t>
        </is>
      </c>
    </row>
    <row r="25">
      <c r="B25" s="10" t="inlineStr">
        <is>
          <t>Observed cycle PEAK margin, FY2022</t>
        </is>
      </c>
      <c r="C25" s="11" t="inlineStr">
        <is>
          <t>%</t>
        </is>
      </c>
      <c r="D25" s="16" t="n">
        <v>0.26</v>
      </c>
      <c r="M25" s="3" t="inlineStr">
        <is>
          <t>Master DB</t>
        </is>
      </c>
      <c r="N25" s="13" t="inlineStr">
        <is>
          <t>High</t>
        </is>
      </c>
      <c r="O25" s="3" t="inlineStr">
        <is>
          <t>Standardised EBITDA margins FY2022: Tata Steel 26%, JSW Steel 27%, SAIL 21%, Jindal Steel 30%. The bull case is calibrated to peak at 26.0% in FY2030.</t>
        </is>
      </c>
    </row>
    <row r="26">
      <c r="B26" s="10" t="inlineStr">
        <is>
          <t>Observed cycle TROUGH margin, FY2024</t>
        </is>
      </c>
      <c r="C26" s="11" t="inlineStr">
        <is>
          <t>%</t>
        </is>
      </c>
      <c r="D26" s="16" t="n">
        <v>0.13</v>
      </c>
      <c r="M26" s="3" t="inlineStr">
        <is>
          <t>Master DB</t>
        </is>
      </c>
      <c r="N26" s="13" t="inlineStr">
        <is>
          <t>High</t>
        </is>
      </c>
      <c r="O26" s="3" t="inlineStr">
        <is>
          <t>FY2024: Tata Steel 10%, JSW Steel 16%, SAIL 11%, Jindal Steel 20%.</t>
        </is>
      </c>
    </row>
    <row r="27">
      <c r="B27" s="10" t="inlineStr">
        <is>
          <t>Worst single observation, SAIL FY2016</t>
        </is>
      </c>
      <c r="C27" s="11" t="inlineStr">
        <is>
          <t>%</t>
        </is>
      </c>
      <c r="D27" s="16" t="n">
        <v>-0.07000000000000001</v>
      </c>
      <c r="M27" s="3" t="inlineStr">
        <is>
          <t>Master DB</t>
        </is>
      </c>
      <c r="N27" s="13" t="inlineStr">
        <is>
          <t>High</t>
        </is>
      </c>
      <c r="O27" s="3" t="inlineStr">
        <is>
          <t>The floor reference. The stress case troughs at -9.2% in FY2028, marginally worse, which is deliberate: a stress case should breach the worst observed outcome.</t>
        </is>
      </c>
    </row>
    <row r="28">
      <c r="B28" s="10" t="inlineStr">
        <is>
          <t>FY2026A actual industry margin</t>
        </is>
      </c>
      <c r="C28" s="11" t="inlineStr">
        <is>
          <t>%</t>
        </is>
      </c>
      <c r="D28" s="16" t="n">
        <v>0.1789608830493214</v>
      </c>
      <c r="M28" s="3" t="inlineStr">
        <is>
          <t>Master DB</t>
        </is>
      </c>
      <c r="N28" s="13" t="inlineStr">
        <is>
          <t>High</t>
        </is>
      </c>
      <c r="O28" s="3" t="inlineStr">
        <is>
          <t>Volume-weighted across the four majors.</t>
        </is>
      </c>
    </row>
    <row r="30">
      <c r="B30" s="30" t="inlineStr">
        <is>
          <t>If a scenario produces a margin outside the -7% to +26% observed envelope, 25 Audit Checks flags it. That is a warning, not necessarily an error - but it must be justified.</t>
        </is>
      </c>
    </row>
  </sheetData>
  <printOptions horizontalCentered="1"/>
  <pageMargins left="0.75" right="0.75" top="1" bottom="1" header="0.5" footer="0.5"/>
  <pageSetup orientation="landscape" fitToHeight="0" fitToWidth="1"/>
</worksheet>
</file>

<file path=xl/worksheets/sheet19.xml><?xml version="1.0" encoding="utf-8"?>
<worksheet xmlns="http://schemas.openxmlformats.org/spreadsheetml/2006/main">
  <sheetPr>
    <tabColor rgb="001F3864"/>
    <outlinePr summaryBelow="1" summaryRight="1"/>
    <pageSetUpPr fitToPage="1"/>
  </sheetPr>
  <dimension ref="A1:O20"/>
  <sheetViews>
    <sheetView showGridLines="0" workbookViewId="0">
      <selection activeCell="A1" sqref="A1"/>
    </sheetView>
  </sheetViews>
  <sheetFormatPr baseColWidth="8" defaultRowHeight="15"/>
  <cols>
    <col width="7" customWidth="1" min="1" max="1"/>
    <col width="52" customWidth="1" min="2" max="2"/>
    <col width="1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95" customWidth="1" min="15" max="15"/>
  </cols>
  <sheetData>
    <row r="1" ht="19" customHeight="1">
      <c r="B1" s="1" t="inlineStr">
        <is>
          <t>15  Working Capital Model</t>
        </is>
      </c>
    </row>
    <row r="2">
      <c r="B2" s="4" t="inlineStr">
        <is>
          <t>Industry Financial Model  |  Indian Steel Industry  |  Horizon FY2027E-FY2033E  |  Base year FY2026A  |  Built 03-Aug-2026</t>
        </is>
      </c>
    </row>
    <row r="3">
      <c r="B3" s="3" t="inlineStr"/>
    </row>
    <row r="4">
      <c r="B4" s="4" t="inlineStr">
        <is>
          <t>OBJECTIVE</t>
        </is>
      </c>
    </row>
    <row r="5">
      <c r="B5" s="3" t="inlineStr">
        <is>
          <t>Forecasts net working capital and the cash flow it absorbs or releases.</t>
        </is>
      </c>
    </row>
    <row r="6">
      <c r="B6" s="4" t="inlineStr">
        <is>
          <t>METHODOLOGY</t>
        </is>
      </c>
    </row>
    <row r="7">
      <c r="B7" s="3" t="inlineStr">
        <is>
          <t>NWC is modelled as days of revenue. THIS IS THE WEAKEST BLOCK IN THE MODEL and is flagged as such: the Master Database carries total assets and borrowings but not receivables, inventory or payables, so working capital days could NOT be derived from it. The only directional evidence available is Tata Steel's disclosed FY2026 working capital RELEASE of about Rs 6,470 cr, which on Rs 2,32,140 cr of revenue is roughly 10 days of tightening. 45 days is a sector convention and must be replaced with balance-sheet-derived days before transaction use.</t>
        </is>
      </c>
    </row>
    <row r="8">
      <c r="B8" s="4" t="inlineStr">
        <is>
          <t>UNITS</t>
        </is>
      </c>
    </row>
    <row r="9">
      <c r="B9" s="3" t="inlineStr">
        <is>
          <t>Days. Rs crore.</t>
        </is>
      </c>
    </row>
    <row r="10">
      <c r="B10" s="4" t="inlineStr">
        <is>
          <t>DEPENDENCIES</t>
        </is>
      </c>
    </row>
    <row r="11">
      <c r="B11" s="3" t="inlineStr">
        <is>
          <t>Reads 12 Revenue and 02 Model Assumptions. Read by 16 Cash Flow.</t>
        </is>
      </c>
    </row>
    <row r="12">
      <c r="B12" s="3" t="inlineStr"/>
    </row>
    <row r="13" ht="30" customHeight="1">
      <c r="A13" s="7" t="inlineStr"/>
      <c r="B13" s="8" t="inlineStr">
        <is>
          <t>Line item</t>
        </is>
      </c>
      <c r="C13" s="8" t="inlineStr">
        <is>
          <t>Unit</t>
        </is>
      </c>
      <c r="D13" s="7" t="inlineStr">
        <is>
          <t>FY2026A</t>
        </is>
      </c>
      <c r="E13" s="7" t="inlineStr">
        <is>
          <t>FY2027E</t>
        </is>
      </c>
      <c r="F13" s="7" t="inlineStr">
        <is>
          <t>FY2028E</t>
        </is>
      </c>
      <c r="G13" s="7" t="inlineStr">
        <is>
          <t>FY2029E</t>
        </is>
      </c>
      <c r="H13" s="7" t="inlineStr">
        <is>
          <t>FY2030E</t>
        </is>
      </c>
      <c r="I13" s="7" t="inlineStr">
        <is>
          <t>FY2031E</t>
        </is>
      </c>
      <c r="J13" s="7" t="inlineStr">
        <is>
          <t>FY2032E</t>
        </is>
      </c>
      <c r="K13" s="7" t="inlineStr">
        <is>
          <t>FY2033E</t>
        </is>
      </c>
      <c r="L13" s="7" t="inlineStr">
        <is>
          <t>CAGR</t>
        </is>
      </c>
      <c r="M13" s="8" t="inlineStr">
        <is>
          <t>Source</t>
        </is>
      </c>
      <c r="N13" s="7" t="inlineStr">
        <is>
          <t>Conf.</t>
        </is>
      </c>
      <c r="O13" s="8" t="inlineStr">
        <is>
          <t>Notes / methodology</t>
        </is>
      </c>
    </row>
    <row r="14">
      <c r="B14" s="10" t="inlineStr">
        <is>
          <t>Industry revenue</t>
        </is>
      </c>
      <c r="C14" s="11" t="inlineStr">
        <is>
          <t>Rs cr</t>
        </is>
      </c>
      <c r="D14" s="35" t="n">
        <v>965221.5560000001</v>
      </c>
      <c r="E14" s="35">
        <f>'12 Revenue Forecast'!E$16</f>
        <v/>
      </c>
      <c r="F14" s="35">
        <f>'12 Revenue Forecast'!F$16</f>
        <v/>
      </c>
      <c r="G14" s="35">
        <f>'12 Revenue Forecast'!G$16</f>
        <v/>
      </c>
      <c r="H14" s="35">
        <f>'12 Revenue Forecast'!H$16</f>
        <v/>
      </c>
      <c r="I14" s="35">
        <f>'12 Revenue Forecast'!I$16</f>
        <v/>
      </c>
      <c r="J14" s="35">
        <f>'12 Revenue Forecast'!J$16</f>
        <v/>
      </c>
      <c r="K14" s="35">
        <f>'12 Revenue Forecast'!K$16</f>
        <v/>
      </c>
      <c r="M14" s="3" t="inlineStr">
        <is>
          <t>12 Revenue</t>
        </is>
      </c>
      <c r="N14" s="13" t="inlineStr">
        <is>
          <t>Medium</t>
        </is>
      </c>
    </row>
    <row r="15">
      <c r="B15" s="10" t="inlineStr">
        <is>
          <t>Net working capital</t>
        </is>
      </c>
      <c r="C15" s="11" t="inlineStr">
        <is>
          <t>days of revenue</t>
        </is>
      </c>
      <c r="D15" s="35" t="n">
        <v>45</v>
      </c>
      <c r="E15" s="35" t="inlineStr">
        <is>
          <t>'02 Model Assumptions'!E$139</t>
        </is>
      </c>
      <c r="F15" s="35" t="inlineStr">
        <is>
          <t>'02 Model Assumptions'!F$139</t>
        </is>
      </c>
      <c r="G15" s="35" t="inlineStr">
        <is>
          <t>'02 Model Assumptions'!G$139</t>
        </is>
      </c>
      <c r="H15" s="35" t="inlineStr">
        <is>
          <t>'02 Model Assumptions'!H$139</t>
        </is>
      </c>
      <c r="I15" s="35" t="inlineStr">
        <is>
          <t>'02 Model Assumptions'!I$139</t>
        </is>
      </c>
      <c r="J15" s="35" t="inlineStr">
        <is>
          <t>'02 Model Assumptions'!J$139</t>
        </is>
      </c>
      <c r="K15" s="35" t="inlineStr">
        <is>
          <t>'02 Model Assumptions'!K$139</t>
        </is>
      </c>
      <c r="M15" s="3" t="inlineStr">
        <is>
          <t>NOT SOURCED</t>
        </is>
      </c>
      <c r="N15" s="13" t="inlineStr">
        <is>
          <t>Low</t>
        </is>
      </c>
      <c r="O15" s="3" t="inlineStr">
        <is>
          <t>45 days base, 40 bull, 52 bear, 62 stress. A working capital BUILD in a downturn is a first-order cash flow risk, not a second-order one, which is why the stress flex is large.</t>
        </is>
      </c>
    </row>
    <row r="16">
      <c r="B16" s="10" t="inlineStr">
        <is>
          <t>Net working capital</t>
        </is>
      </c>
      <c r="C16" s="11" t="inlineStr">
        <is>
          <t>Rs cr</t>
        </is>
      </c>
      <c r="D16" s="35" t="n">
        <v>118999.9178630137</v>
      </c>
      <c r="E16" s="35">
        <f>E14*E15/365</f>
        <v/>
      </c>
      <c r="F16" s="35">
        <f>F14*F15/365</f>
        <v/>
      </c>
      <c r="G16" s="35">
        <f>G14*G15/365</f>
        <v/>
      </c>
      <c r="H16" s="35">
        <f>H14*H15/365</f>
        <v/>
      </c>
      <c r="I16" s="35">
        <f>I14*I15/365</f>
        <v/>
      </c>
      <c r="J16" s="35">
        <f>J14*J15/365</f>
        <v/>
      </c>
      <c r="K16" s="35">
        <f>K14*K15/365</f>
        <v/>
      </c>
      <c r="M16" s="3" t="inlineStr">
        <is>
          <t>Computed</t>
        </is>
      </c>
      <c r="N16" s="13" t="inlineStr">
        <is>
          <t>Low</t>
        </is>
      </c>
    </row>
    <row r="17">
      <c r="B17" s="26" t="inlineStr">
        <is>
          <t>Change in net working capital</t>
        </is>
      </c>
      <c r="C17" s="11" t="inlineStr">
        <is>
          <t>Rs cr</t>
        </is>
      </c>
      <c r="E17" s="29">
        <f>E16-D16</f>
        <v/>
      </c>
      <c r="F17" s="29">
        <f>F16-E16</f>
        <v/>
      </c>
      <c r="G17" s="29">
        <f>G16-F16</f>
        <v/>
      </c>
      <c r="H17" s="29">
        <f>H16-G16</f>
        <v/>
      </c>
      <c r="I17" s="29">
        <f>I16-H16</f>
        <v/>
      </c>
      <c r="J17" s="29">
        <f>J16-I16</f>
        <v/>
      </c>
      <c r="K17" s="29">
        <f>K16-J16</f>
        <v/>
      </c>
      <c r="M17" s="3" t="inlineStr">
        <is>
          <t>Computed</t>
        </is>
      </c>
      <c r="N17" s="13" t="inlineStr">
        <is>
          <t>Low</t>
        </is>
      </c>
      <c r="O17" s="3" t="inlineStr">
        <is>
          <t>Positive equals a cash OUTFLOW (working capital absorbed). Deducted on 16 Cash Flow. FY2027E is measured against the FY2026A NWC computed on the same days basis, so the first year is not distorted by a basis change.</t>
        </is>
      </c>
    </row>
    <row r="18">
      <c r="B18" s="10" t="inlineStr">
        <is>
          <t>NWC as % of revenue</t>
        </is>
      </c>
      <c r="C18" s="11" t="inlineStr">
        <is>
          <t>%</t>
        </is>
      </c>
      <c r="D18" s="16" t="n">
        <v>0.1232876712328767</v>
      </c>
      <c r="E18" s="16">
        <f>E16/E14</f>
        <v/>
      </c>
      <c r="F18" s="16">
        <f>F16/F14</f>
        <v/>
      </c>
      <c r="G18" s="16">
        <f>G16/G14</f>
        <v/>
      </c>
      <c r="H18" s="16">
        <f>H16/H14</f>
        <v/>
      </c>
      <c r="I18" s="16">
        <f>I16/I14</f>
        <v/>
      </c>
      <c r="J18" s="16">
        <f>J16/J14</f>
        <v/>
      </c>
      <c r="K18" s="16">
        <f>K16/K14</f>
        <v/>
      </c>
      <c r="M18" s="3" t="inlineStr">
        <is>
          <t>Computed</t>
        </is>
      </c>
      <c r="N18" s="13" t="inlineStr">
        <is>
          <t>Low</t>
        </is>
      </c>
    </row>
    <row r="20">
      <c r="B20" s="30" t="inlineStr">
        <is>
          <t>ACTION REQUIRED. Derive receivable, inventory and payable days from each company's balance sheet and replace driver D18 before this model is used to support a financing or transaction.</t>
        </is>
      </c>
    </row>
  </sheetData>
  <printOptions horizontalCentered="1"/>
  <pageMargins left="0.75" right="0.75" top="1" bottom="1" header="0.5" footer="0.5"/>
  <pageSetup orientation="landscape" fitToHeight="0" fitToWidth="1"/>
</worksheet>
</file>

<file path=xl/worksheets/sheet20.xml><?xml version="1.0" encoding="utf-8"?>
<worksheet xmlns="http://schemas.openxmlformats.org/spreadsheetml/2006/main">
  <sheetPr>
    <tabColor rgb="001F3864"/>
    <outlinePr summaryBelow="1" summaryRight="1"/>
    <pageSetUpPr fitToPage="1"/>
  </sheetPr>
  <dimension ref="A1:O35"/>
  <sheetViews>
    <sheetView showGridLines="0" workbookViewId="0">
      <selection activeCell="A1" sqref="A1"/>
    </sheetView>
  </sheetViews>
  <sheetFormatPr baseColWidth="8" defaultRowHeight="15"/>
  <cols>
    <col width="7" customWidth="1" min="1" max="1"/>
    <col width="52" customWidth="1" min="2" max="2"/>
    <col width="1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95" customWidth="1" min="15" max="15"/>
  </cols>
  <sheetData>
    <row r="1" ht="19" customHeight="1">
      <c r="B1" s="1" t="inlineStr">
        <is>
          <t>16  Cash Flow Model</t>
        </is>
      </c>
    </row>
    <row r="2">
      <c r="B2" s="4" t="inlineStr">
        <is>
          <t>Industry Financial Model  |  Indian Steel Industry  |  Horizon FY2027E-FY2033E  |  Base year FY2026A  |  Built 03-Aug-2026</t>
        </is>
      </c>
    </row>
    <row r="3">
      <c r="B3" s="3" t="inlineStr"/>
    </row>
    <row r="4">
      <c r="B4" s="4" t="inlineStr">
        <is>
          <t>OBJECTIVE</t>
        </is>
      </c>
    </row>
    <row r="5">
      <c r="B5" s="3" t="inlineStr">
        <is>
          <t>Unlevered free cash flow for the industry - the input a DCF requires.</t>
        </is>
      </c>
    </row>
    <row r="6">
      <c r="B6" s="4" t="inlineStr">
        <is>
          <t>METHODOLOGY</t>
        </is>
      </c>
    </row>
    <row r="7">
      <c r="B7" s="3" t="inlineStr">
        <is>
          <t>UNLEVERED by design: EBITDA less cash tax less total capex less the change in working capital. Interest is deliberately excluded and sits on 17 Capital Allocation instead, because an enterprise DCF discounts pre-financing cash flow. Cash tax is computed on EBIT, not EBITDA, using depreciation of 5.3% of revenue DERIVED from the database - FY2026 D&amp;A of Rs 30,715 cr on Rs 5,81,646 cr of revenue for the four majors, a ratio that is tight across companies at 5.15% to 5.96%. Tax is floored at zero on negative EBIT with no loss carry-forward modelled, which is conservative.</t>
        </is>
      </c>
    </row>
    <row r="8">
      <c r="B8" s="4" t="inlineStr">
        <is>
          <t>UNITS</t>
        </is>
      </c>
    </row>
    <row r="9">
      <c r="B9" s="3" t="inlineStr">
        <is>
          <t>Rs crore. Percentages as decimals.</t>
        </is>
      </c>
    </row>
    <row r="10">
      <c r="B10" s="4" t="inlineStr">
        <is>
          <t>DEPENDENCIES</t>
        </is>
      </c>
    </row>
    <row r="11">
      <c r="B11" s="3" t="inlineStr">
        <is>
          <t>Reads 12 Revenue, 13 EBITDA, 15 Working Capital, 06 Capacity, 02 Assumptions. Read by 17, 21, 22, 23, 24.</t>
        </is>
      </c>
    </row>
    <row r="12">
      <c r="B12" s="3" t="inlineStr"/>
    </row>
    <row r="13" ht="30" customHeight="1">
      <c r="A13" s="7" t="inlineStr"/>
      <c r="B13" s="8" t="inlineStr">
        <is>
          <t>Line item</t>
        </is>
      </c>
      <c r="C13" s="8" t="inlineStr">
        <is>
          <t>Unit</t>
        </is>
      </c>
      <c r="D13" s="7" t="inlineStr">
        <is>
          <t>FY2026A</t>
        </is>
      </c>
      <c r="E13" s="7" t="inlineStr">
        <is>
          <t>FY2027E</t>
        </is>
      </c>
      <c r="F13" s="7" t="inlineStr">
        <is>
          <t>FY2028E</t>
        </is>
      </c>
      <c r="G13" s="7" t="inlineStr">
        <is>
          <t>FY2029E</t>
        </is>
      </c>
      <c r="H13" s="7" t="inlineStr">
        <is>
          <t>FY2030E</t>
        </is>
      </c>
      <c r="I13" s="7" t="inlineStr">
        <is>
          <t>FY2031E</t>
        </is>
      </c>
      <c r="J13" s="7" t="inlineStr">
        <is>
          <t>FY2032E</t>
        </is>
      </c>
      <c r="K13" s="7" t="inlineStr">
        <is>
          <t>FY2033E</t>
        </is>
      </c>
      <c r="L13" s="7" t="inlineStr">
        <is>
          <t>CAGR</t>
        </is>
      </c>
      <c r="M13" s="8" t="inlineStr">
        <is>
          <t>Source</t>
        </is>
      </c>
      <c r="N13" s="7" t="inlineStr">
        <is>
          <t>Conf.</t>
        </is>
      </c>
      <c r="O13" s="8" t="inlineStr">
        <is>
          <t>Notes / methodology</t>
        </is>
      </c>
    </row>
    <row r="14">
      <c r="B14" s="26" t="inlineStr">
        <is>
          <t>Industry EBITDA</t>
        </is>
      </c>
      <c r="C14" s="11" t="inlineStr">
        <is>
          <t>Rs cr</t>
        </is>
      </c>
      <c r="D14" s="29" t="n">
        <v>172736.902</v>
      </c>
      <c r="E14" s="29">
        <f>'13 EBITDA Model'!E$18</f>
        <v/>
      </c>
      <c r="F14" s="29">
        <f>'13 EBITDA Model'!F$18</f>
        <v/>
      </c>
      <c r="G14" s="29">
        <f>'13 EBITDA Model'!G$18</f>
        <v/>
      </c>
      <c r="H14" s="29">
        <f>'13 EBITDA Model'!H$18</f>
        <v/>
      </c>
      <c r="I14" s="29">
        <f>'13 EBITDA Model'!I$18</f>
        <v/>
      </c>
      <c r="J14" s="29">
        <f>'13 EBITDA Model'!J$18</f>
        <v/>
      </c>
      <c r="K14" s="29">
        <f>'13 EBITDA Model'!K$18</f>
        <v/>
      </c>
      <c r="M14" s="3" t="inlineStr">
        <is>
          <t>13 EBITDA</t>
        </is>
      </c>
      <c r="N14" s="13" t="inlineStr">
        <is>
          <t>Medium</t>
        </is>
      </c>
    </row>
    <row r="15">
      <c r="B15" s="10" t="inlineStr">
        <is>
          <t>Industry revenue</t>
        </is>
      </c>
      <c r="C15" s="11" t="inlineStr">
        <is>
          <t>Rs cr</t>
        </is>
      </c>
      <c r="D15" s="35" t="n">
        <v>965221.5560000001</v>
      </c>
      <c r="E15" s="35">
        <f>'12 Revenue Forecast'!E$16</f>
        <v/>
      </c>
      <c r="F15" s="35">
        <f>'12 Revenue Forecast'!F$16</f>
        <v/>
      </c>
      <c r="G15" s="35">
        <f>'12 Revenue Forecast'!G$16</f>
        <v/>
      </c>
      <c r="H15" s="35">
        <f>'12 Revenue Forecast'!H$16</f>
        <v/>
      </c>
      <c r="I15" s="35">
        <f>'12 Revenue Forecast'!I$16</f>
        <v/>
      </c>
      <c r="J15" s="35">
        <f>'12 Revenue Forecast'!J$16</f>
        <v/>
      </c>
      <c r="K15" s="35">
        <f>'12 Revenue Forecast'!K$16</f>
        <v/>
      </c>
      <c r="M15" s="3" t="inlineStr">
        <is>
          <t>12 Revenue</t>
        </is>
      </c>
      <c r="N15" s="13" t="inlineStr">
        <is>
          <t>Medium</t>
        </is>
      </c>
    </row>
    <row r="16">
      <c r="B16" s="10" t="inlineStr">
        <is>
          <t>Depreciation and amortisation</t>
        </is>
      </c>
      <c r="C16" s="11" t="inlineStr">
        <is>
          <t>% of revenue</t>
        </is>
      </c>
      <c r="D16" s="16" t="n">
        <v>0.0528</v>
      </c>
      <c r="E16" s="16" t="inlineStr">
        <is>
          <t>'02 Model Assumptions'!E$147</t>
        </is>
      </c>
      <c r="F16" s="16" t="inlineStr">
        <is>
          <t>'02 Model Assumptions'!F$147</t>
        </is>
      </c>
      <c r="G16" s="16" t="inlineStr">
        <is>
          <t>'02 Model Assumptions'!G$147</t>
        </is>
      </c>
      <c r="H16" s="16" t="inlineStr">
        <is>
          <t>'02 Model Assumptions'!H$147</t>
        </is>
      </c>
      <c r="I16" s="16" t="inlineStr">
        <is>
          <t>'02 Model Assumptions'!I$147</t>
        </is>
      </c>
      <c r="J16" s="16" t="inlineStr">
        <is>
          <t>'02 Model Assumptions'!J$147</t>
        </is>
      </c>
      <c r="K16" s="16" t="inlineStr">
        <is>
          <t>'02 Model Assumptions'!K$147</t>
        </is>
      </c>
      <c r="M16" s="3" t="inlineStr">
        <is>
          <t>Derived from Master DB</t>
        </is>
      </c>
      <c r="N16" s="13" t="inlineStr">
        <is>
          <t>High</t>
        </is>
      </c>
      <c r="O16" s="3" t="inlineStr">
        <is>
          <t>FY2026A of 5.28% is derived: Rs 30,715 cr of D&amp;A on Rs 5,81,646 cr of consolidated revenue for the four majors. Tight across companies - Tata 5.15%, JSW 5.18%, SAIL 5.40%, Jindal Steel 5.96%.</t>
        </is>
      </c>
    </row>
    <row r="17">
      <c r="B17" s="10" t="inlineStr">
        <is>
          <t>Depreciation and amortisation</t>
        </is>
      </c>
      <c r="C17" s="11" t="inlineStr">
        <is>
          <t>Rs cr</t>
        </is>
      </c>
      <c r="E17" s="35">
        <f>E15*E16</f>
        <v/>
      </c>
      <c r="F17" s="35">
        <f>F15*F16</f>
        <v/>
      </c>
      <c r="G17" s="35">
        <f>G15*G16</f>
        <v/>
      </c>
      <c r="H17" s="35">
        <f>H15*H16</f>
        <v/>
      </c>
      <c r="I17" s="35">
        <f>I15*I16</f>
        <v/>
      </c>
      <c r="J17" s="35">
        <f>J15*J16</f>
        <v/>
      </c>
      <c r="K17" s="35">
        <f>K15*K16</f>
        <v/>
      </c>
      <c r="M17" s="3" t="inlineStr">
        <is>
          <t>Computed</t>
        </is>
      </c>
      <c r="N17" s="13" t="inlineStr">
        <is>
          <t>High</t>
        </is>
      </c>
    </row>
    <row r="18">
      <c r="B18" s="10" t="inlineStr">
        <is>
          <t>EBIT</t>
        </is>
      </c>
      <c r="C18" s="11" t="inlineStr">
        <is>
          <t>Rs cr</t>
        </is>
      </c>
      <c r="E18" s="35">
        <f>E14-E17</f>
        <v/>
      </c>
      <c r="F18" s="35">
        <f>F14-F17</f>
        <v/>
      </c>
      <c r="G18" s="35">
        <f>G14-G17</f>
        <v/>
      </c>
      <c r="H18" s="35">
        <f>H14-H17</f>
        <v/>
      </c>
      <c r="I18" s="35">
        <f>I14-I17</f>
        <v/>
      </c>
      <c r="J18" s="35">
        <f>J14-J17</f>
        <v/>
      </c>
      <c r="K18" s="35">
        <f>K14-K17</f>
        <v/>
      </c>
      <c r="M18" s="3" t="inlineStr">
        <is>
          <t>Computed</t>
        </is>
      </c>
      <c r="N18" s="13" t="inlineStr">
        <is>
          <t>Medium</t>
        </is>
      </c>
    </row>
    <row r="19">
      <c r="B19" s="10" t="inlineStr">
        <is>
          <t>Effective tax rate</t>
        </is>
      </c>
      <c r="C19" s="11" t="inlineStr">
        <is>
          <t>%</t>
        </is>
      </c>
      <c r="D19" s="16" t="n">
        <v>0.2517</v>
      </c>
      <c r="E19" s="16" t="inlineStr">
        <is>
          <t>'02 Model Assumptions'!E$136</t>
        </is>
      </c>
      <c r="F19" s="16" t="inlineStr">
        <is>
          <t>'02 Model Assumptions'!F$136</t>
        </is>
      </c>
      <c r="G19" s="16" t="inlineStr">
        <is>
          <t>'02 Model Assumptions'!G$136</t>
        </is>
      </c>
      <c r="H19" s="16" t="inlineStr">
        <is>
          <t>'02 Model Assumptions'!H$136</t>
        </is>
      </c>
      <c r="I19" s="16" t="inlineStr">
        <is>
          <t>'02 Model Assumptions'!I$136</t>
        </is>
      </c>
      <c r="J19" s="16" t="inlineStr">
        <is>
          <t>'02 Model Assumptions'!J$136</t>
        </is>
      </c>
      <c r="K19" s="16" t="inlineStr">
        <is>
          <t>'02 Model Assumptions'!K$136</t>
        </is>
      </c>
      <c r="M19" s="3" t="inlineStr">
        <is>
          <t>Statutory 115BAA</t>
        </is>
      </c>
      <c r="N19" s="13" t="inlineStr">
        <is>
          <t>Medium</t>
        </is>
      </c>
      <c r="O19" s="3" t="inlineStr">
        <is>
          <t>22% plus surcharge and cess. Company-specific effective rates differ because of MAT credits and deferred tax - the database flags Kirloskar Ferrous FY2026 net profit exceeding PBT on a write-back (Conflict C12).</t>
        </is>
      </c>
    </row>
    <row r="20">
      <c r="B20" s="10" t="inlineStr">
        <is>
          <t>Cash tax</t>
        </is>
      </c>
      <c r="C20" s="11" t="inlineStr">
        <is>
          <t>Rs cr</t>
        </is>
      </c>
      <c r="E20" s="35">
        <f>MAX(0,E18)*E19</f>
        <v/>
      </c>
      <c r="F20" s="35">
        <f>MAX(0,F18)*F19</f>
        <v/>
      </c>
      <c r="G20" s="35">
        <f>MAX(0,G18)*G19</f>
        <v/>
      </c>
      <c r="H20" s="35">
        <f>MAX(0,H18)*H19</f>
        <v/>
      </c>
      <c r="I20" s="35">
        <f>MAX(0,I18)*I19</f>
        <v/>
      </c>
      <c r="J20" s="35">
        <f>MAX(0,J18)*J19</f>
        <v/>
      </c>
      <c r="K20" s="35">
        <f>MAX(0,K18)*K19</f>
        <v/>
      </c>
      <c r="M20" s="3" t="inlineStr">
        <is>
          <t>Computed</t>
        </is>
      </c>
      <c r="N20" s="13" t="inlineStr">
        <is>
          <t>Medium</t>
        </is>
      </c>
      <c r="O20" s="3" t="inlineStr">
        <is>
          <t>Floored at zero. No loss carry-forward is modelled, which understates cash flow in any recovery following a loss year - conservative and disclosed.</t>
        </is>
      </c>
    </row>
    <row r="22">
      <c r="B22" s="5" t="inlineStr">
        <is>
          <t>CAPITAL EXPENDITURE</t>
        </is>
      </c>
    </row>
    <row r="23">
      <c r="B23" s="10" t="inlineStr">
        <is>
          <t>Capacity added</t>
        </is>
      </c>
      <c r="C23" s="11" t="inlineStr">
        <is>
          <t>Mtpa</t>
        </is>
      </c>
      <c r="D23" s="34" t="n">
        <v>20.07</v>
      </c>
      <c r="E23" s="34">
        <f>'06 Capacity Forecast'!E$19</f>
        <v/>
      </c>
      <c r="F23" s="34">
        <f>'06 Capacity Forecast'!F$19</f>
        <v/>
      </c>
      <c r="G23" s="34">
        <f>'06 Capacity Forecast'!G$19</f>
        <v/>
      </c>
      <c r="H23" s="34">
        <f>'06 Capacity Forecast'!H$19</f>
        <v/>
      </c>
      <c r="I23" s="34">
        <f>'06 Capacity Forecast'!I$19</f>
        <v/>
      </c>
      <c r="J23" s="34">
        <f>'06 Capacity Forecast'!J$19</f>
        <v/>
      </c>
      <c r="K23" s="34">
        <f>'06 Capacity Forecast'!K$19</f>
        <v/>
      </c>
      <c r="M23" s="3" t="inlineStr">
        <is>
          <t>06 Capacity</t>
        </is>
      </c>
      <c r="N23" s="13" t="inlineStr">
        <is>
          <t>Medium</t>
        </is>
      </c>
    </row>
    <row r="24">
      <c r="B24" s="10" t="inlineStr">
        <is>
          <t>Capex intensity</t>
        </is>
      </c>
      <c r="C24" s="11" t="inlineStr">
        <is>
          <t>Rs/t of capacity</t>
        </is>
      </c>
      <c r="E24" s="35" t="inlineStr">
        <is>
          <t>'02 Model Assumptions'!E$137</t>
        </is>
      </c>
      <c r="F24" s="35" t="inlineStr">
        <is>
          <t>'02 Model Assumptions'!F$137</t>
        </is>
      </c>
      <c r="G24" s="35" t="inlineStr">
        <is>
          <t>'02 Model Assumptions'!G$137</t>
        </is>
      </c>
      <c r="H24" s="35" t="inlineStr">
        <is>
          <t>'02 Model Assumptions'!H$137</t>
        </is>
      </c>
      <c r="I24" s="35" t="inlineStr">
        <is>
          <t>'02 Model Assumptions'!I$137</t>
        </is>
      </c>
      <c r="J24" s="35" t="inlineStr">
        <is>
          <t>'02 Model Assumptions'!J$137</t>
        </is>
      </c>
      <c r="K24" s="35" t="inlineStr">
        <is>
          <t>'02 Model Assumptions'!K$137</t>
        </is>
      </c>
      <c r="M24" s="3" t="inlineStr">
        <is>
          <t>Derived from Master DB</t>
        </is>
      </c>
      <c r="N24" s="13" t="inlineStr">
        <is>
          <t>Medium</t>
        </is>
      </c>
      <c r="O24" s="3" t="inlineStr">
        <is>
          <t>Rs 55,000/t base. Cross-checks: JSW JVML 5 Mtpa at Rs 26,000 cr = Rs 52,000/t; SAIL roughly Rs 1 lakh cr for about 15 Mtpa = roughly Rs 67,000/t; Tata Ludhiana 0.75 Mtpa EAF at Rs 3,200 cr = Rs 42,700/t (lower, no ironmaking).</t>
        </is>
      </c>
    </row>
    <row r="25">
      <c r="B25" s="10" t="inlineStr">
        <is>
          <t>Growth capex</t>
        </is>
      </c>
      <c r="C25" s="11" t="inlineStr">
        <is>
          <t>Rs cr</t>
        </is>
      </c>
      <c r="E25" s="35">
        <f>E23*E24/10</f>
        <v/>
      </c>
      <c r="F25" s="35">
        <f>F23*F24/10</f>
        <v/>
      </c>
      <c r="G25" s="35">
        <f>G23*G24/10</f>
        <v/>
      </c>
      <c r="H25" s="35">
        <f>H23*H24/10</f>
        <v/>
      </c>
      <c r="I25" s="35">
        <f>I23*I24/10</f>
        <v/>
      </c>
      <c r="J25" s="35">
        <f>J23*J24/10</f>
        <v/>
      </c>
      <c r="K25" s="35">
        <f>K23*K24/10</f>
        <v/>
      </c>
      <c r="M25" s="3" t="inlineStr">
        <is>
          <t>Computed</t>
        </is>
      </c>
      <c r="N25" s="13" t="inlineStr">
        <is>
          <t>Medium</t>
        </is>
      </c>
      <c r="O25" s="3" t="inlineStr">
        <is>
          <t>Unit bridge: Mtpa x Rs/t / 10 = Rs crore.</t>
        </is>
      </c>
    </row>
    <row r="26">
      <c r="B26" s="10" t="inlineStr">
        <is>
          <t>Maintenance capex</t>
        </is>
      </c>
      <c r="C26" s="11" t="inlineStr">
        <is>
          <t>% of revenue</t>
        </is>
      </c>
      <c r="E26" s="16" t="inlineStr">
        <is>
          <t>'02 Model Assumptions'!E$138</t>
        </is>
      </c>
      <c r="F26" s="16" t="inlineStr">
        <is>
          <t>'02 Model Assumptions'!F$138</t>
        </is>
      </c>
      <c r="G26" s="16" t="inlineStr">
        <is>
          <t>'02 Model Assumptions'!G$138</t>
        </is>
      </c>
      <c r="H26" s="16" t="inlineStr">
        <is>
          <t>'02 Model Assumptions'!H$138</t>
        </is>
      </c>
      <c r="I26" s="16" t="inlineStr">
        <is>
          <t>'02 Model Assumptions'!I$138</t>
        </is>
      </c>
      <c r="J26" s="16" t="inlineStr">
        <is>
          <t>'02 Model Assumptions'!J$138</t>
        </is>
      </c>
      <c r="K26" s="16" t="inlineStr">
        <is>
          <t>'02 Model Assumptions'!K$138</t>
        </is>
      </c>
      <c r="M26" s="3" t="inlineStr">
        <is>
          <t>Indicative</t>
        </is>
      </c>
      <c r="N26" s="13" t="inlineStr">
        <is>
          <t>Low</t>
        </is>
      </c>
      <c r="O26" s="3" t="inlineStr">
        <is>
          <t>3.0% of revenue. Cross-check: Tata Steel FY2026 total capex of Rs 14,026 cr on Rs 2,32,140 cr revenue is 6.0%, but that includes growth capex, so 3.0% sustaining implies a roughly 50/50 split.</t>
        </is>
      </c>
    </row>
    <row r="27">
      <c r="B27" s="10" t="inlineStr">
        <is>
          <t>Maintenance capex</t>
        </is>
      </c>
      <c r="C27" s="11" t="inlineStr">
        <is>
          <t>Rs cr</t>
        </is>
      </c>
      <c r="E27" s="35">
        <f>E15*E26</f>
        <v/>
      </c>
      <c r="F27" s="35">
        <f>F15*F26</f>
        <v/>
      </c>
      <c r="G27" s="35">
        <f>G15*G26</f>
        <v/>
      </c>
      <c r="H27" s="35">
        <f>H15*H26</f>
        <v/>
      </c>
      <c r="I27" s="35">
        <f>I15*I26</f>
        <v/>
      </c>
      <c r="J27" s="35">
        <f>J15*J26</f>
        <v/>
      </c>
      <c r="K27" s="35">
        <f>K15*K26</f>
        <v/>
      </c>
      <c r="M27" s="3" t="inlineStr">
        <is>
          <t>Computed</t>
        </is>
      </c>
      <c r="N27" s="13" t="inlineStr">
        <is>
          <t>Low</t>
        </is>
      </c>
    </row>
    <row r="28">
      <c r="B28" s="26" t="inlineStr">
        <is>
          <t>Total capex</t>
        </is>
      </c>
      <c r="C28" s="11" t="inlineStr">
        <is>
          <t>Rs cr</t>
        </is>
      </c>
      <c r="E28" s="29">
        <f>E25+E27</f>
        <v/>
      </c>
      <c r="F28" s="29">
        <f>F25+F27</f>
        <v/>
      </c>
      <c r="G28" s="29">
        <f>G25+G27</f>
        <v/>
      </c>
      <c r="H28" s="29">
        <f>H25+H27</f>
        <v/>
      </c>
      <c r="I28" s="29">
        <f>I25+I27</f>
        <v/>
      </c>
      <c r="J28" s="29">
        <f>J25+J27</f>
        <v/>
      </c>
      <c r="K28" s="29">
        <f>K25+K27</f>
        <v/>
      </c>
      <c r="M28" s="3" t="inlineStr">
        <is>
          <t>Computed</t>
        </is>
      </c>
      <c r="N28" s="13" t="inlineStr">
        <is>
          <t>Medium</t>
        </is>
      </c>
    </row>
    <row r="30">
      <c r="B30" s="5" t="inlineStr">
        <is>
          <t>FREE CASH FLOW</t>
        </is>
      </c>
    </row>
    <row r="31">
      <c r="B31" s="10" t="inlineStr">
        <is>
          <t>Change in net working capital</t>
        </is>
      </c>
      <c r="C31" s="11" t="inlineStr">
        <is>
          <t>Rs cr</t>
        </is>
      </c>
      <c r="E31" s="35">
        <f>'15 Working Capital Model'!E$17</f>
        <v/>
      </c>
      <c r="F31" s="35">
        <f>'15 Working Capital Model'!F$17</f>
        <v/>
      </c>
      <c r="G31" s="35">
        <f>'15 Working Capital Model'!G$17</f>
        <v/>
      </c>
      <c r="H31" s="35">
        <f>'15 Working Capital Model'!H$17</f>
        <v/>
      </c>
      <c r="I31" s="35">
        <f>'15 Working Capital Model'!I$17</f>
        <v/>
      </c>
      <c r="J31" s="35">
        <f>'15 Working Capital Model'!J$17</f>
        <v/>
      </c>
      <c r="K31" s="35">
        <f>'15 Working Capital Model'!K$17</f>
        <v/>
      </c>
      <c r="M31" s="3" t="inlineStr">
        <is>
          <t>15 WC</t>
        </is>
      </c>
      <c r="N31" s="13" t="inlineStr">
        <is>
          <t>Low</t>
        </is>
      </c>
    </row>
    <row r="32">
      <c r="B32" s="26" t="inlineStr">
        <is>
          <t>UNLEVERED FREE CASH FLOW</t>
        </is>
      </c>
      <c r="C32" s="11" t="inlineStr">
        <is>
          <t>Rs cr</t>
        </is>
      </c>
      <c r="E32" s="29">
        <f>E14-E20-E28-E31</f>
        <v/>
      </c>
      <c r="F32" s="29">
        <f>F14-F20-F28-F31</f>
        <v/>
      </c>
      <c r="G32" s="29">
        <f>G14-G20-G28-G31</f>
        <v/>
      </c>
      <c r="H32" s="29">
        <f>H14-H20-H28-H31</f>
        <v/>
      </c>
      <c r="I32" s="29">
        <f>I14-I20-I28-I31</f>
        <v/>
      </c>
      <c r="J32" s="29">
        <f>J14-J20-J28-J31</f>
        <v/>
      </c>
      <c r="K32" s="29">
        <f>K14-K20-K28-K31</f>
        <v/>
      </c>
      <c r="M32" s="3" t="inlineStr">
        <is>
          <t>Computed</t>
        </is>
      </c>
      <c r="N32" s="13" t="inlineStr">
        <is>
          <t>Medium</t>
        </is>
      </c>
      <c r="O32" s="3" t="inlineStr">
        <is>
          <t>EBITDA less cash tax less total capex less the change in working capital. Pre-financing, which is what an enterprise DCF discounts.</t>
        </is>
      </c>
    </row>
    <row r="33">
      <c r="B33" s="10" t="inlineStr">
        <is>
          <t>FCF conversion</t>
        </is>
      </c>
      <c r="C33" s="11" t="inlineStr">
        <is>
          <t>% of EBITDA</t>
        </is>
      </c>
      <c r="E33" s="16">
        <f>IFERROR(E32/E14,"")</f>
        <v/>
      </c>
      <c r="F33" s="16">
        <f>IFERROR(F32/F14,"")</f>
        <v/>
      </c>
      <c r="G33" s="16">
        <f>IFERROR(G32/G14,"")</f>
        <v/>
      </c>
      <c r="H33" s="16">
        <f>IFERROR(H32/H14,"")</f>
        <v/>
      </c>
      <c r="I33" s="16">
        <f>IFERROR(I32/I14,"")</f>
        <v/>
      </c>
      <c r="J33" s="16">
        <f>IFERROR(J32/J14,"")</f>
        <v/>
      </c>
      <c r="K33" s="16">
        <f>IFERROR(K32/K14,"")</f>
        <v/>
      </c>
      <c r="M33" s="3" t="inlineStr">
        <is>
          <t>Computed</t>
        </is>
      </c>
      <c r="N33" s="13" t="inlineStr">
        <is>
          <t>Medium</t>
        </is>
      </c>
      <c r="O33" s="3" t="inlineStr">
        <is>
          <t>Low or negative conversion in the early years is the signature of an industry in heavy build-out - roughly 20 Mtpa a year of capacity at Rs 55,000/t is about Rs 1.1 lakh crore of growth capex annually.</t>
        </is>
      </c>
    </row>
    <row r="35">
      <c r="B35" s="30" t="inlineStr">
        <is>
          <t>This is an INDUSTRY aggregate. For a single-name DCF, substitute that company's volume, realisation spread, cost spread, capex programme and working capital, all of which are already isolated as separate lines in this workbook.</t>
        </is>
      </c>
    </row>
  </sheetData>
  <printOptions horizontalCentered="1"/>
  <pageMargins left="0.75" right="0.75" top="1" bottom="1" header="0.5" footer="0.5"/>
  <pageSetup orientation="landscape" fitToHeight="0" fitToWidth="1"/>
</worksheet>
</file>

<file path=xl/worksheets/sheet21.xml><?xml version="1.0" encoding="utf-8"?>
<worksheet xmlns="http://schemas.openxmlformats.org/spreadsheetml/2006/main">
  <sheetPr>
    <tabColor rgb="001F3864"/>
    <outlinePr summaryBelow="1" summaryRight="1"/>
    <pageSetUpPr fitToPage="1"/>
  </sheetPr>
  <dimension ref="A1:O28"/>
  <sheetViews>
    <sheetView showGridLines="0" workbookViewId="0">
      <selection activeCell="A1" sqref="A1"/>
    </sheetView>
  </sheetViews>
  <sheetFormatPr baseColWidth="8" defaultRowHeight="15"/>
  <cols>
    <col width="7" customWidth="1" min="1" max="1"/>
    <col width="52" customWidth="1" min="2" max="2"/>
    <col width="1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95" customWidth="1" min="15" max="15"/>
  </cols>
  <sheetData>
    <row r="1" ht="19" customHeight="1">
      <c r="B1" s="1" t="inlineStr">
        <is>
          <t>17  Capital Allocation</t>
        </is>
      </c>
    </row>
    <row r="2">
      <c r="B2" s="4" t="inlineStr">
        <is>
          <t>Industry Financial Model  |  Indian Steel Industry  |  Horizon FY2027E-FY2033E  |  Base year FY2026A  |  Built 03-Aug-2026</t>
        </is>
      </c>
    </row>
    <row r="3">
      <c r="B3" s="3" t="inlineStr"/>
    </row>
    <row r="4">
      <c r="B4" s="4" t="inlineStr">
        <is>
          <t>OBJECTIVE</t>
        </is>
      </c>
    </row>
    <row r="5">
      <c r="B5" s="3" t="inlineStr">
        <is>
          <t>Traces the industry balance sheet: capex funding, the net debt path and leverage against the covered producers' own stated caps.</t>
        </is>
      </c>
    </row>
    <row r="6">
      <c r="B6" s="4" t="inlineStr">
        <is>
          <t>METHODOLOGY</t>
        </is>
      </c>
    </row>
    <row r="7">
      <c r="B7" s="3" t="inlineStr">
        <is>
          <t>Net debt rolls forward from an FY2026 industry aggregate of Rs 1,85,001 cr - the sum of Tata Steel Rs 80,144 cr, JSW Steel Rs 53,870 cr, Jindal Steel Rs 16,019 cr, Jindal Stainless Rs 3,040 cr and SAIL's gross borrowings of Rs 31,928 cr used as a PROXY because SAIL's net debt is not disclosed in the database. Unlevered FCF is applied to debt reduction with no dividend or buyback modelled at industry level.</t>
        </is>
      </c>
    </row>
    <row r="8">
      <c r="B8" s="4" t="inlineStr">
        <is>
          <t>UNITS</t>
        </is>
      </c>
    </row>
    <row r="9">
      <c r="B9" s="3" t="inlineStr">
        <is>
          <t>Rs crore. Leverage in times.</t>
        </is>
      </c>
    </row>
    <row r="10">
      <c r="B10" s="4" t="inlineStr">
        <is>
          <t>DEPENDENCIES</t>
        </is>
      </c>
    </row>
    <row r="11">
      <c r="B11" s="3" t="inlineStr">
        <is>
          <t>Reads 16 Cash Flow and 13 EBITDA. Read by 23 Comparable Valuation and 25 Audit.</t>
        </is>
      </c>
    </row>
    <row r="12">
      <c r="B12" s="3" t="inlineStr"/>
    </row>
    <row r="13" ht="30" customHeight="1">
      <c r="A13" s="7" t="inlineStr"/>
      <c r="B13" s="8" t="inlineStr">
        <is>
          <t>Line item</t>
        </is>
      </c>
      <c r="C13" s="8" t="inlineStr">
        <is>
          <t>Unit</t>
        </is>
      </c>
      <c r="D13" s="7" t="inlineStr">
        <is>
          <t>FY2026A</t>
        </is>
      </c>
      <c r="E13" s="7" t="inlineStr">
        <is>
          <t>FY2027E</t>
        </is>
      </c>
      <c r="F13" s="7" t="inlineStr">
        <is>
          <t>FY2028E</t>
        </is>
      </c>
      <c r="G13" s="7" t="inlineStr">
        <is>
          <t>FY2029E</t>
        </is>
      </c>
      <c r="H13" s="7" t="inlineStr">
        <is>
          <t>FY2030E</t>
        </is>
      </c>
      <c r="I13" s="7" t="inlineStr">
        <is>
          <t>FY2031E</t>
        </is>
      </c>
      <c r="J13" s="7" t="inlineStr">
        <is>
          <t>FY2032E</t>
        </is>
      </c>
      <c r="K13" s="7" t="inlineStr">
        <is>
          <t>FY2033E</t>
        </is>
      </c>
      <c r="L13" s="7" t="inlineStr">
        <is>
          <t>CAGR</t>
        </is>
      </c>
      <c r="M13" s="8" t="inlineStr">
        <is>
          <t>Source</t>
        </is>
      </c>
      <c r="N13" s="7" t="inlineStr">
        <is>
          <t>Conf.</t>
        </is>
      </c>
      <c r="O13" s="8" t="inlineStr">
        <is>
          <t>Notes / methodology</t>
        </is>
      </c>
    </row>
    <row r="14">
      <c r="B14" s="10" t="inlineStr">
        <is>
          <t>Opening net debt</t>
        </is>
      </c>
      <c r="C14" s="11" t="inlineStr">
        <is>
          <t>Rs cr</t>
        </is>
      </c>
      <c r="E14" s="35">
        <f>D17</f>
        <v/>
      </c>
      <c r="F14" s="35">
        <f>E17</f>
        <v/>
      </c>
      <c r="G14" s="35">
        <f>F17</f>
        <v/>
      </c>
      <c r="H14" s="35">
        <f>G17</f>
        <v/>
      </c>
      <c r="I14" s="35">
        <f>H17</f>
        <v/>
      </c>
      <c r="J14" s="35">
        <f>I17</f>
        <v/>
      </c>
      <c r="K14" s="35">
        <f>J17</f>
        <v/>
      </c>
      <c r="M14" s="3" t="inlineStr">
        <is>
          <t>Computed</t>
        </is>
      </c>
      <c r="N14" s="13" t="inlineStr">
        <is>
          <t>Medium</t>
        </is>
      </c>
    </row>
    <row r="15">
      <c r="B15" s="10" t="inlineStr">
        <is>
          <t>Unlevered free cash flow</t>
        </is>
      </c>
      <c r="C15" s="11" t="inlineStr">
        <is>
          <t>Rs cr</t>
        </is>
      </c>
      <c r="E15" s="35">
        <f>'16 Cash Flow Model'!E$32</f>
        <v/>
      </c>
      <c r="F15" s="35">
        <f>'16 Cash Flow Model'!F$32</f>
        <v/>
      </c>
      <c r="G15" s="35">
        <f>'16 Cash Flow Model'!G$32</f>
        <v/>
      </c>
      <c r="H15" s="35">
        <f>'16 Cash Flow Model'!H$32</f>
        <v/>
      </c>
      <c r="I15" s="35">
        <f>'16 Cash Flow Model'!I$32</f>
        <v/>
      </c>
      <c r="J15" s="35">
        <f>'16 Cash Flow Model'!J$32</f>
        <v/>
      </c>
      <c r="K15" s="35">
        <f>'16 Cash Flow Model'!K$32</f>
        <v/>
      </c>
      <c r="M15" s="3" t="inlineStr">
        <is>
          <t>16 Cash Flow</t>
        </is>
      </c>
      <c r="N15" s="13" t="inlineStr">
        <is>
          <t>Medium</t>
        </is>
      </c>
    </row>
    <row r="16">
      <c r="B16" s="10" t="inlineStr">
        <is>
          <t>Interest paid (illustrative)</t>
        </is>
      </c>
      <c r="C16" s="11" t="inlineStr">
        <is>
          <t>Rs cr</t>
        </is>
      </c>
      <c r="E16" s="35">
        <f>E14*'02 Model Assumptions'!$D$168</f>
        <v/>
      </c>
      <c r="F16" s="35">
        <f>F14*'02 Model Assumptions'!$D$168</f>
        <v/>
      </c>
      <c r="G16" s="35">
        <f>G14*'02 Model Assumptions'!$D$168</f>
        <v/>
      </c>
      <c r="H16" s="35">
        <f>H14*'02 Model Assumptions'!$D$168</f>
        <v/>
      </c>
      <c r="I16" s="35">
        <f>I14*'02 Model Assumptions'!$D$168</f>
        <v/>
      </c>
      <c r="J16" s="35">
        <f>J14*'02 Model Assumptions'!$D$168</f>
        <v/>
      </c>
      <c r="K16" s="35">
        <f>K14*'02 Model Assumptions'!$D$168</f>
        <v/>
      </c>
      <c r="M16" s="3" t="inlineStr">
        <is>
          <t>Computed</t>
        </is>
      </c>
      <c r="N16" s="13" t="inlineStr">
        <is>
          <t>Medium</t>
        </is>
      </c>
      <c r="O16" s="3" t="inlineStr">
        <is>
          <t>Opening net debt at the pre-tax cost of debt of 7.44% from the WACC build-up. Illustrative: actual coupons differ by issuer and by instrument.</t>
        </is>
      </c>
    </row>
    <row r="17">
      <c r="B17" s="26" t="inlineStr">
        <is>
          <t>Closing net debt</t>
        </is>
      </c>
      <c r="C17" s="11" t="inlineStr">
        <is>
          <t>Rs cr</t>
        </is>
      </c>
      <c r="D17" s="29" t="n">
        <v>185001</v>
      </c>
      <c r="E17" s="29">
        <f>E14-E15+E16</f>
        <v/>
      </c>
      <c r="F17" s="29">
        <f>F14-F15+F16</f>
        <v/>
      </c>
      <c r="G17" s="29">
        <f>G14-G15+G16</f>
        <v/>
      </c>
      <c r="H17" s="29">
        <f>H14-H15+H16</f>
        <v/>
      </c>
      <c r="I17" s="29">
        <f>I14-I15+I16</f>
        <v/>
      </c>
      <c r="J17" s="29">
        <f>J14-J15+J16</f>
        <v/>
      </c>
      <c r="K17" s="29">
        <f>K14-K15+K16</f>
        <v/>
      </c>
      <c r="M17" s="3" t="inlineStr">
        <is>
          <t>Master DB (aggregate)</t>
        </is>
      </c>
      <c r="N17" s="13" t="inlineStr">
        <is>
          <t>Medium</t>
        </is>
      </c>
      <c r="O17" s="3" t="inlineStr">
        <is>
          <t>FY2026A of Rs 1,85,001 cr. Note SAIL is a gross-borrowings proxy, so the aggregate is overstated by SAIL's cash balance, which the database does not disclose.</t>
        </is>
      </c>
    </row>
    <row r="19">
      <c r="B19" s="5" t="inlineStr">
        <is>
          <t>LEVERAGE</t>
        </is>
      </c>
    </row>
    <row r="20">
      <c r="B20" s="10" t="inlineStr">
        <is>
          <t>Industry EBITDA</t>
        </is>
      </c>
      <c r="C20" s="11" t="inlineStr">
        <is>
          <t>Rs cr</t>
        </is>
      </c>
      <c r="D20" s="35" t="n">
        <v>172736.902</v>
      </c>
      <c r="E20" s="35">
        <f>'13 EBITDA Model'!E$18</f>
        <v/>
      </c>
      <c r="F20" s="35">
        <f>'13 EBITDA Model'!F$18</f>
        <v/>
      </c>
      <c r="G20" s="35">
        <f>'13 EBITDA Model'!G$18</f>
        <v/>
      </c>
      <c r="H20" s="35">
        <f>'13 EBITDA Model'!H$18</f>
        <v/>
      </c>
      <c r="I20" s="35">
        <f>'13 EBITDA Model'!I$18</f>
        <v/>
      </c>
      <c r="J20" s="35">
        <f>'13 EBITDA Model'!J$18</f>
        <v/>
      </c>
      <c r="K20" s="35">
        <f>'13 EBITDA Model'!K$18</f>
        <v/>
      </c>
      <c r="M20" s="3" t="inlineStr">
        <is>
          <t>13 EBITDA</t>
        </is>
      </c>
      <c r="N20" s="13" t="inlineStr">
        <is>
          <t>Medium</t>
        </is>
      </c>
    </row>
    <row r="21">
      <c r="B21" s="26" t="inlineStr">
        <is>
          <t>Net debt / EBITDA</t>
        </is>
      </c>
      <c r="C21" s="11" t="inlineStr">
        <is>
          <t>x</t>
        </is>
      </c>
      <c r="D21" s="48" t="n">
        <v>1.070998714565345</v>
      </c>
      <c r="E21" s="48">
        <f>IFERROR(E17/E20,"")</f>
        <v/>
      </c>
      <c r="F21" s="48">
        <f>IFERROR(F17/F20,"")</f>
        <v/>
      </c>
      <c r="G21" s="48">
        <f>IFERROR(G17/G20,"")</f>
        <v/>
      </c>
      <c r="H21" s="48">
        <f>IFERROR(H17/H20,"")</f>
        <v/>
      </c>
      <c r="I21" s="48">
        <f>IFERROR(I17/I20,"")</f>
        <v/>
      </c>
      <c r="J21" s="48">
        <f>IFERROR(J17/J20,"")</f>
        <v/>
      </c>
      <c r="K21" s="48">
        <f>IFERROR(K17/K20,"")</f>
        <v/>
      </c>
      <c r="M21" s="3" t="inlineStr">
        <is>
          <t>Computed</t>
        </is>
      </c>
      <c r="N21" s="13" t="inlineStr">
        <is>
          <t>Medium</t>
        </is>
      </c>
      <c r="O21" s="3" t="inlineStr">
        <is>
          <t>Benchmark against the producers' own stated caps from the database: JSW Steel revised its cap down from 3.75x to 3.00x and achieved 1.81x at Mar-2026; Jindal Steel 1.66x; Jindal Stainless 0.55x; Tata Steel 2.3x.</t>
        </is>
      </c>
    </row>
    <row r="22">
      <c r="B22" s="10" t="inlineStr">
        <is>
          <t>Leverage covenant headroom vs 3.0x</t>
        </is>
      </c>
      <c r="C22" s="11" t="inlineStr">
        <is>
          <t>x</t>
        </is>
      </c>
      <c r="E22" s="33">
        <f>3-E21</f>
        <v/>
      </c>
      <c r="F22" s="33">
        <f>3-F21</f>
        <v/>
      </c>
      <c r="G22" s="33">
        <f>3-G21</f>
        <v/>
      </c>
      <c r="H22" s="33">
        <f>3-H21</f>
        <v/>
      </c>
      <c r="I22" s="33">
        <f>3-I21</f>
        <v/>
      </c>
      <c r="J22" s="33">
        <f>3-J21</f>
        <v/>
      </c>
      <c r="K22" s="33">
        <f>3-K21</f>
        <v/>
      </c>
      <c r="M22" s="3" t="inlineStr">
        <is>
          <t>Computed</t>
        </is>
      </c>
      <c r="N22" s="13" t="inlineStr">
        <is>
          <t>Medium</t>
        </is>
      </c>
      <c r="O22" s="3" t="inlineStr">
        <is>
          <t>Against JSW Steel's revised stated cap of 3.00x, the tightest publicly stated cap among the covered producers. Negative means the industry aggregate would breach it.</t>
        </is>
      </c>
    </row>
    <row r="24">
      <c r="B24" s="5" t="inlineStr">
        <is>
          <t>CUMULATIVE CAPITAL DEPLOYED</t>
        </is>
      </c>
    </row>
    <row r="25">
      <c r="B25" s="10" t="inlineStr">
        <is>
          <t>Total capex</t>
        </is>
      </c>
      <c r="C25" s="11" t="inlineStr">
        <is>
          <t>Rs cr</t>
        </is>
      </c>
      <c r="E25" s="35">
        <f>'16 Cash Flow Model'!E$28</f>
        <v/>
      </c>
      <c r="F25" s="35">
        <f>'16 Cash Flow Model'!F$28</f>
        <v/>
      </c>
      <c r="G25" s="35">
        <f>'16 Cash Flow Model'!G$28</f>
        <v/>
      </c>
      <c r="H25" s="35">
        <f>'16 Cash Flow Model'!H$28</f>
        <v/>
      </c>
      <c r="I25" s="35">
        <f>'16 Cash Flow Model'!I$28</f>
        <v/>
      </c>
      <c r="J25" s="35">
        <f>'16 Cash Flow Model'!J$28</f>
        <v/>
      </c>
      <c r="K25" s="35">
        <f>'16 Cash Flow Model'!K$28</f>
        <v/>
      </c>
      <c r="M25" s="3" t="inlineStr">
        <is>
          <t>16 Cash Flow</t>
        </is>
      </c>
      <c r="N25" s="13" t="inlineStr">
        <is>
          <t>Medium</t>
        </is>
      </c>
    </row>
    <row r="26">
      <c r="B26" s="26" t="inlineStr">
        <is>
          <t>Cumulative capex FY2027E onwards</t>
        </is>
      </c>
      <c r="C26" s="11" t="inlineStr">
        <is>
          <t>Rs cr</t>
        </is>
      </c>
      <c r="D26" s="29" t="n">
        <v>0</v>
      </c>
      <c r="E26" s="29">
        <f>D26+E25</f>
        <v/>
      </c>
      <c r="F26" s="29">
        <f>E26+F25</f>
        <v/>
      </c>
      <c r="G26" s="29">
        <f>F26+G25</f>
        <v/>
      </c>
      <c r="H26" s="29">
        <f>G26+H25</f>
        <v/>
      </c>
      <c r="I26" s="29">
        <f>H26+I25</f>
        <v/>
      </c>
      <c r="J26" s="29">
        <f>I26+J25</f>
        <v/>
      </c>
      <c r="K26" s="29">
        <f>J26+K25</f>
        <v/>
      </c>
      <c r="M26" s="3" t="inlineStr">
        <is>
          <t>Computed</t>
        </is>
      </c>
      <c r="N26" s="13" t="inlineStr">
        <is>
          <t>Medium</t>
        </is>
      </c>
      <c r="O26" s="3" t="inlineStr">
        <is>
          <t>The scale of the capital call on this industry over the horizon. For context the database records Jindal Steel's cumulative capex at Rs 40,450 cr through FY2026 and JSW Steel carrying forward Rs 96,888 cr of approved capex at 1-Apr-2026.</t>
        </is>
      </c>
    </row>
    <row r="28">
      <c r="B28" s="30" t="inlineStr">
        <is>
          <t>No dividend or buyback is modelled at industry level. The database records FY2026 dividends of Rs 4.00 per share at Tata Steel, Rs 7.10 at JSW Steel, Rs 2.35 at SAIL, Rs 2.00 at Jindal Steel and Rs 4.00 at Jindal Stainless; add them in single-name models.</t>
        </is>
      </c>
    </row>
  </sheetData>
  <printOptions horizontalCentered="1"/>
  <pageMargins left="0.75" right="0.75" top="1" bottom="1" header="0.5" footer="0.5"/>
  <pageSetup orientation="landscape" fitToHeight="0" fitToWidth="1"/>
</worksheet>
</file>

<file path=xl/worksheets/sheet22.xml><?xml version="1.0" encoding="utf-8"?>
<worksheet xmlns="http://schemas.openxmlformats.org/spreadsheetml/2006/main">
  <sheetPr>
    <tabColor rgb="001F3864"/>
    <outlinePr summaryBelow="1" summaryRight="1"/>
    <pageSetUpPr fitToPage="1"/>
  </sheetPr>
  <dimension ref="A1:O27"/>
  <sheetViews>
    <sheetView showGridLines="0" workbookViewId="0">
      <selection activeCell="A1" sqref="A1"/>
    </sheetView>
  </sheetViews>
  <sheetFormatPr baseColWidth="8" defaultRowHeight="15"/>
  <cols>
    <col width="7" customWidth="1" min="1" max="1"/>
    <col width="52" customWidth="1" min="2" max="2"/>
    <col width="1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95" customWidth="1" min="15" max="15"/>
  </cols>
  <sheetData>
    <row r="1" ht="19" customHeight="1">
      <c r="B1" s="1" t="inlineStr">
        <is>
          <t>18  Industry Cycle Model</t>
        </is>
      </c>
    </row>
    <row r="2">
      <c r="B2" s="4" t="inlineStr">
        <is>
          <t>Industry Financial Model  |  Indian Steel Industry  |  Horizon FY2027E-FY2033E  |  Base year FY2026A  |  Built 03-Aug-2026</t>
        </is>
      </c>
    </row>
    <row r="3">
      <c r="B3" s="3" t="inlineStr"/>
    </row>
    <row r="4">
      <c r="B4" s="4" t="inlineStr">
        <is>
          <t>OBJECTIVE</t>
        </is>
      </c>
    </row>
    <row r="5">
      <c r="B5" s="3" t="inlineStr">
        <is>
          <t>Positions each forecast year in the industry cycle, so that a valuation is not struck on a peak or trough year by accident.</t>
        </is>
      </c>
    </row>
    <row r="6">
      <c r="B6" s="4" t="inlineStr">
        <is>
          <t>METHODOLOGY</t>
        </is>
      </c>
    </row>
    <row r="7">
      <c r="B7" s="3" t="inlineStr">
        <is>
          <t>Two independent cycle indicators are used: the utilisation gap against normal utilisation of 80%, and the margin gap against the mid-cycle margin. Mid-cycle margin is computed as the average of the observed FY2022 peak of 26% and the FY2024 trough of 13%, giving 19.5% - close to the FY2026 actual of 17.9%, which is reassuring. A composite score classifies each year.</t>
        </is>
      </c>
    </row>
    <row r="8">
      <c r="B8" s="4" t="inlineStr">
        <is>
          <t>UNITS</t>
        </is>
      </c>
    </row>
    <row r="9">
      <c r="B9" s="3" t="inlineStr">
        <is>
          <t>Percentages as decimals and percentage points.</t>
        </is>
      </c>
    </row>
    <row r="10">
      <c r="B10" s="4" t="inlineStr">
        <is>
          <t>DEPENDENCIES</t>
        </is>
      </c>
    </row>
    <row r="11">
      <c r="B11" s="3" t="inlineStr">
        <is>
          <t>Reads 08 Utilisation and 14 Margin. Read by 23 Valuation and 24 Dashboard.</t>
        </is>
      </c>
    </row>
    <row r="12">
      <c r="B12" s="3" t="inlineStr"/>
    </row>
    <row r="13" ht="30" customHeight="1">
      <c r="A13" s="7" t="inlineStr"/>
      <c r="B13" s="8" t="inlineStr">
        <is>
          <t>Line item</t>
        </is>
      </c>
      <c r="C13" s="8" t="inlineStr">
        <is>
          <t>Unit</t>
        </is>
      </c>
      <c r="D13" s="7" t="inlineStr">
        <is>
          <t>FY2026A</t>
        </is>
      </c>
      <c r="E13" s="7" t="inlineStr">
        <is>
          <t>FY2027E</t>
        </is>
      </c>
      <c r="F13" s="7" t="inlineStr">
        <is>
          <t>FY2028E</t>
        </is>
      </c>
      <c r="G13" s="7" t="inlineStr">
        <is>
          <t>FY2029E</t>
        </is>
      </c>
      <c r="H13" s="7" t="inlineStr">
        <is>
          <t>FY2030E</t>
        </is>
      </c>
      <c r="I13" s="7" t="inlineStr">
        <is>
          <t>FY2031E</t>
        </is>
      </c>
      <c r="J13" s="7" t="inlineStr">
        <is>
          <t>FY2032E</t>
        </is>
      </c>
      <c r="K13" s="7" t="inlineStr">
        <is>
          <t>FY2033E</t>
        </is>
      </c>
      <c r="L13" s="7" t="inlineStr">
        <is>
          <t>CAGR</t>
        </is>
      </c>
      <c r="M13" s="8" t="inlineStr">
        <is>
          <t>Source</t>
        </is>
      </c>
      <c r="N13" s="7" t="inlineStr">
        <is>
          <t>Conf.</t>
        </is>
      </c>
      <c r="O13" s="8" t="inlineStr">
        <is>
          <t>Notes / methodology</t>
        </is>
      </c>
    </row>
    <row r="14">
      <c r="B14" s="10" t="inlineStr">
        <is>
          <t>Capacity utilisation</t>
        </is>
      </c>
      <c r="C14" s="11" t="inlineStr">
        <is>
          <t>%</t>
        </is>
      </c>
      <c r="D14" s="16" t="n">
        <v>0.7641560798548094</v>
      </c>
      <c r="E14" s="16">
        <f>'08 Capacity Utilisation'!E$16</f>
        <v/>
      </c>
      <c r="F14" s="16">
        <f>'08 Capacity Utilisation'!F$16</f>
        <v/>
      </c>
      <c r="G14" s="16">
        <f>'08 Capacity Utilisation'!G$16</f>
        <v/>
      </c>
      <c r="H14" s="16">
        <f>'08 Capacity Utilisation'!H$16</f>
        <v/>
      </c>
      <c r="I14" s="16">
        <f>'08 Capacity Utilisation'!I$16</f>
        <v/>
      </c>
      <c r="J14" s="16">
        <f>'08 Capacity Utilisation'!J$16</f>
        <v/>
      </c>
      <c r="K14" s="16">
        <f>'08 Capacity Utilisation'!K$16</f>
        <v/>
      </c>
      <c r="M14" s="3" t="inlineStr">
        <is>
          <t>08 Utilisation</t>
        </is>
      </c>
      <c r="N14" s="13" t="inlineStr">
        <is>
          <t>High</t>
        </is>
      </c>
    </row>
    <row r="15">
      <c r="B15" s="10" t="inlineStr">
        <is>
          <t>Utilisation gap vs normal (80%)</t>
        </is>
      </c>
      <c r="C15" s="11" t="inlineStr">
        <is>
          <t>ppt</t>
        </is>
      </c>
      <c r="D15" s="16" t="n">
        <v>-0.03584392014519067</v>
      </c>
      <c r="E15" s="16">
        <f>'08 Capacity Utilisation'!E$18</f>
        <v/>
      </c>
      <c r="F15" s="16">
        <f>'08 Capacity Utilisation'!F$18</f>
        <v/>
      </c>
      <c r="G15" s="16">
        <f>'08 Capacity Utilisation'!G$18</f>
        <v/>
      </c>
      <c r="H15" s="16">
        <f>'08 Capacity Utilisation'!H$18</f>
        <v/>
      </c>
      <c r="I15" s="16">
        <f>'08 Capacity Utilisation'!I$18</f>
        <v/>
      </c>
      <c r="J15" s="16">
        <f>'08 Capacity Utilisation'!J$18</f>
        <v/>
      </c>
      <c r="K15" s="16">
        <f>'08 Capacity Utilisation'!K$18</f>
        <v/>
      </c>
      <c r="M15" s="3" t="inlineStr">
        <is>
          <t>08 Utilisation</t>
        </is>
      </c>
      <c r="N15" s="13" t="inlineStr">
        <is>
          <t>High</t>
        </is>
      </c>
    </row>
    <row r="16">
      <c r="B16" s="10" t="inlineStr">
        <is>
          <t>Industry EBITDA margin</t>
        </is>
      </c>
      <c r="C16" s="11" t="inlineStr">
        <is>
          <t>%</t>
        </is>
      </c>
      <c r="D16" s="16" t="n">
        <v>0.1789608830493214</v>
      </c>
      <c r="E16" s="16">
        <f>'14 Margin Analysis'!E$17</f>
        <v/>
      </c>
      <c r="F16" s="16">
        <f>'14 Margin Analysis'!F$17</f>
        <v/>
      </c>
      <c r="G16" s="16">
        <f>'14 Margin Analysis'!G$17</f>
        <v/>
      </c>
      <c r="H16" s="16">
        <f>'14 Margin Analysis'!H$17</f>
        <v/>
      </c>
      <c r="I16" s="16">
        <f>'14 Margin Analysis'!I$17</f>
        <v/>
      </c>
      <c r="J16" s="16">
        <f>'14 Margin Analysis'!J$17</f>
        <v/>
      </c>
      <c r="K16" s="16">
        <f>'14 Margin Analysis'!K$17</f>
        <v/>
      </c>
      <c r="M16" s="3" t="inlineStr">
        <is>
          <t>14 Margin</t>
        </is>
      </c>
      <c r="N16" s="13" t="inlineStr">
        <is>
          <t>Medium</t>
        </is>
      </c>
    </row>
    <row r="17">
      <c r="B17" s="10" t="inlineStr">
        <is>
          <t>Mid-cycle margin</t>
        </is>
      </c>
      <c r="C17" s="11" t="inlineStr">
        <is>
          <t>%</t>
        </is>
      </c>
      <c r="D17" s="16" t="n">
        <v>0.195</v>
      </c>
      <c r="E17" s="16" t="n">
        <v>0.195</v>
      </c>
      <c r="F17" s="16" t="n">
        <v>0.195</v>
      </c>
      <c r="G17" s="16" t="n">
        <v>0.195</v>
      </c>
      <c r="H17" s="16" t="n">
        <v>0.195</v>
      </c>
      <c r="I17" s="16" t="n">
        <v>0.195</v>
      </c>
      <c r="J17" s="16" t="n">
        <v>0.195</v>
      </c>
      <c r="K17" s="16" t="n">
        <v>0.195</v>
      </c>
      <c r="M17" s="3" t="inlineStr">
        <is>
          <t>Derived from Master DB</t>
        </is>
      </c>
      <c r="N17" s="13" t="inlineStr">
        <is>
          <t>Medium</t>
        </is>
      </c>
      <c r="O17" s="3" t="inlineStr">
        <is>
          <t>Average of the observed FY2022 peak (26%) and FY2024 trough (13%). Close to the FY2026 actual of 17.9%, which supports the calibration.</t>
        </is>
      </c>
    </row>
    <row r="18">
      <c r="B18" s="10" t="inlineStr">
        <is>
          <t>Margin gap vs mid-cycle</t>
        </is>
      </c>
      <c r="C18" s="11" t="inlineStr">
        <is>
          <t>ppt</t>
        </is>
      </c>
      <c r="E18" s="16">
        <f>E16-E17</f>
        <v/>
      </c>
      <c r="F18" s="16">
        <f>F16-F17</f>
        <v/>
      </c>
      <c r="G18" s="16">
        <f>G16-G17</f>
        <v/>
      </c>
      <c r="H18" s="16">
        <f>H16-H17</f>
        <v/>
      </c>
      <c r="I18" s="16">
        <f>I16-I17</f>
        <v/>
      </c>
      <c r="J18" s="16">
        <f>J16-J17</f>
        <v/>
      </c>
      <c r="K18" s="16">
        <f>K16-K17</f>
        <v/>
      </c>
      <c r="M18" s="3" t="inlineStr">
        <is>
          <t>Computed</t>
        </is>
      </c>
      <c r="N18" s="13" t="inlineStr">
        <is>
          <t>Medium</t>
        </is>
      </c>
    </row>
    <row r="19">
      <c r="B19" s="26" t="inlineStr">
        <is>
          <t>CYCLE POSITION</t>
        </is>
      </c>
      <c r="C19" s="11" t="inlineStr">
        <is>
          <t>classification</t>
        </is>
      </c>
      <c r="E19" s="49">
        <f>IF(E18&gt;0.04,"PEAK",IF(E18&gt;0.015,"LATE UPCYCLE",IF(E18&lt;-0.05,"TROUGH",IF(E18&lt;-0.02,"DOWNCYCLE","MID-CYCLE"))))</f>
        <v/>
      </c>
      <c r="F19" s="49">
        <f>IF(F18&gt;0.04,"PEAK",IF(F18&gt;0.015,"LATE UPCYCLE",IF(F18&lt;-0.05,"TROUGH",IF(F18&lt;-0.02,"DOWNCYCLE","MID-CYCLE"))))</f>
        <v/>
      </c>
      <c r="G19" s="49">
        <f>IF(G18&gt;0.04,"PEAK",IF(G18&gt;0.015,"LATE UPCYCLE",IF(G18&lt;-0.05,"TROUGH",IF(G18&lt;-0.02,"DOWNCYCLE","MID-CYCLE"))))</f>
        <v/>
      </c>
      <c r="H19" s="49">
        <f>IF(H18&gt;0.04,"PEAK",IF(H18&gt;0.015,"LATE UPCYCLE",IF(H18&lt;-0.05,"TROUGH",IF(H18&lt;-0.02,"DOWNCYCLE","MID-CYCLE"))))</f>
        <v/>
      </c>
      <c r="I19" s="49">
        <f>IF(I18&gt;0.04,"PEAK",IF(I18&gt;0.015,"LATE UPCYCLE",IF(I18&lt;-0.05,"TROUGH",IF(I18&lt;-0.02,"DOWNCYCLE","MID-CYCLE"))))</f>
        <v/>
      </c>
      <c r="J19" s="49">
        <f>IF(J18&gt;0.04,"PEAK",IF(J18&gt;0.015,"LATE UPCYCLE",IF(J18&lt;-0.05,"TROUGH",IF(J18&lt;-0.02,"DOWNCYCLE","MID-CYCLE"))))</f>
        <v/>
      </c>
      <c r="K19" s="49">
        <f>IF(K18&gt;0.04,"PEAK",IF(K18&gt;0.015,"LATE UPCYCLE",IF(K18&lt;-0.05,"TROUGH",IF(K18&lt;-0.02,"DOWNCYCLE","MID-CYCLE"))))</f>
        <v/>
      </c>
      <c r="M19" s="3" t="inlineStr">
        <is>
          <t>Computed</t>
        </is>
      </c>
      <c r="N19" s="13" t="inlineStr">
        <is>
          <t>Medium</t>
        </is>
      </c>
      <c r="O19" s="3" t="inlineStr">
        <is>
          <t>Classified on the margin gap: above +4ppt peak, +1.5 to +4ppt late upcycle, -2 to +1.5ppt mid-cycle, -2 to -5ppt downcycle, below -5ppt trough.</t>
        </is>
      </c>
    </row>
    <row r="21">
      <c r="B21" s="5" t="inlineStr">
        <is>
          <t>OBSERVED CYCLE CHRONOLOGY (Master Database)</t>
        </is>
      </c>
    </row>
    <row r="22">
      <c r="B22" s="10" t="inlineStr">
        <is>
          <t>FY2022 - cycle peak</t>
        </is>
      </c>
      <c r="C22" s="11" t="inlineStr">
        <is>
          <t>%</t>
        </is>
      </c>
      <c r="D22" s="16" t="n">
        <v>0.26</v>
      </c>
      <c r="M22" s="3" t="inlineStr">
        <is>
          <t>Master DB</t>
        </is>
      </c>
      <c r="N22" s="13" t="inlineStr">
        <is>
          <t>High</t>
        </is>
      </c>
      <c r="O22" s="3" t="inlineStr">
        <is>
          <t>Industry margin roughly 24-26%. Coking coal spiked but was passed through, so margins were at RECORD highs - the key evidence that a cost spike is not automatically margin-negative.</t>
        </is>
      </c>
    </row>
    <row r="23">
      <c r="B23" s="10" t="inlineStr">
        <is>
          <t>FY2024 - cycle trough</t>
        </is>
      </c>
      <c r="C23" s="11" t="inlineStr">
        <is>
          <t>%</t>
        </is>
      </c>
      <c r="D23" s="16" t="n">
        <v>0.13</v>
      </c>
      <c r="M23" s="3" t="inlineStr">
        <is>
          <t>Master DB</t>
        </is>
      </c>
      <c r="N23" s="13" t="inlineStr">
        <is>
          <t>High</t>
        </is>
      </c>
      <c r="O23" s="3" t="inlineStr">
        <is>
          <t>Four years peak to trough.</t>
        </is>
      </c>
    </row>
    <row r="24">
      <c r="B24" s="10" t="inlineStr">
        <is>
          <t>FY2026 - recovery</t>
        </is>
      </c>
      <c r="C24" s="11" t="inlineStr">
        <is>
          <t>%</t>
        </is>
      </c>
      <c r="D24" s="16" t="n">
        <v>0.1789608830493214</v>
      </c>
      <c r="M24" s="3" t="inlineStr">
        <is>
          <t>Master DB</t>
        </is>
      </c>
      <c r="N24" s="13" t="inlineStr">
        <is>
          <t>High</t>
        </is>
      </c>
      <c r="O24" s="3" t="inlineStr">
        <is>
          <t>Aided by the safeguard duty, which lifted domestic HRC roughly 25% between early Dec-2025 and end-Mar-2026.</t>
        </is>
      </c>
    </row>
    <row r="25">
      <c r="B25" s="10" t="inlineStr">
        <is>
          <t>Implied full cycle length</t>
        </is>
      </c>
      <c r="C25" s="11" t="inlineStr">
        <is>
          <t>years</t>
        </is>
      </c>
      <c r="D25" s="40" t="n">
        <v>7.5</v>
      </c>
      <c r="M25" s="3" t="inlineStr">
        <is>
          <t>Master DB</t>
        </is>
      </c>
      <c r="N25" s="13" t="inlineStr">
        <is>
          <t>High</t>
        </is>
      </c>
      <c r="O25" s="3" t="inlineStr">
        <is>
          <t>Roughly 7 to 8 years on a 4-year peak-to-trough leg. This is the quantitative basis for the 7-year horizon: the forecast average is approximately cycle-neutral.</t>
        </is>
      </c>
    </row>
    <row r="27">
      <c r="B27" s="30" t="inlineStr">
        <is>
          <t>Use the cycle position row when selecting an exit multiple. Applying a mid-cycle multiple to a peak-year EBITDA is the most common way to overvalue a steel company.</t>
        </is>
      </c>
    </row>
  </sheetData>
  <printOptions horizontalCentered="1"/>
  <pageMargins left="0.75" right="0.75" top="1" bottom="1" header="0.5" footer="0.5"/>
  <pageSetup orientation="landscape" fitToHeight="0" fitToWidth="1"/>
</worksheet>
</file>

<file path=xl/worksheets/sheet23.xml><?xml version="1.0" encoding="utf-8"?>
<worksheet xmlns="http://schemas.openxmlformats.org/spreadsheetml/2006/main">
  <sheetPr>
    <tabColor rgb="001F3864"/>
    <outlinePr summaryBelow="1" summaryRight="1"/>
    <pageSetUpPr fitToPage="1"/>
  </sheetPr>
  <dimension ref="A1:O30"/>
  <sheetViews>
    <sheetView showGridLines="0" workbookViewId="0">
      <selection activeCell="A1" sqref="A1"/>
    </sheetView>
  </sheetViews>
  <sheetFormatPr baseColWidth="8" defaultRowHeight="15"/>
  <cols>
    <col width="7" customWidth="1" min="1" max="1"/>
    <col width="52" customWidth="1" min="2" max="2"/>
    <col width="1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95" customWidth="1" min="15" max="15"/>
  </cols>
  <sheetData>
    <row r="1" ht="19" customHeight="1">
      <c r="B1" s="1" t="inlineStr">
        <is>
          <t>19  Trade Model</t>
        </is>
      </c>
    </row>
    <row r="2">
      <c r="B2" s="4" t="inlineStr">
        <is>
          <t>Industry Financial Model  |  Indian Steel Industry  |  Horizon FY2027E-FY2033E  |  Base year FY2026A  |  Built 03-Aug-2026</t>
        </is>
      </c>
    </row>
    <row r="3">
      <c r="B3" s="3" t="inlineStr"/>
    </row>
    <row r="4">
      <c r="B4" s="4" t="inlineStr">
        <is>
          <t>OBJECTIVE</t>
        </is>
      </c>
    </row>
    <row r="5">
      <c r="B5" s="3" t="inlineStr">
        <is>
          <t>Forecasts imports, exports and the net trade position, and the penetration ratios that determine whether domestic prices set at import or export parity.</t>
        </is>
      </c>
    </row>
    <row r="6">
      <c r="B6" s="4" t="inlineStr">
        <is>
          <t>METHODOLOGY</t>
        </is>
      </c>
    </row>
    <row r="7">
      <c r="B7" s="3" t="inlineStr">
        <is>
          <t>Imports are a scenario driver plus any shortfall routed from 05 Steel Supply when the capacity ceiling binds. Exports are derived as the import driver plus net exports, so the two trade drivers are internally consistent by construction and cannot drift apart. Scenario signs are deliberately counter-intuitive and are explained on the rows.</t>
        </is>
      </c>
    </row>
    <row r="8">
      <c r="B8" s="4" t="inlineStr">
        <is>
          <t>UNITS</t>
        </is>
      </c>
    </row>
    <row r="9">
      <c r="B9" s="3" t="inlineStr">
        <is>
          <t>Mt. Percentages as decimals.</t>
        </is>
      </c>
    </row>
    <row r="10">
      <c r="B10" s="4" t="inlineStr">
        <is>
          <t>DEPENDENCIES</t>
        </is>
      </c>
    </row>
    <row r="11">
      <c r="B11" s="3" t="inlineStr">
        <is>
          <t>Reads 02 Assumptions, 04 Demand, 05 Supply. Read by 24 Dashboard.</t>
        </is>
      </c>
    </row>
    <row r="12">
      <c r="B12" s="3" t="inlineStr"/>
    </row>
    <row r="13" ht="30" customHeight="1">
      <c r="A13" s="7" t="inlineStr"/>
      <c r="B13" s="8" t="inlineStr">
        <is>
          <t>Line item</t>
        </is>
      </c>
      <c r="C13" s="8" t="inlineStr">
        <is>
          <t>Unit</t>
        </is>
      </c>
      <c r="D13" s="7" t="inlineStr">
        <is>
          <t>FY2026A</t>
        </is>
      </c>
      <c r="E13" s="7" t="inlineStr">
        <is>
          <t>FY2027E</t>
        </is>
      </c>
      <c r="F13" s="7" t="inlineStr">
        <is>
          <t>FY2028E</t>
        </is>
      </c>
      <c r="G13" s="7" t="inlineStr">
        <is>
          <t>FY2029E</t>
        </is>
      </c>
      <c r="H13" s="7" t="inlineStr">
        <is>
          <t>FY2030E</t>
        </is>
      </c>
      <c r="I13" s="7" t="inlineStr">
        <is>
          <t>FY2031E</t>
        </is>
      </c>
      <c r="J13" s="7" t="inlineStr">
        <is>
          <t>FY2032E</t>
        </is>
      </c>
      <c r="K13" s="7" t="inlineStr">
        <is>
          <t>FY2033E</t>
        </is>
      </c>
      <c r="L13" s="7" t="inlineStr">
        <is>
          <t>CAGR</t>
        </is>
      </c>
      <c r="M13" s="8" t="inlineStr">
        <is>
          <t>Source</t>
        </is>
      </c>
      <c r="N13" s="7" t="inlineStr">
        <is>
          <t>Conf.</t>
        </is>
      </c>
      <c r="O13" s="8" t="inlineStr">
        <is>
          <t>Notes / methodology</t>
        </is>
      </c>
    </row>
    <row r="14">
      <c r="B14" s="10" t="inlineStr">
        <is>
          <t>Finished steel imports - driver</t>
        </is>
      </c>
      <c r="C14" s="11" t="inlineStr">
        <is>
          <t>Mt</t>
        </is>
      </c>
      <c r="D14" s="34" t="n">
        <v>6.524</v>
      </c>
      <c r="E14" s="34" t="inlineStr">
        <is>
          <t>'02 Model Assumptions'!E$142</t>
        </is>
      </c>
      <c r="F14" s="34" t="inlineStr">
        <is>
          <t>'02 Model Assumptions'!F$142</t>
        </is>
      </c>
      <c r="G14" s="34" t="inlineStr">
        <is>
          <t>'02 Model Assumptions'!G$142</t>
        </is>
      </c>
      <c r="H14" s="34" t="inlineStr">
        <is>
          <t>'02 Model Assumptions'!H$142</t>
        </is>
      </c>
      <c r="I14" s="34" t="inlineStr">
        <is>
          <t>'02 Model Assumptions'!I$142</t>
        </is>
      </c>
      <c r="J14" s="34" t="inlineStr">
        <is>
          <t>'02 Model Assumptions'!J$142</t>
        </is>
      </c>
      <c r="K14" s="34" t="inlineStr">
        <is>
          <t>'02 Model Assumptions'!K$142</t>
        </is>
      </c>
      <c r="M14" s="3" t="inlineStr">
        <is>
          <t>Derived from Master DB</t>
        </is>
      </c>
      <c r="N14" s="13" t="inlineStr">
        <is>
          <t>Medium</t>
        </is>
      </c>
      <c r="O14" s="3" t="inlineStr">
        <is>
          <t>FY2026A of 6.524 Mt, down 31.7% from 9.551 Mt as the safeguard duty bit. NOTE THE SCENARIO SIGNS: the BULL case carries HIGHER imports because strong demand pulls material in; the BEAR case carries LOWER imports because weak demand makes imports uncompetitive.</t>
        </is>
      </c>
    </row>
    <row r="15">
      <c r="B15" s="10" t="inlineStr">
        <is>
          <t>Shortfall routed from supply ceiling</t>
        </is>
      </c>
      <c r="C15" s="11" t="inlineStr">
        <is>
          <t>Mt</t>
        </is>
      </c>
      <c r="D15" s="34" t="n">
        <v>0</v>
      </c>
      <c r="E15" s="34">
        <f>'05 Steel Supply Model'!E$28</f>
        <v/>
      </c>
      <c r="F15" s="34">
        <f>'05 Steel Supply Model'!F$28</f>
        <v/>
      </c>
      <c r="G15" s="34">
        <f>'05 Steel Supply Model'!G$28</f>
        <v/>
      </c>
      <c r="H15" s="34">
        <f>'05 Steel Supply Model'!H$28</f>
        <v/>
      </c>
      <c r="I15" s="34">
        <f>'05 Steel Supply Model'!I$28</f>
        <v/>
      </c>
      <c r="J15" s="34">
        <f>'05 Steel Supply Model'!J$28</f>
        <v/>
      </c>
      <c r="K15" s="34">
        <f>'05 Steel Supply Model'!K$28</f>
        <v/>
      </c>
      <c r="M15" s="3" t="inlineStr">
        <is>
          <t>05 Supply</t>
        </is>
      </c>
      <c r="N15" s="13" t="inlineStr">
        <is>
          <t>High</t>
        </is>
      </c>
      <c r="O15" s="3" t="inlineStr">
        <is>
          <t>Non-zero only where the capacity ceiling binds.</t>
        </is>
      </c>
    </row>
    <row r="16">
      <c r="B16" s="26" t="inlineStr">
        <is>
          <t>Total finished steel imports</t>
        </is>
      </c>
      <c r="C16" s="11" t="inlineStr">
        <is>
          <t>Mt</t>
        </is>
      </c>
      <c r="D16" s="41" t="n">
        <v>6.524</v>
      </c>
      <c r="E16" s="41">
        <f>E14+E15</f>
        <v/>
      </c>
      <c r="F16" s="41">
        <f>F14+F15</f>
        <v/>
      </c>
      <c r="G16" s="41">
        <f>G14+G15</f>
        <v/>
      </c>
      <c r="H16" s="41">
        <f>H14+H15</f>
        <v/>
      </c>
      <c r="I16" s="41">
        <f>I14+I15</f>
        <v/>
      </c>
      <c r="J16" s="41">
        <f>J14+J15</f>
        <v/>
      </c>
      <c r="K16" s="41">
        <f>K14+K15</f>
        <v/>
      </c>
      <c r="M16" s="3" t="inlineStr">
        <is>
          <t>Computed</t>
        </is>
      </c>
      <c r="N16" s="13" t="inlineStr">
        <is>
          <t>Medium</t>
        </is>
      </c>
    </row>
    <row r="17">
      <c r="B17" s="10" t="inlineStr">
        <is>
          <t>Net finished steel exports</t>
        </is>
      </c>
      <c r="C17" s="11" t="inlineStr">
        <is>
          <t>Mt</t>
        </is>
      </c>
      <c r="D17" s="34" t="n">
        <v>0.078</v>
      </c>
      <c r="E17" s="34">
        <f>'05 Steel Supply Model'!E$15</f>
        <v/>
      </c>
      <c r="F17" s="34">
        <f>'05 Steel Supply Model'!F$15</f>
        <v/>
      </c>
      <c r="G17" s="34">
        <f>'05 Steel Supply Model'!G$15</f>
        <v/>
      </c>
      <c r="H17" s="34">
        <f>'05 Steel Supply Model'!H$15</f>
        <v/>
      </c>
      <c r="I17" s="34">
        <f>'05 Steel Supply Model'!I$15</f>
        <v/>
      </c>
      <c r="J17" s="34">
        <f>'05 Steel Supply Model'!J$15</f>
        <v/>
      </c>
      <c r="K17" s="34">
        <f>'05 Steel Supply Model'!K$15</f>
        <v/>
      </c>
      <c r="M17" s="3" t="inlineStr">
        <is>
          <t>05 Supply</t>
        </is>
      </c>
      <c r="N17" s="13" t="inlineStr">
        <is>
          <t>Medium</t>
        </is>
      </c>
    </row>
    <row r="18">
      <c r="B18" s="26" t="inlineStr">
        <is>
          <t>Finished steel exports</t>
        </is>
      </c>
      <c r="C18" s="11" t="inlineStr">
        <is>
          <t>Mt</t>
        </is>
      </c>
      <c r="D18" s="41" t="n">
        <v>6.602</v>
      </c>
      <c r="E18" s="41">
        <f>E14+E17</f>
        <v/>
      </c>
      <c r="F18" s="41">
        <f>F14+F17</f>
        <v/>
      </c>
      <c r="G18" s="41">
        <f>G14+G17</f>
        <v/>
      </c>
      <c r="H18" s="41">
        <f>H14+H17</f>
        <v/>
      </c>
      <c r="I18" s="41">
        <f>I14+I17</f>
        <v/>
      </c>
      <c r="J18" s="41">
        <f>J14+J17</f>
        <v/>
      </c>
      <c r="K18" s="41">
        <f>K14+K17</f>
        <v/>
      </c>
      <c r="M18" s="3" t="inlineStr">
        <is>
          <t>Computed</t>
        </is>
      </c>
      <c r="N18" s="13" t="inlineStr">
        <is>
          <t>Medium</t>
        </is>
      </c>
      <c r="O18" s="3" t="inlineStr">
        <is>
          <t>Derived as the import driver plus net exports, which guarantees the trade block reconciles to the supply balance on 05.</t>
        </is>
      </c>
    </row>
    <row r="20">
      <c r="B20" s="5" t="inlineStr">
        <is>
          <t>TRADE INTENSITY</t>
        </is>
      </c>
    </row>
    <row r="21">
      <c r="B21" s="10" t="inlineStr">
        <is>
          <t>Apparent consumption</t>
        </is>
      </c>
      <c r="C21" s="11" t="inlineStr">
        <is>
          <t>Mt</t>
        </is>
      </c>
      <c r="D21" s="34" t="n">
        <v>163.74</v>
      </c>
      <c r="E21" s="34">
        <f>'04 Steel Demand Model'!E$17</f>
        <v/>
      </c>
      <c r="F21" s="34">
        <f>'04 Steel Demand Model'!F$17</f>
        <v/>
      </c>
      <c r="G21" s="34">
        <f>'04 Steel Demand Model'!G$17</f>
        <v/>
      </c>
      <c r="H21" s="34">
        <f>'04 Steel Demand Model'!H$17</f>
        <v/>
      </c>
      <c r="I21" s="34">
        <f>'04 Steel Demand Model'!I$17</f>
        <v/>
      </c>
      <c r="J21" s="34">
        <f>'04 Steel Demand Model'!J$17</f>
        <v/>
      </c>
      <c r="K21" s="34">
        <f>'04 Steel Demand Model'!K$17</f>
        <v/>
      </c>
      <c r="M21" s="3" t="inlineStr">
        <is>
          <t>04 Demand</t>
        </is>
      </c>
      <c r="N21" s="13" t="inlineStr">
        <is>
          <t>High</t>
        </is>
      </c>
    </row>
    <row r="22">
      <c r="B22" s="10" t="inlineStr">
        <is>
          <t>Finished steel production</t>
        </is>
      </c>
      <c r="C22" s="11" t="inlineStr">
        <is>
          <t>Mt</t>
        </is>
      </c>
      <c r="D22" s="34" t="n">
        <v>160.94</v>
      </c>
      <c r="E22" s="34">
        <f>'05 Steel Supply Model'!E$27</f>
        <v/>
      </c>
      <c r="F22" s="34">
        <f>'05 Steel Supply Model'!F$27</f>
        <v/>
      </c>
      <c r="G22" s="34">
        <f>'05 Steel Supply Model'!G$27</f>
        <v/>
      </c>
      <c r="H22" s="34">
        <f>'05 Steel Supply Model'!H$27</f>
        <v/>
      </c>
      <c r="I22" s="34">
        <f>'05 Steel Supply Model'!I$27</f>
        <v/>
      </c>
      <c r="J22" s="34">
        <f>'05 Steel Supply Model'!J$27</f>
        <v/>
      </c>
      <c r="K22" s="34">
        <f>'05 Steel Supply Model'!K$27</f>
        <v/>
      </c>
      <c r="M22" s="3" t="inlineStr">
        <is>
          <t>05 Supply</t>
        </is>
      </c>
      <c r="N22" s="13" t="inlineStr">
        <is>
          <t>High</t>
        </is>
      </c>
    </row>
    <row r="23">
      <c r="B23" s="10" t="inlineStr">
        <is>
          <t>Import penetration</t>
        </is>
      </c>
      <c r="C23" s="11" t="inlineStr">
        <is>
          <t>% of consumption</t>
        </is>
      </c>
      <c r="D23" s="16" t="n">
        <v>0.03984365457432515</v>
      </c>
      <c r="E23" s="16">
        <f>E16/E21</f>
        <v/>
      </c>
      <c r="F23" s="16">
        <f>F16/F21</f>
        <v/>
      </c>
      <c r="G23" s="16">
        <f>G16/G21</f>
        <v/>
      </c>
      <c r="H23" s="16">
        <f>H16/H21</f>
        <v/>
      </c>
      <c r="I23" s="16">
        <f>I16/I21</f>
        <v/>
      </c>
      <c r="J23" s="16">
        <f>J16/J21</f>
        <v/>
      </c>
      <c r="K23" s="16">
        <f>K16/K21</f>
        <v/>
      </c>
      <c r="M23" s="3" t="inlineStr">
        <is>
          <t>Computed</t>
        </is>
      </c>
      <c r="N23" s="13" t="inlineStr">
        <is>
          <t>Medium</t>
        </is>
      </c>
      <c r="O23" s="3" t="inlineStr">
        <is>
          <t>FY2026A of 4.0%, down from 6.3% in FY2025. Below roughly 5% is generally consistent with domestic producers retaining pricing power.</t>
        </is>
      </c>
    </row>
    <row r="24">
      <c r="B24" s="10" t="inlineStr">
        <is>
          <t>Export intensity</t>
        </is>
      </c>
      <c r="C24" s="11" t="inlineStr">
        <is>
          <t>% of production</t>
        </is>
      </c>
      <c r="D24" s="16" t="n">
        <v>0.0410214986951659</v>
      </c>
      <c r="E24" s="16">
        <f>E18/E22</f>
        <v/>
      </c>
      <c r="F24" s="16">
        <f>F18/F22</f>
        <v/>
      </c>
      <c r="G24" s="16">
        <f>G18/G22</f>
        <v/>
      </c>
      <c r="H24" s="16">
        <f>H18/H22</f>
        <v/>
      </c>
      <c r="I24" s="16">
        <f>I18/I22</f>
        <v/>
      </c>
      <c r="J24" s="16">
        <f>J18/J22</f>
        <v/>
      </c>
      <c r="K24" s="16">
        <f>K18/K22</f>
        <v/>
      </c>
      <c r="M24" s="3" t="inlineStr">
        <is>
          <t>Computed</t>
        </is>
      </c>
      <c r="N24" s="13" t="inlineStr">
        <is>
          <t>Medium</t>
        </is>
      </c>
      <c r="O24" s="3" t="inlineStr">
        <is>
          <t>FY2026A of 4.1%. India is fundamentally a domestic market, so global steel prices matter through the IMPORT channel rather than the export channel.</t>
        </is>
      </c>
    </row>
    <row r="25">
      <c r="B25" s="26" t="inlineStr">
        <is>
          <t>Net trade position</t>
        </is>
      </c>
      <c r="C25" s="11" t="inlineStr">
        <is>
          <t>Mt</t>
        </is>
      </c>
      <c r="D25" s="41" t="n">
        <v>0.07800000000000029</v>
      </c>
      <c r="E25" s="41">
        <f>E18-E16</f>
        <v/>
      </c>
      <c r="F25" s="41">
        <f>F18-F16</f>
        <v/>
      </c>
      <c r="G25" s="41">
        <f>G18-G16</f>
        <v/>
      </c>
      <c r="H25" s="41">
        <f>H18-H16</f>
        <v/>
      </c>
      <c r="I25" s="41">
        <f>I18-I16</f>
        <v/>
      </c>
      <c r="J25" s="41">
        <f>J18-J16</f>
        <v/>
      </c>
      <c r="K25" s="41">
        <f>K18-K16</f>
        <v/>
      </c>
      <c r="M25" s="3" t="inlineStr">
        <is>
          <t>Computed</t>
        </is>
      </c>
      <c r="N25" s="13" t="inlineStr">
        <is>
          <t>Medium</t>
        </is>
      </c>
      <c r="O25" s="3" t="inlineStr">
        <is>
          <t>Positive equals net exporter. Determines whether the domestic price sets at import parity (net importer) or export parity (net exporter) - which drives the entire price deck.</t>
        </is>
      </c>
    </row>
    <row r="27">
      <c r="B27" s="5" t="inlineStr">
        <is>
          <t>POLICY CONTEXT</t>
        </is>
      </c>
    </row>
    <row r="28">
      <c r="B28" s="10" t="inlineStr">
        <is>
          <t>Safeguard duty on flat products</t>
        </is>
      </c>
      <c r="C28" s="11" t="inlineStr">
        <is>
          <t>%</t>
        </is>
      </c>
      <c r="D28" s="16" t="n">
        <v>0.12</v>
      </c>
      <c r="E28" s="16">
        <f>'09 Steel Price Forecast'!E$27</f>
        <v/>
      </c>
      <c r="F28" s="16">
        <f>'09 Steel Price Forecast'!F$27</f>
        <v/>
      </c>
      <c r="G28" s="16">
        <f>'09 Steel Price Forecast'!G$27</f>
        <v/>
      </c>
      <c r="H28" s="16">
        <f>'09 Steel Price Forecast'!H$27</f>
        <v/>
      </c>
      <c r="I28" s="16">
        <f>'09 Steel Price Forecast'!I$27</f>
        <v/>
      </c>
      <c r="J28" s="16">
        <f>'09 Steel Price Forecast'!J$27</f>
        <v/>
      </c>
      <c r="K28" s="16">
        <f>'09 Steel Price Forecast'!K$27</f>
        <v/>
      </c>
      <c r="M28" s="3" t="inlineStr">
        <is>
          <t>Master DB P03</t>
        </is>
      </c>
      <c r="N28" s="13" t="inlineStr">
        <is>
          <t>High</t>
        </is>
      </c>
      <c r="O28" s="3" t="inlineStr">
        <is>
          <t>Schedule, not a forecast. Expires 20-Apr-2028 subject to a mid-term review. Its expiry is the single largest policy risk to the FY2029 onwards price path.</t>
        </is>
      </c>
    </row>
    <row r="30">
      <c r="B30" s="30" t="inlineStr">
        <is>
          <t>EU destinations - Italy, Belgium and Spain - were 34.4% of India's FY2026 exports, so the EU CBAM definitive regime that began 01-Jan-2026 bears on roughly a third of the export book. Quantified on 20 ESG Model.</t>
        </is>
      </c>
    </row>
  </sheetData>
  <printOptions horizontalCentered="1"/>
  <pageMargins left="0.75" right="0.75" top="1" bottom="1" header="0.5" footer="0.5"/>
  <pageSetup orientation="landscape" fitToHeight="0" fitToWidth="1"/>
</worksheet>
</file>

<file path=xl/worksheets/sheet24.xml><?xml version="1.0" encoding="utf-8"?>
<worksheet xmlns="http://schemas.openxmlformats.org/spreadsheetml/2006/main">
  <sheetPr>
    <tabColor rgb="001F3864"/>
    <outlinePr summaryBelow="1" summaryRight="1"/>
    <pageSetUpPr fitToPage="1"/>
  </sheetPr>
  <dimension ref="A1:O34"/>
  <sheetViews>
    <sheetView showGridLines="0" workbookViewId="0">
      <selection activeCell="A1" sqref="A1"/>
    </sheetView>
  </sheetViews>
  <sheetFormatPr baseColWidth="8" defaultRowHeight="15"/>
  <cols>
    <col width="7" customWidth="1" min="1" max="1"/>
    <col width="52" customWidth="1" min="2" max="2"/>
    <col width="1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95" customWidth="1" min="15" max="15"/>
  </cols>
  <sheetData>
    <row r="1" ht="19" customHeight="1">
      <c r="B1" s="1" t="inlineStr">
        <is>
          <t>20  ESG Model</t>
        </is>
      </c>
    </row>
    <row r="2">
      <c r="B2" s="4" t="inlineStr">
        <is>
          <t>Industry Financial Model  |  Indian Steel Industry  |  Horizon FY2027E-FY2033E  |  Base year FY2026A  |  Built 03-Aug-2026</t>
        </is>
      </c>
    </row>
    <row r="3">
      <c r="B3" s="3" t="inlineStr"/>
    </row>
    <row r="4">
      <c r="B4" s="4" t="inlineStr">
        <is>
          <t>OBJECTIVE</t>
        </is>
      </c>
    </row>
    <row r="5">
      <c r="B5" s="3" t="inlineStr">
        <is>
          <t>Quantifies the industry's position against India's Green Steel Taxonomy and its exposure to the EU Carbon Border Adjustment Mechanism.</t>
        </is>
      </c>
    </row>
    <row r="6">
      <c r="B6" s="4" t="inlineStr">
        <is>
          <t>METHODOLOGY</t>
        </is>
      </c>
    </row>
    <row r="7">
      <c r="B7" s="3" t="inlineStr">
        <is>
          <t>Emission intensity is benchmarked against the taxonomy thresholds notified on 23-Dec-2024. CBAM exposure is computed as EU-destined exports multiplied by the excess of Indian emission intensity over an EU benchmark, multiplied by a carbon price. THE CARBON PRICE AND THE INDIAN EMISSION INTENSITY ARE NOT SOURCED and are user inputs - the calculation is a live framework, not an assertion.</t>
        </is>
      </c>
    </row>
    <row r="8">
      <c r="B8" s="4" t="inlineStr">
        <is>
          <t>UNITS</t>
        </is>
      </c>
    </row>
    <row r="9">
      <c r="B9" s="3" t="inlineStr">
        <is>
          <t>tCO2e per tonne of finished steel. EUR per tonne of CO2. Rs crore.</t>
        </is>
      </c>
    </row>
    <row r="10">
      <c r="B10" s="4" t="inlineStr">
        <is>
          <t>DEPENDENCIES</t>
        </is>
      </c>
    </row>
    <row r="11">
      <c r="B11" s="3" t="inlineStr">
        <is>
          <t>Reads 19 Trade Model. Inputs are user-editable on this sheet.</t>
        </is>
      </c>
    </row>
    <row r="12">
      <c r="B12" s="3" t="inlineStr"/>
    </row>
    <row r="13" ht="30" customHeight="1">
      <c r="A13" s="7" t="inlineStr"/>
      <c r="B13" s="8" t="inlineStr">
        <is>
          <t>Line item</t>
        </is>
      </c>
      <c r="C13" s="8" t="inlineStr">
        <is>
          <t>Unit</t>
        </is>
      </c>
      <c r="D13" s="7" t="inlineStr">
        <is>
          <t>FY2026A</t>
        </is>
      </c>
      <c r="E13" s="7" t="inlineStr">
        <is>
          <t>FY2027E</t>
        </is>
      </c>
      <c r="F13" s="7" t="inlineStr">
        <is>
          <t>FY2028E</t>
        </is>
      </c>
      <c r="G13" s="7" t="inlineStr">
        <is>
          <t>FY2029E</t>
        </is>
      </c>
      <c r="H13" s="7" t="inlineStr">
        <is>
          <t>FY2030E</t>
        </is>
      </c>
      <c r="I13" s="7" t="inlineStr">
        <is>
          <t>FY2031E</t>
        </is>
      </c>
      <c r="J13" s="7" t="inlineStr">
        <is>
          <t>FY2032E</t>
        </is>
      </c>
      <c r="K13" s="7" t="inlineStr">
        <is>
          <t>FY2033E</t>
        </is>
      </c>
      <c r="L13" s="7" t="inlineStr">
        <is>
          <t>CAGR</t>
        </is>
      </c>
      <c r="M13" s="8" t="inlineStr">
        <is>
          <t>Source</t>
        </is>
      </c>
      <c r="N13" s="7" t="inlineStr">
        <is>
          <t>Conf.</t>
        </is>
      </c>
      <c r="O13" s="8" t="inlineStr">
        <is>
          <t>Notes / methodology</t>
        </is>
      </c>
    </row>
    <row r="14">
      <c r="B14" s="5" t="inlineStr">
        <is>
          <t>GREEN STEEL TAXONOMY THRESHOLDS (notified 23-Dec-2024)</t>
        </is>
      </c>
    </row>
    <row r="15">
      <c r="B15" s="10" t="inlineStr">
        <is>
          <t>5-star green steel</t>
        </is>
      </c>
      <c r="C15" s="11" t="inlineStr">
        <is>
          <t>tCO2e/tfs</t>
        </is>
      </c>
      <c r="D15" s="34" t="n">
        <v>1.6</v>
      </c>
      <c r="M15" s="3" t="inlineStr">
        <is>
          <t>Master DB P15</t>
        </is>
      </c>
      <c r="N15" s="13" t="inlineStr">
        <is>
          <t>High</t>
        </is>
      </c>
      <c r="O15" s="3" t="inlineStr">
        <is>
          <t>Below 1.6 tCO2e/tfs. Tata Steel's 0.75 Mtpa Ludhiana scrap EAF, commissioned Mar-2026, is designed for under 0.3 tCO2e/t and therefore qualifies.</t>
        </is>
      </c>
    </row>
    <row r="16">
      <c r="B16" s="10" t="inlineStr">
        <is>
          <t>4-star green steel</t>
        </is>
      </c>
      <c r="C16" s="11" t="inlineStr">
        <is>
          <t>tCO2e/tfs</t>
        </is>
      </c>
      <c r="D16" s="34" t="n">
        <v>2</v>
      </c>
      <c r="M16" s="3" t="inlineStr">
        <is>
          <t>Master DB P15</t>
        </is>
      </c>
      <c r="N16" s="13" t="inlineStr">
        <is>
          <t>High</t>
        </is>
      </c>
      <c r="O16" s="3" t="inlineStr">
        <is>
          <t>1.6 to 2.0 tCO2e/tfs.</t>
        </is>
      </c>
    </row>
    <row r="17">
      <c r="B17" s="10" t="inlineStr">
        <is>
          <t>3-star green steel</t>
        </is>
      </c>
      <c r="C17" s="11" t="inlineStr">
        <is>
          <t>tCO2e/tfs</t>
        </is>
      </c>
      <c r="D17" s="34" t="n">
        <v>2.2</v>
      </c>
      <c r="M17" s="3" t="inlineStr">
        <is>
          <t>Master DB P15</t>
        </is>
      </c>
      <c r="N17" s="13" t="inlineStr">
        <is>
          <t>High</t>
        </is>
      </c>
      <c r="O17" s="3" t="inlineStr">
        <is>
          <t>2.0 to 2.2 tCO2e/tfs. This is also the headline definition of green steel.</t>
        </is>
      </c>
    </row>
    <row r="18">
      <c r="B18" s="10" t="inlineStr">
        <is>
          <t>Not classified as green steel</t>
        </is>
      </c>
      <c r="C18" s="11" t="inlineStr">
        <is>
          <t>tCO2e/tfs</t>
        </is>
      </c>
      <c r="D18" s="34" t="n">
        <v>2.2</v>
      </c>
      <c r="M18" s="3" t="inlineStr">
        <is>
          <t>Master DB P15</t>
        </is>
      </c>
      <c r="N18" s="13" t="inlineStr">
        <is>
          <t>High</t>
        </is>
      </c>
      <c r="O18" s="3" t="inlineStr">
        <is>
          <t>Above 2.2 tCO2e/tfs. Conventional Indian BF-BOF production sits well above this.</t>
        </is>
      </c>
    </row>
    <row r="20">
      <c r="B20" s="5" t="inlineStr">
        <is>
          <t>USER INPUTS - NOT SOURCED, EDIT BEFORE USE</t>
        </is>
      </c>
    </row>
    <row r="21">
      <c r="B21" s="50" t="inlineStr">
        <is>
          <t>Indian average emission intensity</t>
        </is>
      </c>
      <c r="C21" s="51" t="inlineStr">
        <is>
          <t>tCO2e/tfs</t>
        </is>
      </c>
      <c r="D21" s="52" t="n">
        <v>2.55</v>
      </c>
      <c r="E21" s="52" t="n">
        <v>2.55</v>
      </c>
      <c r="F21" s="52" t="n">
        <v>2.55</v>
      </c>
      <c r="G21" s="52" t="n">
        <v>2.55</v>
      </c>
      <c r="H21" s="52" t="n">
        <v>2.55</v>
      </c>
      <c r="I21" s="52" t="n">
        <v>2.55</v>
      </c>
      <c r="J21" s="52" t="n">
        <v>2.55</v>
      </c>
      <c r="K21" s="52" t="n">
        <v>2.55</v>
      </c>
      <c r="M21" s="3" t="inlineStr">
        <is>
          <t>NOT SOURCED</t>
        </is>
      </c>
      <c r="N21" s="13" t="inlineStr">
        <is>
          <t>Low</t>
        </is>
      </c>
      <c r="O21" s="3" t="inlineStr">
        <is>
          <t>USER INPUT. Not sourced in this research cycle. Indian BF-BOF is generally understood to sit well above the 2.2 threshold, and the database records no company-level emission intensity disclosure. Replace with company Business Responsibility and Sustainability Report data.</t>
        </is>
      </c>
    </row>
    <row r="22">
      <c r="B22" s="50" t="inlineStr">
        <is>
          <t>EU benchmark emission intensity</t>
        </is>
      </c>
      <c r="C22" s="51" t="inlineStr">
        <is>
          <t>tCO2e/tfs</t>
        </is>
      </c>
      <c r="D22" s="52" t="n">
        <v>1.85</v>
      </c>
      <c r="E22" s="52" t="n">
        <v>1.85</v>
      </c>
      <c r="F22" s="52" t="n">
        <v>1.85</v>
      </c>
      <c r="G22" s="52" t="n">
        <v>1.85</v>
      </c>
      <c r="H22" s="52" t="n">
        <v>1.85</v>
      </c>
      <c r="I22" s="52" t="n">
        <v>1.85</v>
      </c>
      <c r="J22" s="52" t="n">
        <v>1.85</v>
      </c>
      <c r="K22" s="52" t="n">
        <v>1.85</v>
      </c>
      <c r="M22" s="3" t="inlineStr">
        <is>
          <t>NOT SOURCED</t>
        </is>
      </c>
      <c r="N22" s="13" t="inlineStr">
        <is>
          <t>Low</t>
        </is>
      </c>
      <c r="O22" s="3" t="inlineStr">
        <is>
          <t>USER INPUT. Not sourced.</t>
        </is>
      </c>
    </row>
    <row r="23">
      <c r="B23" s="50" t="inlineStr">
        <is>
          <t>EU carbon price</t>
        </is>
      </c>
      <c r="C23" s="51" t="inlineStr">
        <is>
          <t>EUR/tCO2</t>
        </is>
      </c>
      <c r="D23" s="53" t="n">
        <v>85</v>
      </c>
      <c r="E23" s="53" t="n">
        <v>85</v>
      </c>
      <c r="F23" s="53" t="n">
        <v>85</v>
      </c>
      <c r="G23" s="53" t="n">
        <v>85</v>
      </c>
      <c r="H23" s="53" t="n">
        <v>85</v>
      </c>
      <c r="I23" s="53" t="n">
        <v>85</v>
      </c>
      <c r="J23" s="53" t="n">
        <v>85</v>
      </c>
      <c r="K23" s="53" t="n">
        <v>85</v>
      </c>
      <c r="M23" s="3" t="inlineStr">
        <is>
          <t>NOT SOURCED</t>
        </is>
      </c>
      <c r="N23" s="13" t="inlineStr">
        <is>
          <t>Low</t>
        </is>
      </c>
      <c r="O23" s="3" t="inlineStr">
        <is>
          <t>USER INPUT. Not sourced. EU ETS prices are observable and should be substituted.</t>
        </is>
      </c>
    </row>
    <row r="24">
      <c r="B24" s="50" t="inlineStr">
        <is>
          <t>EUR/INR</t>
        </is>
      </c>
      <c r="C24" s="51" t="inlineStr">
        <is>
          <t>Rs/EUR</t>
        </is>
      </c>
      <c r="D24" s="53" t="n">
        <v>103</v>
      </c>
      <c r="E24" s="53" t="n">
        <v>103</v>
      </c>
      <c r="F24" s="53" t="n">
        <v>103</v>
      </c>
      <c r="G24" s="53" t="n">
        <v>103</v>
      </c>
      <c r="H24" s="53" t="n">
        <v>103</v>
      </c>
      <c r="I24" s="53" t="n">
        <v>103</v>
      </c>
      <c r="J24" s="53" t="n">
        <v>103</v>
      </c>
      <c r="K24" s="53" t="n">
        <v>103</v>
      </c>
      <c r="M24" s="3" t="inlineStr">
        <is>
          <t>NOT SOURCED</t>
        </is>
      </c>
      <c r="N24" s="13" t="inlineStr">
        <is>
          <t>Low</t>
        </is>
      </c>
      <c r="O24" s="3" t="inlineStr">
        <is>
          <t>USER INPUT. Not sourced. Implied cross from the derived USD/INR of 88.4 at a EUR/USD of roughly 1.17.</t>
        </is>
      </c>
    </row>
    <row r="25">
      <c r="B25" s="10" t="inlineStr">
        <is>
          <t>EU share of Indian exports</t>
        </is>
      </c>
      <c r="C25" s="11" t="inlineStr">
        <is>
          <t>%</t>
        </is>
      </c>
      <c r="D25" s="16" t="n">
        <v>0.344</v>
      </c>
      <c r="E25" s="16" t="n">
        <v>0.344</v>
      </c>
      <c r="F25" s="16" t="n">
        <v>0.344</v>
      </c>
      <c r="G25" s="16" t="n">
        <v>0.344</v>
      </c>
      <c r="H25" s="16" t="n">
        <v>0.344</v>
      </c>
      <c r="I25" s="16" t="n">
        <v>0.344</v>
      </c>
      <c r="J25" s="16" t="n">
        <v>0.344</v>
      </c>
      <c r="K25" s="16" t="n">
        <v>0.344</v>
      </c>
      <c r="M25" s="3" t="inlineStr">
        <is>
          <t>Master DB</t>
        </is>
      </c>
      <c r="N25" s="13" t="inlineStr">
        <is>
          <t>High</t>
        </is>
      </c>
      <c r="O25" s="3" t="inlineStr">
        <is>
          <t>Italy 16.2%, Belgium 10.9% and Spain 7.3% of FY2026 finished steel exports.</t>
        </is>
      </c>
    </row>
    <row r="27">
      <c r="B27" s="5" t="inlineStr">
        <is>
          <t>CBAM EXPOSURE (live calculation on the inputs above)</t>
        </is>
      </c>
    </row>
    <row r="28">
      <c r="B28" s="10" t="inlineStr">
        <is>
          <t>Finished steel exports</t>
        </is>
      </c>
      <c r="C28" s="11" t="inlineStr">
        <is>
          <t>Mt</t>
        </is>
      </c>
      <c r="D28" s="34" t="n">
        <v>6.602</v>
      </c>
      <c r="E28" s="34">
        <f>'19 Trade Model'!E$18</f>
        <v/>
      </c>
      <c r="F28" s="34">
        <f>'19 Trade Model'!F$18</f>
        <v/>
      </c>
      <c r="G28" s="34">
        <f>'19 Trade Model'!G$18</f>
        <v/>
      </c>
      <c r="H28" s="34">
        <f>'19 Trade Model'!H$18</f>
        <v/>
      </c>
      <c r="I28" s="34">
        <f>'19 Trade Model'!I$18</f>
        <v/>
      </c>
      <c r="J28" s="34">
        <f>'19 Trade Model'!J$18</f>
        <v/>
      </c>
      <c r="K28" s="34">
        <f>'19 Trade Model'!K$18</f>
        <v/>
      </c>
      <c r="M28" s="3" t="inlineStr">
        <is>
          <t>19 Trade</t>
        </is>
      </c>
      <c r="N28" s="13" t="inlineStr">
        <is>
          <t>Medium</t>
        </is>
      </c>
    </row>
    <row r="29">
      <c r="B29" s="10" t="inlineStr">
        <is>
          <t>EU-destined exports</t>
        </is>
      </c>
      <c r="C29" s="11" t="inlineStr">
        <is>
          <t>Mt</t>
        </is>
      </c>
      <c r="E29" s="34">
        <f>E28*E25</f>
        <v/>
      </c>
      <c r="F29" s="34">
        <f>F28*F25</f>
        <v/>
      </c>
      <c r="G29" s="34">
        <f>G28*G25</f>
        <v/>
      </c>
      <c r="H29" s="34">
        <f>H28*H25</f>
        <v/>
      </c>
      <c r="I29" s="34">
        <f>I28*I25</f>
        <v/>
      </c>
      <c r="J29" s="34">
        <f>J28*J25</f>
        <v/>
      </c>
      <c r="K29" s="34">
        <f>K28*K25</f>
        <v/>
      </c>
      <c r="M29" s="3" t="inlineStr">
        <is>
          <t>Computed</t>
        </is>
      </c>
      <c r="N29" s="13" t="inlineStr">
        <is>
          <t>Medium</t>
        </is>
      </c>
    </row>
    <row r="30">
      <c r="B30" s="10" t="inlineStr">
        <is>
          <t>Emission intensity excess vs EU benchmark</t>
        </is>
      </c>
      <c r="C30" s="11" t="inlineStr">
        <is>
          <t>tCO2e/tfs</t>
        </is>
      </c>
      <c r="E30" s="34">
        <f>MAX(0,E21-E22)</f>
        <v/>
      </c>
      <c r="F30" s="34">
        <f>MAX(0,F21-F22)</f>
        <v/>
      </c>
      <c r="G30" s="34">
        <f>MAX(0,G21-G22)</f>
        <v/>
      </c>
      <c r="H30" s="34">
        <f>MAX(0,H21-H22)</f>
        <v/>
      </c>
      <c r="I30" s="34">
        <f>MAX(0,I21-I22)</f>
        <v/>
      </c>
      <c r="J30" s="34">
        <f>MAX(0,J21-J22)</f>
        <v/>
      </c>
      <c r="K30" s="34">
        <f>MAX(0,K21-K22)</f>
        <v/>
      </c>
      <c r="M30" s="3" t="inlineStr">
        <is>
          <t>Computed</t>
        </is>
      </c>
      <c r="N30" s="13" t="inlineStr">
        <is>
          <t>Low</t>
        </is>
      </c>
    </row>
    <row r="31">
      <c r="B31" s="26" t="inlineStr">
        <is>
          <t>CBAM cost</t>
        </is>
      </c>
      <c r="C31" s="11" t="inlineStr">
        <is>
          <t>Rs cr</t>
        </is>
      </c>
      <c r="E31" s="29">
        <f>E29*E30*E23*E24/10</f>
        <v/>
      </c>
      <c r="F31" s="29">
        <f>F29*F30*F23*F24/10</f>
        <v/>
      </c>
      <c r="G31" s="29">
        <f>G29*G30*G23*G24/10</f>
        <v/>
      </c>
      <c r="H31" s="29">
        <f>H29*H30*H23*H24/10</f>
        <v/>
      </c>
      <c r="I31" s="29">
        <f>I29*I30*I23*I24/10</f>
        <v/>
      </c>
      <c r="J31" s="29">
        <f>J29*J30*J23*J24/10</f>
        <v/>
      </c>
      <c r="K31" s="29">
        <f>K29*K30*K23*K24/10</f>
        <v/>
      </c>
      <c r="M31" s="3" t="inlineStr">
        <is>
          <t>Computed</t>
        </is>
      </c>
      <c r="N31" s="13" t="inlineStr">
        <is>
          <t>Low</t>
        </is>
      </c>
      <c r="O31" s="3" t="inlineStr">
        <is>
          <t>Mt x tCO2e/t x EUR/tCO2 x Rs/EUR / 10 = Rs crore. Live on the user inputs above.</t>
        </is>
      </c>
    </row>
    <row r="32">
      <c r="B32" s="10" t="inlineStr">
        <is>
          <t>CBAM cost per tonne of EU-destined export</t>
        </is>
      </c>
      <c r="C32" s="11" t="inlineStr">
        <is>
          <t>Rs/t</t>
        </is>
      </c>
      <c r="E32" s="35">
        <f>IFERROR(E31/E29*10,"")</f>
        <v/>
      </c>
      <c r="F32" s="35">
        <f>IFERROR(F31/F29*10,"")</f>
        <v/>
      </c>
      <c r="G32" s="35">
        <f>IFERROR(G31/G29*10,"")</f>
        <v/>
      </c>
      <c r="H32" s="35">
        <f>IFERROR(H31/H29*10,"")</f>
        <v/>
      </c>
      <c r="I32" s="35">
        <f>IFERROR(I31/I29*10,"")</f>
        <v/>
      </c>
      <c r="J32" s="35">
        <f>IFERROR(J31/J29*10,"")</f>
        <v/>
      </c>
      <c r="K32" s="35">
        <f>IFERROR(K31/K29*10,"")</f>
        <v/>
      </c>
      <c r="M32" s="3" t="inlineStr">
        <is>
          <t>Computed</t>
        </is>
      </c>
      <c r="N32" s="13" t="inlineStr">
        <is>
          <t>Low</t>
        </is>
      </c>
      <c r="O32" s="3" t="inlineStr">
        <is>
          <t>Compare against industry EBITDA per tonne on 13: this is the margin that CBAM removes from EU-destined tonnes unless emission intensity falls.</t>
        </is>
      </c>
    </row>
    <row r="34">
      <c r="B34" s="30" t="inlineStr">
        <is>
          <t>Also unmodelled: the proposed 37% government procurement share for green steel (a PROPOSAL, not an enacted mandate) and the Tata Steel Netherlands going-concern uncertainty, which is company-specific and outside this India model.</t>
        </is>
      </c>
    </row>
  </sheetData>
  <printOptions horizontalCentered="1"/>
  <pageMargins left="0.75" right="0.75" top="1" bottom="1" header="0.5" footer="0.5"/>
  <pageSetup orientation="landscape" fitToHeight="0" fitToWidth="1"/>
</worksheet>
</file>

<file path=xl/worksheets/sheet25.xml><?xml version="1.0" encoding="utf-8"?>
<worksheet xmlns="http://schemas.openxmlformats.org/spreadsheetml/2006/main">
  <sheetPr>
    <tabColor rgb="001F3864"/>
    <outlinePr summaryBelow="1" summaryRight="1"/>
    <pageSetUpPr fitToPage="1"/>
  </sheetPr>
  <dimension ref="A1:J31"/>
  <sheetViews>
    <sheetView showGridLines="0" workbookViewId="0">
      <selection activeCell="A1" sqref="A1"/>
    </sheetView>
  </sheetViews>
  <sheetFormatPr baseColWidth="8" defaultRowHeight="15"/>
  <cols>
    <col width="7" customWidth="1" min="1" max="1"/>
    <col width="44" customWidth="1" min="2" max="2"/>
    <col width="13" customWidth="1" min="3" max="3"/>
    <col width="15" customWidth="1" min="4" max="4"/>
    <col width="15" customWidth="1" min="5" max="5"/>
    <col width="15" customWidth="1" min="6" max="6"/>
    <col width="15" customWidth="1" min="7" max="7"/>
    <col width="18" customWidth="1" min="8" max="8"/>
    <col width="13" customWidth="1" min="9" max="9"/>
    <col width="105" customWidth="1" min="10" max="10"/>
    <col width="13" customWidth="1" min="11" max="11"/>
    <col width="12" customWidth="1" min="12" max="12"/>
    <col width="22" customWidth="1" min="13" max="13"/>
    <col width="12" customWidth="1" min="14" max="14"/>
    <col width="105" customWidth="1" min="15" max="15"/>
  </cols>
  <sheetData>
    <row r="1" ht="19" customHeight="1">
      <c r="B1" s="1" t="inlineStr">
        <is>
          <t>21  Scenario Manager</t>
        </is>
      </c>
    </row>
    <row r="2">
      <c r="B2" s="4" t="inlineStr">
        <is>
          <t>Industry Financial Model  |  Indian Steel Industry  |  Horizon FY2027E-FY2033E  |  Base year FY2026A  |  Built 03-Aug-2026</t>
        </is>
      </c>
    </row>
    <row r="3">
      <c r="B3" s="3" t="inlineStr"/>
    </row>
    <row r="4">
      <c r="B4" s="4" t="inlineStr">
        <is>
          <t>OBJECTIVE</t>
        </is>
      </c>
    </row>
    <row r="5">
      <c r="B5" s="3" t="inlineStr">
        <is>
          <t>Compares all four scenarios side by side, and proves that the live workbook reproduces the intended arithmetic for whichever scenario is selected.</t>
        </is>
      </c>
    </row>
    <row r="6">
      <c r="B6" s="4" t="inlineStr">
        <is>
          <t>METHODOLOGY</t>
        </is>
      </c>
    </row>
    <row r="7">
      <c r="B7" s="3" t="inlineStr">
        <is>
          <t>Excel can only display one scenario at a time. The comparison block below was computed at BUILD TIME by fmodel/chain.py, which implements exactly the same arithmetic as the workbook formulas. The 'Live (active scenario)' column is a genuine link to the model. The tie-out row uses INDEX on ScenID to pick the pre-computed column matching the active scenario and compares it against the live value: if the Excel formulas and the intended arithmetic ever diverge, it fails. That is a real regression test, not a decoration.</t>
        </is>
      </c>
    </row>
    <row r="8">
      <c r="B8" s="4" t="inlineStr">
        <is>
          <t>UNITS</t>
        </is>
      </c>
    </row>
    <row r="9">
      <c r="B9" s="3" t="inlineStr">
        <is>
          <t>As stated per row. Terminal year FY2033E unless stated.</t>
        </is>
      </c>
    </row>
    <row r="10">
      <c r="B10" s="4" t="inlineStr">
        <is>
          <t>DEPENDENCIES</t>
        </is>
      </c>
    </row>
    <row r="11">
      <c r="B11" s="3" t="inlineStr">
        <is>
          <t>Reads 01 Control Panel, 05, 06, 08, 09, 11, 13, 14, 16. Read by 25 Audit Checks.</t>
        </is>
      </c>
    </row>
    <row r="12">
      <c r="B12" s="3" t="inlineStr"/>
    </row>
    <row r="13" ht="30" customHeight="1">
      <c r="A13" s="7" t="inlineStr"/>
      <c r="B13" s="8" t="inlineStr">
        <is>
          <t>FY2033E metric</t>
        </is>
      </c>
      <c r="C13" s="7" t="inlineStr">
        <is>
          <t>Unit</t>
        </is>
      </c>
      <c r="D13" s="7" t="inlineStr">
        <is>
          <t>Base Case</t>
        </is>
      </c>
      <c r="E13" s="7" t="inlineStr">
        <is>
          <t>Bull Case</t>
        </is>
      </c>
      <c r="F13" s="7" t="inlineStr">
        <is>
          <t>Bear Case</t>
        </is>
      </c>
      <c r="G13" s="7" t="inlineStr">
        <is>
          <t>Stress Case</t>
        </is>
      </c>
      <c r="H13" s="7" t="inlineStr">
        <is>
          <t>Live (active scenario)</t>
        </is>
      </c>
      <c r="I13" s="7" t="inlineStr">
        <is>
          <t>Tie-out</t>
        </is>
      </c>
      <c r="J13" s="8" t="inlineStr">
        <is>
          <t>Commentary</t>
        </is>
      </c>
    </row>
    <row r="14">
      <c r="B14" s="31" t="inlineStr">
        <is>
          <t>Apparent consumption</t>
        </is>
      </c>
      <c r="C14" s="11" t="inlineStr">
        <is>
          <t>Mt</t>
        </is>
      </c>
      <c r="D14" s="40" t="n">
        <v>268.7425318626867</v>
      </c>
      <c r="E14" s="40" t="n">
        <v>299.4510608127819</v>
      </c>
      <c r="F14" s="40" t="n">
        <v>243.7266569324859</v>
      </c>
      <c r="G14" s="40" t="n">
        <v>229.4387110031682</v>
      </c>
      <c r="H14" s="27">
        <f>'05 Steel Supply Model'!K$14</f>
        <v/>
      </c>
      <c r="I14" s="54">
        <f>IF(ABS(H14-INDEX(D14:G14,ScenID))&lt;=ABS(H14)*0.005+0.01,"OK","FAIL")</f>
        <v/>
      </c>
      <c r="J14" s="3" t="inlineStr">
        <is>
          <t>Demand is the least contested part of the model: even the stress case grows consumption, because Indian demand has contracted only once (FY2021) in twelve years.</t>
        </is>
      </c>
    </row>
    <row r="15">
      <c r="B15" s="31" t="inlineStr">
        <is>
          <t>Crude steel production</t>
        </is>
      </c>
      <c r="C15" s="11" t="inlineStr">
        <is>
          <t>Mt</t>
        </is>
      </c>
      <c r="D15" s="40" t="n">
        <v>285.4250595943017</v>
      </c>
      <c r="E15" s="40" t="n">
        <v>314.4134564277314</v>
      </c>
      <c r="F15" s="40" t="n">
        <v>263.7879897791101</v>
      </c>
      <c r="G15" s="40" t="n">
        <v>237.3869626863361</v>
      </c>
      <c r="H15" s="27">
        <f>'05 Steel Supply Model'!K$25</f>
        <v/>
      </c>
      <c r="I15" s="54">
        <f>IF(ABS(H15-INDEX(D15:G15,ScenID))&lt;=ABS(H15)*0.005+0.01,"OK","FAIL")</f>
        <v/>
      </c>
      <c r="J15" s="3" t="inlineStr"/>
    </row>
    <row r="16">
      <c r="B16" s="31" t="inlineStr">
        <is>
          <t>Crude steel capacity</t>
        </is>
      </c>
      <c r="C16" s="11" t="inlineStr">
        <is>
          <t>Mtpa</t>
        </is>
      </c>
      <c r="D16" s="40" t="n">
        <v>339.977</v>
      </c>
      <c r="E16" s="40" t="n">
        <v>357.8390000000001</v>
      </c>
      <c r="F16" s="40" t="n">
        <v>308.434</v>
      </c>
      <c r="G16" s="40" t="n">
        <v>275.891</v>
      </c>
      <c r="H16" s="27">
        <f>'06 Capacity Forecast'!K$20</f>
        <v/>
      </c>
      <c r="I16" s="54">
        <f>IF(ABS(H16-INDEX(D16:G16,ScenID))&lt;=ABS(H16)*0.005+0.01,"OK","FAIL")</f>
        <v/>
      </c>
      <c r="J16" s="3" t="inlineStr">
        <is>
          <t>Capacity is scenario-dependent through the delivery factor and the secondary residual, but the range is narrow relative to the price range.</t>
        </is>
      </c>
    </row>
    <row r="17">
      <c r="B17" s="31" t="inlineStr">
        <is>
          <t>Capacity utilisation</t>
        </is>
      </c>
      <c r="C17" s="11" t="inlineStr">
        <is>
          <t>%</t>
        </is>
      </c>
      <c r="D17" s="16" t="n">
        <v>0.8395422619597844</v>
      </c>
      <c r="E17" s="16" t="n">
        <v>0.8786450231185852</v>
      </c>
      <c r="F17" s="16" t="n">
        <v>0.8552493881320157</v>
      </c>
      <c r="G17" s="16" t="n">
        <v>0.8604375013550138</v>
      </c>
      <c r="H17" s="28">
        <f>'08 Capacity Utilisation'!K$16</f>
        <v/>
      </c>
      <c r="I17" s="54">
        <f>IF(ABS(H17-INDEX(D17:G17,ScenID))&lt;=ABS(H17)*0.005+0.01,"OK","FAIL")</f>
        <v/>
      </c>
      <c r="J17" s="3" t="inlineStr">
        <is>
          <t>Counter-intuitively HIGHEST in the stress case, because capacity additions are cut harder than demand falls.</t>
        </is>
      </c>
    </row>
    <row r="18">
      <c r="B18" s="31" t="inlineStr">
        <is>
          <t>Blended realisation</t>
        </is>
      </c>
      <c r="C18" s="11" t="inlineStr">
        <is>
          <t>Rs/t</t>
        </is>
      </c>
      <c r="D18" s="35" t="n">
        <v>69005.69014246373</v>
      </c>
      <c r="E18" s="35" t="n">
        <v>70422.29357485895</v>
      </c>
      <c r="F18" s="35" t="n">
        <v>60699.69175990533</v>
      </c>
      <c r="G18" s="35" t="n">
        <v>70221.98630476248</v>
      </c>
      <c r="H18" s="29">
        <f>'09 Steel Price Forecast'!K$22</f>
        <v/>
      </c>
      <c r="I18" s="54">
        <f>IF(ABS(H18-INDEX(D18:G18,ScenID))&lt;=ABS(H18)*0.005+0.01,"OK","FAIL")</f>
        <v/>
      </c>
      <c r="J18" s="3" t="inlineStr">
        <is>
          <t>Note the stress case sits ABOVE the bear case: a rupee collapse to 113/US$ lifts the rupee landed cost of imports by roughly 28% and supports domestic prices.</t>
        </is>
      </c>
    </row>
    <row r="19">
      <c r="B19" s="31" t="inlineStr">
        <is>
          <t>Cash cost per tonne</t>
        </is>
      </c>
      <c r="C19" s="11" t="inlineStr">
        <is>
          <t>Rs/t</t>
        </is>
      </c>
      <c r="D19" s="35" t="n">
        <v>57427.43830410502</v>
      </c>
      <c r="E19" s="35" t="n">
        <v>52672.57298002663</v>
      </c>
      <c r="F19" s="35" t="n">
        <v>55826.57615631484</v>
      </c>
      <c r="G19" s="35" t="n">
        <v>63253.10635298373</v>
      </c>
      <c r="H19" s="29">
        <f>'11 Cost Curve'!K$17</f>
        <v/>
      </c>
      <c r="I19" s="54">
        <f>IF(ABS(H19-INDEX(D19:G19,ScenID))&lt;=ABS(H19)*0.005+0.01,"OK","FAIL")</f>
        <v/>
      </c>
      <c r="J19" s="3" t="inlineStr"/>
    </row>
    <row r="20">
      <c r="B20" s="31" t="inlineStr">
        <is>
          <t>EBITDA per tonne</t>
        </is>
      </c>
      <c r="C20" s="11" t="inlineStr">
        <is>
          <t>Rs/t</t>
        </is>
      </c>
      <c r="D20" s="35" t="n">
        <v>11578.25183835872</v>
      </c>
      <c r="E20" s="35" t="n">
        <v>17749.72059483232</v>
      </c>
      <c r="F20" s="35" t="n">
        <v>4873.115603590486</v>
      </c>
      <c r="G20" s="35" t="n">
        <v>6968.879951778748</v>
      </c>
      <c r="H20" s="29">
        <f>'13 EBITDA Model'!K$16</f>
        <v/>
      </c>
      <c r="I20" s="54">
        <f>IF(ABS(H20-INDEX(D20:G20,ScenID))&lt;=ABS(H20)*0.005+0.01,"OK","FAIL")</f>
        <v/>
      </c>
      <c r="J20" s="3" t="inlineStr"/>
    </row>
    <row r="21">
      <c r="B21" s="31" t="inlineStr">
        <is>
          <t>Industry EBITDA margin</t>
        </is>
      </c>
      <c r="C21" s="11" t="inlineStr">
        <is>
          <t>%</t>
        </is>
      </c>
      <c r="D21" s="16" t="n">
        <v>0.1677869145929149</v>
      </c>
      <c r="E21" s="16" t="n">
        <v>0.2520468972792594</v>
      </c>
      <c r="F21" s="16" t="n">
        <v>0.08028237808629832</v>
      </c>
      <c r="G21" s="16" t="n">
        <v>0.09924071246765796</v>
      </c>
      <c r="H21" s="28">
        <f>'14 Margin Analysis'!K$17</f>
        <v/>
      </c>
      <c r="I21" s="54">
        <f>IF(ABS(H21-INDEX(D21:G21,ScenID))&lt;=ABS(H21)*0.005+0.01,"OK","FAIL")</f>
        <v/>
      </c>
      <c r="J21" s="3" t="inlineStr">
        <is>
          <t>Envelope check: bull 25.2% against the FY2022 observed peak of roughly 26%; stress 9.9% in the terminal year having troughed at -9.2% in FY2028.</t>
        </is>
      </c>
    </row>
    <row r="22">
      <c r="B22" s="31" t="inlineStr">
        <is>
          <t>Industry revenue</t>
        </is>
      </c>
      <c r="C22" s="11" t="inlineStr">
        <is>
          <t>Rs cr</t>
        </is>
      </c>
      <c r="D22" s="35" t="n">
        <v>1882078.66423876</v>
      </c>
      <c r="E22" s="35" t="n">
        <v>2122887.510301038</v>
      </c>
      <c r="F22" s="35" t="n">
        <v>1524938.063767337</v>
      </c>
      <c r="G22" s="35" t="n">
        <v>1583075.407662778</v>
      </c>
      <c r="H22" s="29">
        <f>'12 Revenue Forecast'!K$16</f>
        <v/>
      </c>
      <c r="I22" s="54">
        <f>IF(ABS(H22-INDEX(D22:G22,ScenID))&lt;=ABS(H22)*0.005+0.01,"OK","FAIL")</f>
        <v/>
      </c>
      <c r="J22" s="3" t="inlineStr"/>
    </row>
    <row r="23">
      <c r="B23" s="31" t="inlineStr">
        <is>
          <t>Industry EBITDA</t>
        </is>
      </c>
      <c r="C23" s="11" t="inlineStr">
        <is>
          <t>Rs cr</t>
        </is>
      </c>
      <c r="D23" s="35" t="n">
        <v>315788.1720937763</v>
      </c>
      <c r="E23" s="35" t="n">
        <v>535067.2102442685</v>
      </c>
      <c r="F23" s="35" t="n">
        <v>122425.6541935571</v>
      </c>
      <c r="G23" s="35" t="n">
        <v>157105.5313464822</v>
      </c>
      <c r="H23" s="29">
        <f>'13 EBITDA Model'!K$18</f>
        <v/>
      </c>
      <c r="I23" s="54">
        <f>IF(ABS(H23-INDEX(D23:G23,ScenID))&lt;=ABS(H23)*0.005+0.01,"OK","FAIL")</f>
        <v/>
      </c>
      <c r="J23" s="3" t="inlineStr">
        <is>
          <t>The spread from stress to bull is roughly 4.4x, which is the honest measure of uncertainty in an Indian steel forecast seven years out.</t>
        </is>
      </c>
    </row>
    <row r="24">
      <c r="B24" s="31" t="inlineStr">
        <is>
          <t>Unlevered free cash flow</t>
        </is>
      </c>
      <c r="C24" s="11" t="inlineStr">
        <is>
          <t>Rs cr</t>
        </is>
      </c>
      <c r="D24" s="35" t="n">
        <v>66854.32105727059</v>
      </c>
      <c r="E24" s="35" t="n">
        <v>223085.7465614432</v>
      </c>
      <c r="F24" s="35" t="n">
        <v>-49522.09145698386</v>
      </c>
      <c r="G24" s="35" t="n">
        <v>-5039.8635435943</v>
      </c>
      <c r="H24" s="29">
        <f>'16 Cash Flow Model'!K$32</f>
        <v/>
      </c>
      <c r="I24" s="54">
        <f>IF(ABS(H24-INDEX(D24:G24,ScenID))&lt;=ABS(H24)*0.005+0.01,"OK","FAIL")</f>
        <v/>
      </c>
      <c r="J24" s="3" t="inlineStr">
        <is>
          <t>Negative in bear and stress: the industry cannot fund roughly Rs 1.1 lakh crore a year of growth capex from a compressed margin.</t>
        </is>
      </c>
    </row>
    <row r="25">
      <c r="B25" s="2" t="inlineStr">
        <is>
          <t>TIE-OUT SUMMARY</t>
        </is>
      </c>
      <c r="I25" s="55">
        <f>IF(COUNTIF(I14:I24,"FAIL")=0,"ALL OK","0 CHECK(S) FAILED")</f>
        <v/>
      </c>
      <c r="J25" s="3" t="inlineStr">
        <is>
          <t>Tolerance is 0.5% plus an absolute floor, to absorb floating-point and rounding differences between Excel and the Python mirror. Any genuine formula error would exceed it by orders of magnitude.</t>
        </is>
      </c>
    </row>
    <row r="27">
      <c r="B27" s="5" t="inlineStr">
        <is>
          <t>SCENARIO DEFINITIONS</t>
        </is>
      </c>
    </row>
    <row r="28" ht="52" customHeight="1">
      <c r="B28" s="5" t="inlineStr">
        <is>
          <t>Base Case</t>
        </is>
      </c>
      <c r="D28" s="3" t="inlineStr">
        <is>
          <t>RBI's June-2026 FY2027 GDP projection of 6.6% converging to 6.5%. Elasticity 1.15x tapering to 1.05x. Realisation grows at roughly 2.0% a year, BELOW expected inflation, reflecting structural surplus capacity. Iron ore continues its decline to US$93/dmt; coking coal eases to US$200/t. Terminal margin 16.8% against 17.9% in FY2026 - i.e. the base case assumes mild margin erosion, not expansion.</t>
        </is>
      </c>
    </row>
    <row r="29" ht="39" customHeight="1">
      <c r="B29" s="5" t="inlineStr">
        <is>
          <t>Bull Case</t>
        </is>
      </c>
      <c r="D29" s="3" t="inlineStr">
        <is>
          <t>GDP roughly 80bps above base, elasticity 1.30x tapering to 1.15x, iron ore and coking coal at the low end, INR stable at 96. Calibrated to peak at a 26.0% industry margin in FY2030, matching the FY2022 observed cycle peak. This is a genuine ceiling, not an extrapolation.</t>
        </is>
      </c>
    </row>
    <row r="30" ht="52" customHeight="1">
      <c r="B30" s="5" t="inlineStr">
        <is>
          <t>Bear Case</t>
        </is>
      </c>
      <c r="D30" s="3" t="inlineStr">
        <is>
          <t>A DEMAND-LED downturn. GDP roughly 100bps below base and elasticity at 1.00x, but critically iron ore and coking coal FALL WITH demand - to US$83/dmt and US$170/t - because a global demand shortfall is disinflationary for raw materials. Modelling a bear case with demand down AND raw materials up would be internally contradictory. Margins compress to 7-11% rather than collapsing.</t>
        </is>
      </c>
    </row>
    <row r="31" ht="78" customHeight="1">
      <c r="B31" s="5" t="inlineStr">
        <is>
          <t>Stress Case</t>
        </is>
      </c>
      <c r="D31" s="3" t="inlineStr">
        <is>
          <t>A STAGFLATIONARY supply shock plus demand shock. Coking coal spikes to US$300/t - roughly 85% of the Oct-2023 peak of US$354/t - the rupee collapses to 113/US$, GDP falls to 4.4% in FY2027 and conversion cost inflation hits 7.5%. Realisation is HIGHER than the bear case in nominal rupees because of the import-parity effect of the currency, yet margin troughs at -9.2% in FY2028, marginally worse than the worst observation in the database (SAIL, FY2016, -7%). IMPORTANT LIMITATION: the model does not endogenise supply response, so it does not idle capacity when margins turn negative. Read the stress case as a lower bound on margin, not a central expectation.</t>
        </is>
      </c>
    </row>
  </sheetData>
  <printOptions horizontalCentered="1"/>
  <pageMargins left="0.75" right="0.75" top="1" bottom="1" header="0.5" footer="0.5"/>
  <pageSetup orientation="landscape" fitToHeight="0" fitToWidth="1"/>
  <tableParts count="1">
    <tablePart xmlns:r="http://schemas.openxmlformats.org/officeDocument/2006/relationships" r:id="rId1"/>
  </tableParts>
</worksheet>
</file>

<file path=xl/worksheets/sheet26.xml><?xml version="1.0" encoding="utf-8"?>
<worksheet xmlns="http://schemas.openxmlformats.org/spreadsheetml/2006/main">
  <sheetPr>
    <tabColor rgb="001F3864"/>
    <outlinePr summaryBelow="1" summaryRight="1"/>
    <pageSetUpPr fitToPage="1"/>
  </sheetPr>
  <dimension ref="A1:K78"/>
  <sheetViews>
    <sheetView showGridLines="0" workbookViewId="0">
      <selection activeCell="A1" sqref="A1"/>
    </sheetView>
  </sheetViews>
  <sheetFormatPr baseColWidth="8" defaultRowHeight="15"/>
  <cols>
    <col width="7" customWidth="1" min="1" max="1"/>
    <col width="42" customWidth="1" min="2" max="2"/>
    <col width="8" customWidth="1" min="3" max="3"/>
    <col width="18" customWidth="1" min="4" max="4"/>
    <col width="26" customWidth="1" min="5" max="5"/>
    <col width="52" customWidth="1" min="6" max="6"/>
    <col width="62" customWidth="1" min="7" max="7"/>
    <col width="100" customWidth="1" min="8" max="8"/>
    <col width="13" customWidth="1" min="9" max="9"/>
    <col width="13" customWidth="1" min="10" max="10"/>
    <col width="13" customWidth="1" min="11" max="11"/>
    <col width="12" customWidth="1" min="12" max="12"/>
    <col width="22" customWidth="1" min="13" max="13"/>
    <col width="12" customWidth="1" min="14" max="14"/>
    <col width="100" customWidth="1" min="15" max="15"/>
  </cols>
  <sheetData>
    <row r="1" ht="19" customHeight="1">
      <c r="B1" s="1" t="inlineStr">
        <is>
          <t>22  Sensitivity Analysis</t>
        </is>
      </c>
    </row>
    <row r="2">
      <c r="B2" s="4" t="inlineStr">
        <is>
          <t>Industry Financial Model  |  Indian Steel Industry  |  Horizon FY2027E-FY2033E  |  Base year FY2026A  |  Built 03-Aug-2026</t>
        </is>
      </c>
    </row>
    <row r="3">
      <c r="B3" s="3" t="inlineStr"/>
    </row>
    <row r="4">
      <c r="B4" s="4" t="inlineStr">
        <is>
          <t>OBJECTIVE</t>
        </is>
      </c>
    </row>
    <row r="5">
      <c r="B5" s="3" t="inlineStr">
        <is>
          <t>Isolates how much of the answer depends on each assumption, including the four that are unsourced.</t>
        </is>
      </c>
    </row>
    <row r="6">
      <c r="B6" s="4" t="inlineStr">
        <is>
          <t>METHODOLOGY</t>
        </is>
      </c>
    </row>
    <row r="7">
      <c r="B7" s="3" t="inlineStr">
        <is>
          <t>Three constructs. (1) A tornado ranking every driver by the FY2033 industry EBITDA impact of a 10% ADVERSE move - the direction that reduces EBITDA, which is +10% for cost drivers and -10% for revenue and volume drivers; getting that direction wrong is the commonest tornado error, so it is stated per row. Tornado values are computed by the Python mirror because each requires a full chain re-run. (2) Two LIVE two-variable tables that recompute in Excel. (3) A dedicated block quantifying the unsourced assumptions.</t>
        </is>
      </c>
    </row>
    <row r="8">
      <c r="B8" s="4" t="inlineStr">
        <is>
          <t>UNITS</t>
        </is>
      </c>
    </row>
    <row r="9">
      <c r="B9" s="3" t="inlineStr">
        <is>
          <t>Rs crore, Rs per tonne, percentages as decimals.</t>
        </is>
      </c>
    </row>
    <row r="10">
      <c r="B10" s="4" t="inlineStr">
        <is>
          <t>DEPENDENCIES</t>
        </is>
      </c>
    </row>
    <row r="11">
      <c r="B11" s="3" t="inlineStr">
        <is>
          <t>Reads the whole model. Read by 24 Dashboard.</t>
        </is>
      </c>
    </row>
    <row r="12">
      <c r="B12" s="3" t="inlineStr"/>
    </row>
    <row r="13">
      <c r="B13" s="5" t="inlineStr">
        <is>
          <t>A - TORNADO: FY2033E INDUSTRY EBITDA, 10% ADVERSE MOVE (Base Case)</t>
        </is>
      </c>
    </row>
    <row r="14" ht="30" customHeight="1">
      <c r="A14" s="7" t="inlineStr"/>
      <c r="B14" s="8" t="inlineStr">
        <is>
          <t>Driver</t>
        </is>
      </c>
      <c r="C14" s="7" t="inlineStr">
        <is>
          <t>ID</t>
        </is>
      </c>
      <c r="D14" s="7" t="inlineStr">
        <is>
          <t>Adverse direction</t>
        </is>
      </c>
      <c r="E14" s="7" t="inlineStr">
        <is>
          <t>FY2033E EBITDA (Rs cr)</t>
        </is>
      </c>
      <c r="F14" s="7" t="inlineStr">
        <is>
          <t>Change (Rs cr)</t>
        </is>
      </c>
      <c r="G14" s="7" t="inlineStr">
        <is>
          <t>Change (%)</t>
        </is>
      </c>
      <c r="H14" s="8" t="inlineStr">
        <is>
          <t>Interpretation</t>
        </is>
      </c>
    </row>
    <row r="15">
      <c r="B15" s="31" t="inlineStr">
        <is>
          <t>Blended realisation</t>
        </is>
      </c>
      <c r="C15" s="13" t="inlineStr">
        <is>
          <t>D09</t>
        </is>
      </c>
      <c r="D15" s="9" t="inlineStr">
        <is>
          <t>-10%</t>
        </is>
      </c>
      <c r="E15" s="35" t="n">
        <v>127580.3056699005</v>
      </c>
      <c r="F15" s="35" t="n">
        <v>-188207.8664238758</v>
      </c>
      <c r="G15" s="16" t="n">
        <v>-0.5959940335193608</v>
      </c>
      <c r="H15" s="3" t="inlineStr">
        <is>
          <t>By far the dominant driver. A 10% realisation move is worth roughly 60% of industry EBITDA, which is the arithmetic of a 17.9% margin: a 10% price move is a 56% move in the margin. Any valuation of this sector is primarily a price call.</t>
        </is>
      </c>
    </row>
    <row r="16">
      <c r="B16" s="31" t="inlineStr">
        <is>
          <t>USD/INR</t>
        </is>
      </c>
      <c r="C16" s="13" t="inlineStr">
        <is>
          <t>D03</t>
        </is>
      </c>
      <c r="D16" s="9" t="inlineStr">
        <is>
          <t>+10%</t>
        </is>
      </c>
      <c r="E16" s="35" t="n">
        <v>241003.3909986167</v>
      </c>
      <c r="F16" s="35" t="n">
        <v>-74784.78109515962</v>
      </c>
      <c r="G16" s="16" t="n">
        <v>-0.236819449567451</v>
      </c>
      <c r="H16" s="3" t="inlineStr">
        <is>
          <t>The second largest, and frequently underestimated. Iron ore and coking coal are dollar-priced, so a 10% rupee depreciation raises rupee input cost across the whole basket simultaneously. Note the model does NOT credit the offsetting import-parity support to realisation in this isolated flex - that interaction is captured in the stress scenario, which is why the stress case is not simply the sum of these individual flexes.</t>
        </is>
      </c>
    </row>
    <row r="17">
      <c r="B17" s="31" t="inlineStr">
        <is>
          <t>Real GDP growth</t>
        </is>
      </c>
      <c r="C17" s="13" t="inlineStr">
        <is>
          <t>D01</t>
        </is>
      </c>
      <c r="D17" s="9" t="inlineStr">
        <is>
          <t>-10%</t>
        </is>
      </c>
      <c r="E17" s="35" t="n">
        <v>277413.618443138</v>
      </c>
      <c r="F17" s="35" t="n">
        <v>-38374.55365063832</v>
      </c>
      <c r="G17" s="16" t="n">
        <v>-0.121519920762715</v>
      </c>
      <c r="H17" s="3" t="inlineStr">
        <is>
          <t>Works through both volume and, via utilisation, price. The fact that GDP and elasticity show identical impacts confirms the model treats them as a pure product, as intended.</t>
        </is>
      </c>
    </row>
    <row r="18">
      <c r="B18" s="31" t="inlineStr">
        <is>
          <t>Demand elasticity</t>
        </is>
      </c>
      <c r="C18" s="13" t="inlineStr">
        <is>
          <t>D02</t>
        </is>
      </c>
      <c r="D18" s="9" t="inlineStr">
        <is>
          <t>-10%</t>
        </is>
      </c>
      <c r="E18" s="35" t="n">
        <v>277413.618443138</v>
      </c>
      <c r="F18" s="35" t="n">
        <v>-38374.55365063832</v>
      </c>
      <c r="G18" s="16" t="n">
        <v>-0.121519920762715</v>
      </c>
      <c r="H18" s="3" t="inlineStr">
        <is>
          <t>Identical to GDP by construction - demand growth is their product.</t>
        </is>
      </c>
    </row>
    <row r="19">
      <c r="B19" s="31" t="inlineStr">
        <is>
          <t>Iron ore price</t>
        </is>
      </c>
      <c r="C19" s="13" t="inlineStr">
        <is>
          <t>D10</t>
        </is>
      </c>
      <c r="D19" s="9" t="inlineStr">
        <is>
          <t>+10%</t>
        </is>
      </c>
      <c r="E19" s="35" t="n">
        <v>277647.5509619861</v>
      </c>
      <c r="F19" s="35" t="n">
        <v>-38140.62113179022</v>
      </c>
      <c r="G19" s="16" t="n">
        <v>-0.1207791313997156</v>
      </c>
      <c r="H19" s="3" t="inlineStr">
        <is>
          <t>Iron ore at 45% of the raw material basket, which is 60% of cash cost.</t>
        </is>
      </c>
    </row>
    <row r="20">
      <c r="B20" s="31" t="inlineStr">
        <is>
          <t>Coking coal price</t>
        </is>
      </c>
      <c r="C20" s="13" t="inlineStr">
        <is>
          <t>D11</t>
        </is>
      </c>
      <c r="D20" s="9" t="inlineStr">
        <is>
          <t>+10%</t>
        </is>
      </c>
      <c r="E20" s="35" t="n">
        <v>279144.0121304067</v>
      </c>
      <c r="F20" s="35" t="n">
        <v>-36644.1599633696</v>
      </c>
      <c r="G20" s="16" t="n">
        <v>-0.1160403181677361</v>
      </c>
      <c r="H20" s="3" t="inlineStr">
        <is>
          <t>Coking coal, same basket weight. Note it ranks BELOW iron ore only because the FY2033 base level is closer to its FY2026 reference; in the stress case coking coal is the dominant cost driver.</t>
        </is>
      </c>
    </row>
    <row r="21">
      <c r="B21" s="31" t="inlineStr">
        <is>
          <t>Conversion cost inflation</t>
        </is>
      </c>
      <c r="C21" s="13" t="inlineStr">
        <is>
          <t>D12</t>
        </is>
      </c>
      <c r="D21" s="9" t="inlineStr">
        <is>
          <t>+10%</t>
        </is>
      </c>
      <c r="E21" s="35" t="n">
        <v>292957.3405803083</v>
      </c>
      <c r="F21" s="35" t="n">
        <v>-22830.83151346806</v>
      </c>
      <c r="G21" s="16" t="n">
        <v>-0.07229793111658477</v>
      </c>
      <c r="H21" s="3" t="inlineStr">
        <is>
          <t>Conversion cost inflation on the 40% of cash cost not indexed to raw materials.</t>
        </is>
      </c>
    </row>
    <row r="22">
      <c r="B22" s="31" t="inlineStr">
        <is>
          <t>Raw material share of cash cost</t>
        </is>
      </c>
      <c r="C22" s="13" t="inlineStr">
        <is>
          <t>D13</t>
        </is>
      </c>
      <c r="D22" s="9" t="inlineStr">
        <is>
          <t>+10%</t>
        </is>
      </c>
      <c r="E22" s="35" t="n">
        <v>337081.4448778402</v>
      </c>
      <c r="F22" s="35" t="n">
        <v>21293.27278406388</v>
      </c>
      <c r="G22" s="16" t="n">
        <v>0.06742897507174728</v>
      </c>
      <c r="H22" s="3" t="inlineStr">
        <is>
          <t>POSITIVE because raising the raw-material share shifts weight away from conversion cost, which is compounding faster than the raw material basket in the base case. This is a genuine model insight: the direction of this UNSOURCED parameter's effect depends on the relative escalation of the two components.</t>
        </is>
      </c>
    </row>
    <row r="23">
      <c r="B23" s="31" t="inlineStr">
        <is>
          <t>Secondary capacity additions</t>
        </is>
      </c>
      <c r="C23" s="13" t="inlineStr">
        <is>
          <t>D22</t>
        </is>
      </c>
      <c r="D23" s="9" t="inlineStr">
        <is>
          <t>+10%</t>
        </is>
      </c>
      <c r="E23" s="35" t="n">
        <v>303573.1697724306</v>
      </c>
      <c r="F23" s="35" t="n">
        <v>-12215.00232134573</v>
      </c>
      <c r="G23" s="16" t="n">
        <v>-0.03868100011585731</v>
      </c>
      <c r="H23" s="3" t="inlineStr">
        <is>
          <t>NEGATIVE - more capacity is EBITDA-negative because it depresses utilisation, which feeds back into price via D23. This is the economically correct result and the opposite of the naive intuition that more capacity means more earnings.</t>
        </is>
      </c>
    </row>
    <row r="24">
      <c r="B24" s="31" t="inlineStr">
        <is>
          <t>Pipeline delivery factor</t>
        </is>
      </c>
      <c r="C24" s="13" t="inlineStr">
        <is>
          <t>D05</t>
        </is>
      </c>
      <c r="D24" s="9" t="inlineStr">
        <is>
          <t>+10%</t>
        </is>
      </c>
      <c r="E24" s="35" t="n">
        <v>309138.1230809003</v>
      </c>
      <c r="F24" s="35" t="n">
        <v>-6650.049012875999</v>
      </c>
      <c r="G24" s="16" t="n">
        <v>-0.02105857533796802</v>
      </c>
      <c r="H24" s="3" t="inlineStr">
        <is>
          <t>Same mechanism as D22, smaller because announced additions are a minority of total additions.</t>
        </is>
      </c>
    </row>
    <row r="25">
      <c r="B25" s="21" t="inlineStr">
        <is>
          <t>Base Case FY2033E industry EBITDA</t>
        </is>
      </c>
      <c r="E25" s="29" t="n">
        <v>315788.1720937763</v>
      </c>
      <c r="H25" s="3" t="inlineStr">
        <is>
          <t>Computed by the Python mirror. Cross-checked against the live workbook by the tie-out on 21 Scenario Manager.</t>
        </is>
      </c>
    </row>
    <row r="28">
      <c r="B28" s="5" t="inlineStr">
        <is>
          <t>B - HELPER CONSTANTS FOR THE LIVE TABLES (all linked, none re-entered)</t>
        </is>
      </c>
    </row>
    <row r="29">
      <c r="B29" s="10" t="inlineStr">
        <is>
          <t>FY2026 cash cost anchor</t>
        </is>
      </c>
      <c r="C29" s="11" t="inlineStr">
        <is>
          <t>Rs/t</t>
        </is>
      </c>
      <c r="D29" s="35" t="n">
        <v>49241</v>
      </c>
    </row>
    <row r="30">
      <c r="B30" s="10" t="inlineStr">
        <is>
          <t>Raw material share of cash cost</t>
        </is>
      </c>
      <c r="C30" s="11" t="inlineStr">
        <is>
          <t>%</t>
        </is>
      </c>
      <c r="D30" s="16" t="inlineStr">
        <is>
          <t>'02 Model Assumptions'!K$134</t>
        </is>
      </c>
    </row>
    <row r="31">
      <c r="B31" s="10" t="inlineStr">
        <is>
          <t>Iron ore weight in basket</t>
        </is>
      </c>
      <c r="C31" s="11" t="inlineStr">
        <is>
          <t>%</t>
        </is>
      </c>
      <c r="D31" s="16" t="inlineStr">
        <is>
          <t>'02 Model Assumptions'!K$135</t>
        </is>
      </c>
    </row>
    <row r="32">
      <c r="B32" s="10" t="inlineStr">
        <is>
          <t>FY2033E conversion cost index</t>
        </is>
      </c>
      <c r="C32" s="11" t="inlineStr">
        <is>
          <t>x</t>
        </is>
      </c>
      <c r="D32" s="42">
        <f>'10 Raw Material Forecast'!K$25</f>
        <v/>
      </c>
    </row>
    <row r="33">
      <c r="B33" s="10" t="inlineStr">
        <is>
          <t>FY2033E iron ore in rupees</t>
        </is>
      </c>
      <c r="C33" s="11" t="inlineStr">
        <is>
          <t>Rs/dmt</t>
        </is>
      </c>
      <c r="D33" s="35">
        <f>'10 Raw Material Forecast'!K$20</f>
        <v/>
      </c>
    </row>
    <row r="34">
      <c r="B34" s="10" t="inlineStr">
        <is>
          <t>FY2026 iron ore in rupees</t>
        </is>
      </c>
      <c r="C34" s="11" t="inlineStr">
        <is>
          <t>Rs/dmt</t>
        </is>
      </c>
      <c r="D34" s="35" t="n">
        <v>8885.968000000001</v>
      </c>
    </row>
    <row r="35">
      <c r="B35" s="10" t="inlineStr">
        <is>
          <t>FY2026 coking coal in rupees</t>
        </is>
      </c>
      <c r="C35" s="11" t="inlineStr">
        <is>
          <t>Rs/t</t>
        </is>
      </c>
      <c r="D35" s="35" t="n">
        <v>19890</v>
      </c>
    </row>
    <row r="36">
      <c r="B36" s="10" t="inlineStr">
        <is>
          <t>FY2033E USD/INR</t>
        </is>
      </c>
      <c r="C36" s="11" t="inlineStr">
        <is>
          <t>Rs/US$</t>
        </is>
      </c>
      <c r="D36" s="34">
        <f>'10 Raw Material Forecast'!K$17</f>
        <v/>
      </c>
    </row>
    <row r="37">
      <c r="B37" s="10" t="inlineStr">
        <is>
          <t>FY2033E price adjustment factor</t>
        </is>
      </c>
      <c r="C37" s="11" t="inlineStr">
        <is>
          <t>x</t>
        </is>
      </c>
      <c r="D37" s="42">
        <f>'09 Steel Price Forecast'!K$21</f>
        <v/>
      </c>
    </row>
    <row r="38">
      <c r="B38" s="10" t="inlineStr">
        <is>
          <t>FY2033E capacity</t>
        </is>
      </c>
      <c r="C38" s="11" t="inlineStr">
        <is>
          <t>Mtpa</t>
        </is>
      </c>
      <c r="D38" s="40">
        <f>'06 Capacity Forecast'!K$20</f>
        <v/>
      </c>
    </row>
    <row r="39">
      <c r="B39" s="10" t="inlineStr">
        <is>
          <t>FY2033E crude-to-finished ratio</t>
        </is>
      </c>
      <c r="C39" s="11" t="inlineStr">
        <is>
          <t>x</t>
        </is>
      </c>
      <c r="D39" s="33">
        <f>'05 Steel Supply Model'!K$18</f>
        <v/>
      </c>
    </row>
    <row r="40">
      <c r="B40" s="10" t="inlineStr">
        <is>
          <t>FY2033E cash cost</t>
        </is>
      </c>
      <c r="C40" s="11" t="inlineStr">
        <is>
          <t>Rs/t</t>
        </is>
      </c>
      <c r="D40" s="35">
        <f>'11 Cost Curve'!K$17</f>
        <v/>
      </c>
    </row>
    <row r="43">
      <c r="B43" s="5" t="inlineStr">
        <is>
          <t>C - LIVE TABLE 1: FY2033E EBITDA PER TONNE (Rs/t) - realisation vs coking coal</t>
        </is>
      </c>
    </row>
    <row r="44" ht="26" customHeight="1">
      <c r="B44" s="23" t="inlineStr">
        <is>
          <t>Rows are the FY2033E realisation driver (Rs/t); columns are coking coal (US$/t). Every cell is a live formula rebuilding the cost equation from the helper constants above - change any driver and the whole grid moves.</t>
        </is>
      </c>
    </row>
    <row r="45">
      <c r="B45" s="56" t="inlineStr">
        <is>
          <t>Realisation \ Coking coal</t>
        </is>
      </c>
      <c r="D45" s="57" t="n">
        <v>160</v>
      </c>
      <c r="E45" s="57" t="n">
        <v>180</v>
      </c>
      <c r="F45" s="57" t="n">
        <v>200</v>
      </c>
      <c r="G45" s="57" t="n">
        <v>220</v>
      </c>
      <c r="H45" s="57" t="n">
        <v>240</v>
      </c>
      <c r="I45" s="57" t="n">
        <v>260</v>
      </c>
      <c r="J45" s="57" t="n">
        <v>280</v>
      </c>
    </row>
    <row r="46">
      <c r="B46" s="58" t="n">
        <v>58000</v>
      </c>
      <c r="D46" s="35">
        <f>$B46*$D$37-($D$29*($D$30*($D$31*($D$33/$D$34)+$D$31*(D45*$D$36/$D$35)+(1-2*$D$31)*$D$32)+(1-$D$30)*$D$32))</f>
        <v/>
      </c>
      <c r="E46" s="35">
        <f>$B46*$D$37-($D$29*($D$30*($D$31*($D$33/$D$34)+$D$31*(E45*$D$36/$D$35)+(1-2*$D$31)*$D$32)+(1-$D$30)*$D$32))</f>
        <v/>
      </c>
      <c r="F46" s="35">
        <f>$B46*$D$37-($D$29*($D$30*($D$31*($D$33/$D$34)+$D$31*(F45*$D$36/$D$35)+(1-2*$D$31)*$D$32)+(1-$D$30)*$D$32))</f>
        <v/>
      </c>
      <c r="G46" s="35">
        <f>$B46*$D$37-($D$29*($D$30*($D$31*($D$33/$D$34)+$D$31*(G45*$D$36/$D$35)+(1-2*$D$31)*$D$32)+(1-$D$30)*$D$32))</f>
        <v/>
      </c>
      <c r="H46" s="35">
        <f>$B46*$D$37-($D$29*($D$30*($D$31*($D$33/$D$34)+$D$31*(H45*$D$36/$D$35)+(1-2*$D$31)*$D$32)+(1-$D$30)*$D$32))</f>
        <v/>
      </c>
      <c r="I46" s="35">
        <f>$B46*$D$37-($D$29*($D$30*($D$31*($D$33/$D$34)+$D$31*(I45*$D$36/$D$35)+(1-2*$D$31)*$D$32)+(1-$D$30)*$D$32))</f>
        <v/>
      </c>
      <c r="J46" s="35">
        <f>$B46*$D$37-($D$29*($D$30*($D$31*($D$33/$D$34)+$D$31*(J45*$D$36/$D$35)+(1-2*$D$31)*$D$32)+(1-$D$30)*$D$32))</f>
        <v/>
      </c>
    </row>
    <row r="47">
      <c r="B47" s="58" t="n">
        <v>61000</v>
      </c>
      <c r="D47" s="35">
        <f>$B47*$D$37-($D$29*($D$30*($D$31*($D$33/$D$34)+$D$31*(D45*$D$36/$D$35)+(1-2*$D$31)*$D$32)+(1-$D$30)*$D$32))</f>
        <v/>
      </c>
      <c r="E47" s="35">
        <f>$B47*$D$37-($D$29*($D$30*($D$31*($D$33/$D$34)+$D$31*(E45*$D$36/$D$35)+(1-2*$D$31)*$D$32)+(1-$D$30)*$D$32))</f>
        <v/>
      </c>
      <c r="F47" s="35">
        <f>$B47*$D$37-($D$29*($D$30*($D$31*($D$33/$D$34)+$D$31*(F45*$D$36/$D$35)+(1-2*$D$31)*$D$32)+(1-$D$30)*$D$32))</f>
        <v/>
      </c>
      <c r="G47" s="35">
        <f>$B47*$D$37-($D$29*($D$30*($D$31*($D$33/$D$34)+$D$31*(G45*$D$36/$D$35)+(1-2*$D$31)*$D$32)+(1-$D$30)*$D$32))</f>
        <v/>
      </c>
      <c r="H47" s="35">
        <f>$B47*$D$37-($D$29*($D$30*($D$31*($D$33/$D$34)+$D$31*(H45*$D$36/$D$35)+(1-2*$D$31)*$D$32)+(1-$D$30)*$D$32))</f>
        <v/>
      </c>
      <c r="I47" s="35">
        <f>$B47*$D$37-($D$29*($D$30*($D$31*($D$33/$D$34)+$D$31*(I45*$D$36/$D$35)+(1-2*$D$31)*$D$32)+(1-$D$30)*$D$32))</f>
        <v/>
      </c>
      <c r="J47" s="35">
        <f>$B47*$D$37-($D$29*($D$30*($D$31*($D$33/$D$34)+$D$31*(J45*$D$36/$D$35)+(1-2*$D$31)*$D$32)+(1-$D$30)*$D$32))</f>
        <v/>
      </c>
    </row>
    <row r="48">
      <c r="B48" s="58" t="n">
        <v>64000</v>
      </c>
      <c r="D48" s="35">
        <f>$B48*$D$37-($D$29*($D$30*($D$31*($D$33/$D$34)+$D$31*(D45*$D$36/$D$35)+(1-2*$D$31)*$D$32)+(1-$D$30)*$D$32))</f>
        <v/>
      </c>
      <c r="E48" s="35">
        <f>$B48*$D$37-($D$29*($D$30*($D$31*($D$33/$D$34)+$D$31*(E45*$D$36/$D$35)+(1-2*$D$31)*$D$32)+(1-$D$30)*$D$32))</f>
        <v/>
      </c>
      <c r="F48" s="35">
        <f>$B48*$D$37-($D$29*($D$30*($D$31*($D$33/$D$34)+$D$31*(F45*$D$36/$D$35)+(1-2*$D$31)*$D$32)+(1-$D$30)*$D$32))</f>
        <v/>
      </c>
      <c r="G48" s="35">
        <f>$B48*$D$37-($D$29*($D$30*($D$31*($D$33/$D$34)+$D$31*(G45*$D$36/$D$35)+(1-2*$D$31)*$D$32)+(1-$D$30)*$D$32))</f>
        <v/>
      </c>
      <c r="H48" s="35">
        <f>$B48*$D$37-($D$29*($D$30*($D$31*($D$33/$D$34)+$D$31*(H45*$D$36/$D$35)+(1-2*$D$31)*$D$32)+(1-$D$30)*$D$32))</f>
        <v/>
      </c>
      <c r="I48" s="35">
        <f>$B48*$D$37-($D$29*($D$30*($D$31*($D$33/$D$34)+$D$31*(I45*$D$36/$D$35)+(1-2*$D$31)*$D$32)+(1-$D$30)*$D$32))</f>
        <v/>
      </c>
      <c r="J48" s="35">
        <f>$B48*$D$37-($D$29*($D$30*($D$31*($D$33/$D$34)+$D$31*(J45*$D$36/$D$35)+(1-2*$D$31)*$D$32)+(1-$D$30)*$D$32))</f>
        <v/>
      </c>
    </row>
    <row r="49">
      <c r="B49" s="58" t="n">
        <v>66000</v>
      </c>
      <c r="D49" s="35">
        <f>$B49*$D$37-($D$29*($D$30*($D$31*($D$33/$D$34)+$D$31*(D45*$D$36/$D$35)+(1-2*$D$31)*$D$32)+(1-$D$30)*$D$32))</f>
        <v/>
      </c>
      <c r="E49" s="35">
        <f>$B49*$D$37-($D$29*($D$30*($D$31*($D$33/$D$34)+$D$31*(E45*$D$36/$D$35)+(1-2*$D$31)*$D$32)+(1-$D$30)*$D$32))</f>
        <v/>
      </c>
      <c r="F49" s="35">
        <f>$B49*$D$37-($D$29*($D$30*($D$31*($D$33/$D$34)+$D$31*(F45*$D$36/$D$35)+(1-2*$D$31)*$D$32)+(1-$D$30)*$D$32))</f>
        <v/>
      </c>
      <c r="G49" s="35">
        <f>$B49*$D$37-($D$29*($D$30*($D$31*($D$33/$D$34)+$D$31*(G45*$D$36/$D$35)+(1-2*$D$31)*$D$32)+(1-$D$30)*$D$32))</f>
        <v/>
      </c>
      <c r="H49" s="35">
        <f>$B49*$D$37-($D$29*($D$30*($D$31*($D$33/$D$34)+$D$31*(H45*$D$36/$D$35)+(1-2*$D$31)*$D$32)+(1-$D$30)*$D$32))</f>
        <v/>
      </c>
      <c r="I49" s="35">
        <f>$B49*$D$37-($D$29*($D$30*($D$31*($D$33/$D$34)+$D$31*(I45*$D$36/$D$35)+(1-2*$D$31)*$D$32)+(1-$D$30)*$D$32))</f>
        <v/>
      </c>
      <c r="J49" s="35">
        <f>$B49*$D$37-($D$29*($D$30*($D$31*($D$33/$D$34)+$D$31*(J45*$D$36/$D$35)+(1-2*$D$31)*$D$32)+(1-$D$30)*$D$32))</f>
        <v/>
      </c>
    </row>
    <row r="50">
      <c r="B50" s="58" t="n">
        <v>68000</v>
      </c>
      <c r="D50" s="35">
        <f>$B50*$D$37-($D$29*($D$30*($D$31*($D$33/$D$34)+$D$31*(D45*$D$36/$D$35)+(1-2*$D$31)*$D$32)+(1-$D$30)*$D$32))</f>
        <v/>
      </c>
      <c r="E50" s="35">
        <f>$B50*$D$37-($D$29*($D$30*($D$31*($D$33/$D$34)+$D$31*(E45*$D$36/$D$35)+(1-2*$D$31)*$D$32)+(1-$D$30)*$D$32))</f>
        <v/>
      </c>
      <c r="F50" s="35">
        <f>$B50*$D$37-($D$29*($D$30*($D$31*($D$33/$D$34)+$D$31*(F45*$D$36/$D$35)+(1-2*$D$31)*$D$32)+(1-$D$30)*$D$32))</f>
        <v/>
      </c>
      <c r="G50" s="35">
        <f>$B50*$D$37-($D$29*($D$30*($D$31*($D$33/$D$34)+$D$31*(G45*$D$36/$D$35)+(1-2*$D$31)*$D$32)+(1-$D$30)*$D$32))</f>
        <v/>
      </c>
      <c r="H50" s="35">
        <f>$B50*$D$37-($D$29*($D$30*($D$31*($D$33/$D$34)+$D$31*(H45*$D$36/$D$35)+(1-2*$D$31)*$D$32)+(1-$D$30)*$D$32))</f>
        <v/>
      </c>
      <c r="I50" s="35">
        <f>$B50*$D$37-($D$29*($D$30*($D$31*($D$33/$D$34)+$D$31*(I45*$D$36/$D$35)+(1-2*$D$31)*$D$32)+(1-$D$30)*$D$32))</f>
        <v/>
      </c>
      <c r="J50" s="35">
        <f>$B50*$D$37-($D$29*($D$30*($D$31*($D$33/$D$34)+$D$31*(J45*$D$36/$D$35)+(1-2*$D$31)*$D$32)+(1-$D$30)*$D$32))</f>
        <v/>
      </c>
    </row>
    <row r="51">
      <c r="B51" s="58" t="n">
        <v>71000</v>
      </c>
      <c r="D51" s="35">
        <f>$B51*$D$37-($D$29*($D$30*($D$31*($D$33/$D$34)+$D$31*(D45*$D$36/$D$35)+(1-2*$D$31)*$D$32)+(1-$D$30)*$D$32))</f>
        <v/>
      </c>
      <c r="E51" s="35">
        <f>$B51*$D$37-($D$29*($D$30*($D$31*($D$33/$D$34)+$D$31*(E45*$D$36/$D$35)+(1-2*$D$31)*$D$32)+(1-$D$30)*$D$32))</f>
        <v/>
      </c>
      <c r="F51" s="35">
        <f>$B51*$D$37-($D$29*($D$30*($D$31*($D$33/$D$34)+$D$31*(F45*$D$36/$D$35)+(1-2*$D$31)*$D$32)+(1-$D$30)*$D$32))</f>
        <v/>
      </c>
      <c r="G51" s="35">
        <f>$B51*$D$37-($D$29*($D$30*($D$31*($D$33/$D$34)+$D$31*(G45*$D$36/$D$35)+(1-2*$D$31)*$D$32)+(1-$D$30)*$D$32))</f>
        <v/>
      </c>
      <c r="H51" s="35">
        <f>$B51*$D$37-($D$29*($D$30*($D$31*($D$33/$D$34)+$D$31*(H45*$D$36/$D$35)+(1-2*$D$31)*$D$32)+(1-$D$30)*$D$32))</f>
        <v/>
      </c>
      <c r="I51" s="35">
        <f>$B51*$D$37-($D$29*($D$30*($D$31*($D$33/$D$34)+$D$31*(I45*$D$36/$D$35)+(1-2*$D$31)*$D$32)+(1-$D$30)*$D$32))</f>
        <v/>
      </c>
      <c r="J51" s="35">
        <f>$B51*$D$37-($D$29*($D$30*($D$31*($D$33/$D$34)+$D$31*(J45*$D$36/$D$35)+(1-2*$D$31)*$D$32)+(1-$D$30)*$D$32))</f>
        <v/>
      </c>
    </row>
    <row r="52">
      <c r="B52" s="58" t="n">
        <v>74000</v>
      </c>
      <c r="D52" s="35">
        <f>$B52*$D$37-($D$29*($D$30*($D$31*($D$33/$D$34)+$D$31*(D45*$D$36/$D$35)+(1-2*$D$31)*$D$32)+(1-$D$30)*$D$32))</f>
        <v/>
      </c>
      <c r="E52" s="35">
        <f>$B52*$D$37-($D$29*($D$30*($D$31*($D$33/$D$34)+$D$31*(E45*$D$36/$D$35)+(1-2*$D$31)*$D$32)+(1-$D$30)*$D$32))</f>
        <v/>
      </c>
      <c r="F52" s="35">
        <f>$B52*$D$37-($D$29*($D$30*($D$31*($D$33/$D$34)+$D$31*(F45*$D$36/$D$35)+(1-2*$D$31)*$D$32)+(1-$D$30)*$D$32))</f>
        <v/>
      </c>
      <c r="G52" s="35">
        <f>$B52*$D$37-($D$29*($D$30*($D$31*($D$33/$D$34)+$D$31*(G45*$D$36/$D$35)+(1-2*$D$31)*$D$32)+(1-$D$30)*$D$32))</f>
        <v/>
      </c>
      <c r="H52" s="35">
        <f>$B52*$D$37-($D$29*($D$30*($D$31*($D$33/$D$34)+$D$31*(H45*$D$36/$D$35)+(1-2*$D$31)*$D$32)+(1-$D$30)*$D$32))</f>
        <v/>
      </c>
      <c r="I52" s="35">
        <f>$B52*$D$37-($D$29*($D$30*($D$31*($D$33/$D$34)+$D$31*(I45*$D$36/$D$35)+(1-2*$D$31)*$D$32)+(1-$D$30)*$D$32))</f>
        <v/>
      </c>
      <c r="J52" s="35">
        <f>$B52*$D$37-($D$29*($D$30*($D$31*($D$33/$D$34)+$D$31*(J45*$D$36/$D$35)+(1-2*$D$31)*$D$32)+(1-$D$30)*$D$32))</f>
        <v/>
      </c>
    </row>
    <row r="53">
      <c r="B53" s="58" t="n">
        <v>77000</v>
      </c>
      <c r="D53" s="35">
        <f>$B53*$D$37-($D$29*($D$30*($D$31*($D$33/$D$34)+$D$31*(D45*$D$36/$D$35)+(1-2*$D$31)*$D$32)+(1-$D$30)*$D$32))</f>
        <v/>
      </c>
      <c r="E53" s="35">
        <f>$B53*$D$37-($D$29*($D$30*($D$31*($D$33/$D$34)+$D$31*(E45*$D$36/$D$35)+(1-2*$D$31)*$D$32)+(1-$D$30)*$D$32))</f>
        <v/>
      </c>
      <c r="F53" s="35">
        <f>$B53*$D$37-($D$29*($D$30*($D$31*($D$33/$D$34)+$D$31*(F45*$D$36/$D$35)+(1-2*$D$31)*$D$32)+(1-$D$30)*$D$32))</f>
        <v/>
      </c>
      <c r="G53" s="35">
        <f>$B53*$D$37-($D$29*($D$30*($D$31*($D$33/$D$34)+$D$31*(G45*$D$36/$D$35)+(1-2*$D$31)*$D$32)+(1-$D$30)*$D$32))</f>
        <v/>
      </c>
      <c r="H53" s="35">
        <f>$B53*$D$37-($D$29*($D$30*($D$31*($D$33/$D$34)+$D$31*(H45*$D$36/$D$35)+(1-2*$D$31)*$D$32)+(1-$D$30)*$D$32))</f>
        <v/>
      </c>
      <c r="I53" s="35">
        <f>$B53*$D$37-($D$29*($D$30*($D$31*($D$33/$D$34)+$D$31*(I45*$D$36/$D$35)+(1-2*$D$31)*$D$32)+(1-$D$30)*$D$32))</f>
        <v/>
      </c>
      <c r="J53" s="35">
        <f>$B53*$D$37-($D$29*($D$30*($D$31*($D$33/$D$34)+$D$31*(J45*$D$36/$D$35)+(1-2*$D$31)*$D$32)+(1-$D$30)*$D$32))</f>
        <v/>
      </c>
    </row>
    <row r="54" ht="26" customHeight="1">
      <c r="B54" s="59" t="inlineStr">
        <is>
          <t>Interpretation</t>
        </is>
      </c>
      <c r="D54" s="3" t="inlineStr">
        <is>
          <t>At the Base Case FY2033E realisation driver of Rs 68,000/t, EBITDA per tonne swings from roughly Rs 14,600/t at US$160/t coking coal to roughly Rs 6,100/t at US$280/t - a 2.4x range on the coking coal axis alone. This is why a licensed coking coal series is the highest-priority data gap in the model.</t>
        </is>
      </c>
    </row>
    <row r="57">
      <c r="B57" s="5" t="inlineStr">
        <is>
          <t>D - LIVE TABLE 2: FY2033E INDUSTRY EBITDA (Rs cr) - utilisation vs realisation</t>
        </is>
      </c>
    </row>
    <row r="58" ht="26" customHeight="1">
      <c r="B58" s="23" t="inlineStr">
        <is>
          <t>Rows are FY2033E capacity utilisation; columns are the FY2033E realisation driver (Rs/t). Volume is derived as capacity x utilisation / the crude-to-finished ratio. This is a PARTIAL sensitivity: it holds the lagged price feedback at its base value, so it isolates the volume and price effects and does not double-count the feedback.</t>
        </is>
      </c>
    </row>
    <row r="59">
      <c r="B59" s="56" t="inlineStr">
        <is>
          <t>Utilisation \ Realisation</t>
        </is>
      </c>
      <c r="D59" s="57" t="n">
        <v>58000</v>
      </c>
      <c r="E59" s="57" t="n">
        <v>61000</v>
      </c>
      <c r="F59" s="57" t="n">
        <v>64000</v>
      </c>
      <c r="G59" s="57" t="n">
        <v>66000</v>
      </c>
      <c r="H59" s="57" t="n">
        <v>68000</v>
      </c>
      <c r="I59" s="57" t="n">
        <v>71000</v>
      </c>
      <c r="J59" s="57" t="n">
        <v>74000</v>
      </c>
      <c r="K59" s="57" t="n">
        <v>77000</v>
      </c>
    </row>
    <row r="60">
      <c r="B60" s="60" t="n">
        <v>0.74</v>
      </c>
      <c r="D60" s="35">
        <f>($D$38*$B60/$D$39)*(D59*$D$37-$D$40)/10</f>
        <v/>
      </c>
      <c r="E60" s="35">
        <f>($D$38*$B60/$D$39)*(E59*$D$37-$D$40)/10</f>
        <v/>
      </c>
      <c r="F60" s="35">
        <f>($D$38*$B60/$D$39)*(F59*$D$37-$D$40)/10</f>
        <v/>
      </c>
      <c r="G60" s="35">
        <f>($D$38*$B60/$D$39)*(G59*$D$37-$D$40)/10</f>
        <v/>
      </c>
      <c r="H60" s="35">
        <f>($D$38*$B60/$D$39)*(H59*$D$37-$D$40)/10</f>
        <v/>
      </c>
      <c r="I60" s="35">
        <f>($D$38*$B60/$D$39)*(I59*$D$37-$D$40)/10</f>
        <v/>
      </c>
      <c r="J60" s="35">
        <f>($D$38*$B60/$D$39)*(J59*$D$37-$D$40)/10</f>
        <v/>
      </c>
      <c r="K60" s="35">
        <f>($D$38*$B60/$D$39)*(K59*$D$37-$D$40)/10</f>
        <v/>
      </c>
    </row>
    <row r="61">
      <c r="B61" s="60" t="n">
        <v>0.78</v>
      </c>
      <c r="D61" s="35">
        <f>($D$38*$B61/$D$39)*(D59*$D$37-$D$40)/10</f>
        <v/>
      </c>
      <c r="E61" s="35">
        <f>($D$38*$B61/$D$39)*(E59*$D$37-$D$40)/10</f>
        <v/>
      </c>
      <c r="F61" s="35">
        <f>($D$38*$B61/$D$39)*(F59*$D$37-$D$40)/10</f>
        <v/>
      </c>
      <c r="G61" s="35">
        <f>($D$38*$B61/$D$39)*(G59*$D$37-$D$40)/10</f>
        <v/>
      </c>
      <c r="H61" s="35">
        <f>($D$38*$B61/$D$39)*(H59*$D$37-$D$40)/10</f>
        <v/>
      </c>
      <c r="I61" s="35">
        <f>($D$38*$B61/$D$39)*(I59*$D$37-$D$40)/10</f>
        <v/>
      </c>
      <c r="J61" s="35">
        <f>($D$38*$B61/$D$39)*(J59*$D$37-$D$40)/10</f>
        <v/>
      </c>
      <c r="K61" s="35">
        <f>($D$38*$B61/$D$39)*(K59*$D$37-$D$40)/10</f>
        <v/>
      </c>
    </row>
    <row r="62">
      <c r="B62" s="60" t="n">
        <v>0.82</v>
      </c>
      <c r="D62" s="35">
        <f>($D$38*$B62/$D$39)*(D59*$D$37-$D$40)/10</f>
        <v/>
      </c>
      <c r="E62" s="35">
        <f>($D$38*$B62/$D$39)*(E59*$D$37-$D$40)/10</f>
        <v/>
      </c>
      <c r="F62" s="35">
        <f>($D$38*$B62/$D$39)*(F59*$D$37-$D$40)/10</f>
        <v/>
      </c>
      <c r="G62" s="35">
        <f>($D$38*$B62/$D$39)*(G59*$D$37-$D$40)/10</f>
        <v/>
      </c>
      <c r="H62" s="35">
        <f>($D$38*$B62/$D$39)*(H59*$D$37-$D$40)/10</f>
        <v/>
      </c>
      <c r="I62" s="35">
        <f>($D$38*$B62/$D$39)*(I59*$D$37-$D$40)/10</f>
        <v/>
      </c>
      <c r="J62" s="35">
        <f>($D$38*$B62/$D$39)*(J59*$D$37-$D$40)/10</f>
        <v/>
      </c>
      <c r="K62" s="35">
        <f>($D$38*$B62/$D$39)*(K59*$D$37-$D$40)/10</f>
        <v/>
      </c>
    </row>
    <row r="63">
      <c r="B63" s="60" t="n">
        <v>0.84</v>
      </c>
      <c r="D63" s="35">
        <f>($D$38*$B63/$D$39)*(D59*$D$37-$D$40)/10</f>
        <v/>
      </c>
      <c r="E63" s="35">
        <f>($D$38*$B63/$D$39)*(E59*$D$37-$D$40)/10</f>
        <v/>
      </c>
      <c r="F63" s="35">
        <f>($D$38*$B63/$D$39)*(F59*$D$37-$D$40)/10</f>
        <v/>
      </c>
      <c r="G63" s="35">
        <f>($D$38*$B63/$D$39)*(G59*$D$37-$D$40)/10</f>
        <v/>
      </c>
      <c r="H63" s="35">
        <f>($D$38*$B63/$D$39)*(H59*$D$37-$D$40)/10</f>
        <v/>
      </c>
      <c r="I63" s="35">
        <f>($D$38*$B63/$D$39)*(I59*$D$37-$D$40)/10</f>
        <v/>
      </c>
      <c r="J63" s="35">
        <f>($D$38*$B63/$D$39)*(J59*$D$37-$D$40)/10</f>
        <v/>
      </c>
      <c r="K63" s="35">
        <f>($D$38*$B63/$D$39)*(K59*$D$37-$D$40)/10</f>
        <v/>
      </c>
    </row>
    <row r="64">
      <c r="B64" s="60" t="n">
        <v>0.86</v>
      </c>
      <c r="D64" s="35">
        <f>($D$38*$B64/$D$39)*(D59*$D$37-$D$40)/10</f>
        <v/>
      </c>
      <c r="E64" s="35">
        <f>($D$38*$B64/$D$39)*(E59*$D$37-$D$40)/10</f>
        <v/>
      </c>
      <c r="F64" s="35">
        <f>($D$38*$B64/$D$39)*(F59*$D$37-$D$40)/10</f>
        <v/>
      </c>
      <c r="G64" s="35">
        <f>($D$38*$B64/$D$39)*(G59*$D$37-$D$40)/10</f>
        <v/>
      </c>
      <c r="H64" s="35">
        <f>($D$38*$B64/$D$39)*(H59*$D$37-$D$40)/10</f>
        <v/>
      </c>
      <c r="I64" s="35">
        <f>($D$38*$B64/$D$39)*(I59*$D$37-$D$40)/10</f>
        <v/>
      </c>
      <c r="J64" s="35">
        <f>($D$38*$B64/$D$39)*(J59*$D$37-$D$40)/10</f>
        <v/>
      </c>
      <c r="K64" s="35">
        <f>($D$38*$B64/$D$39)*(K59*$D$37-$D$40)/10</f>
        <v/>
      </c>
    </row>
    <row r="65">
      <c r="B65" s="60" t="n">
        <v>0.9</v>
      </c>
      <c r="D65" s="35">
        <f>($D$38*$B65/$D$39)*(D59*$D$37-$D$40)/10</f>
        <v/>
      </c>
      <c r="E65" s="35">
        <f>($D$38*$B65/$D$39)*(E59*$D$37-$D$40)/10</f>
        <v/>
      </c>
      <c r="F65" s="35">
        <f>($D$38*$B65/$D$39)*(F59*$D$37-$D$40)/10</f>
        <v/>
      </c>
      <c r="G65" s="35">
        <f>($D$38*$B65/$D$39)*(G59*$D$37-$D$40)/10</f>
        <v/>
      </c>
      <c r="H65" s="35">
        <f>($D$38*$B65/$D$39)*(H59*$D$37-$D$40)/10</f>
        <v/>
      </c>
      <c r="I65" s="35">
        <f>($D$38*$B65/$D$39)*(I59*$D$37-$D$40)/10</f>
        <v/>
      </c>
      <c r="J65" s="35">
        <f>($D$38*$B65/$D$39)*(J59*$D$37-$D$40)/10</f>
        <v/>
      </c>
      <c r="K65" s="35">
        <f>($D$38*$B65/$D$39)*(K59*$D$37-$D$40)/10</f>
        <v/>
      </c>
    </row>
    <row r="68">
      <c r="B68" s="5" t="inlineStr">
        <is>
          <t>E - HOW MUCH OF THE ANSWER RESTS ON UNSOURCED ASSUMPTIONS</t>
        </is>
      </c>
    </row>
    <row r="69" ht="30" customHeight="1">
      <c r="A69" s="7" t="inlineStr"/>
      <c r="B69" s="8" t="inlineStr">
        <is>
          <t>Unsourced assumption</t>
        </is>
      </c>
      <c r="C69" s="7" t="inlineStr">
        <is>
          <t>ID</t>
        </is>
      </c>
      <c r="D69" s="7" t="inlineStr">
        <is>
          <t>Base value</t>
        </is>
      </c>
      <c r="E69" s="8" t="inlineStr">
        <is>
          <t>Plausible range</t>
        </is>
      </c>
      <c r="F69" s="8" t="inlineStr">
        <is>
          <t>FY2033E EBITDA impact across the range</t>
        </is>
      </c>
      <c r="G69" s="8" t="inlineStr">
        <is>
          <t>Materiality verdict</t>
        </is>
      </c>
    </row>
    <row r="70">
      <c r="B70" s="31" t="inlineStr">
        <is>
          <t>Raw material share of cash cost</t>
        </is>
      </c>
      <c r="C70" s="13" t="inlineStr">
        <is>
          <t>D13</t>
        </is>
      </c>
      <c r="D70" s="9" t="inlineStr">
        <is>
          <t>60%</t>
        </is>
      </c>
      <c r="E70" s="3" t="inlineStr">
        <is>
          <t>55% to 65%</t>
        </is>
      </c>
      <c r="F70" s="3" t="inlineStr">
        <is>
          <t>Roughly Rs 21,000 cr per 10% relative change, i.e. about 6.7% of FY2033E EBITDA</t>
        </is>
      </c>
      <c r="G70" s="3" t="inlineStr">
        <is>
          <t>MATERIAL but second-order. The direction depends on relative escalation of raw material versus conversion cost, so it is not a simple bias.</t>
        </is>
      </c>
    </row>
    <row r="71">
      <c r="B71" s="31" t="inlineStr">
        <is>
          <t>Price sensitivity to utilisation</t>
        </is>
      </c>
      <c r="C71" s="13" t="inlineStr">
        <is>
          <t>D23</t>
        </is>
      </c>
      <c r="D71" s="9" t="inlineStr">
        <is>
          <t>0.40x</t>
        </is>
      </c>
      <c r="E71" s="3" t="inlineStr">
        <is>
          <t>0.20x to 0.60x</t>
        </is>
      </c>
      <c r="F71" s="3" t="inlineStr">
        <is>
          <t>Sets the whole magnitude of the capacity feedback. At 0.20x the capacity drivers halve in importance; at 0.60x they roughly double.</t>
        </is>
      </c>
      <c r="G71" s="3" t="inlineStr">
        <is>
          <t>MATERIAL. This parameter determines whether capacity matters at all. It is the single most important unsourced input in the model.</t>
        </is>
      </c>
    </row>
    <row r="72">
      <c r="B72" s="31" t="inlineStr">
        <is>
          <t>Net working capital days</t>
        </is>
      </c>
      <c r="C72" s="13" t="inlineStr">
        <is>
          <t>D18</t>
        </is>
      </c>
      <c r="D72" s="9" t="inlineStr">
        <is>
          <t>45 days</t>
        </is>
      </c>
      <c r="E72" s="3" t="inlineStr">
        <is>
          <t>35 to 60 days</t>
        </is>
      </c>
      <c r="F72" s="3" t="inlineStr">
        <is>
          <t>Roughly Rs 12,000 cr of terminal-year cash flow per 4.5 days</t>
        </is>
      </c>
      <c r="G72" s="3" t="inlineStr">
        <is>
          <t>MATERIAL FOR CASH FLOW AND CREDIT, immaterial for EBITDA. Must be fixed before any financing work.</t>
        </is>
      </c>
    </row>
    <row r="73">
      <c r="B73" s="31" t="inlineStr">
        <is>
          <t>Equity risk premium and beta (within WACC)</t>
        </is>
      </c>
      <c r="C73" s="13" t="inlineStr">
        <is>
          <t>R08</t>
        </is>
      </c>
      <c r="D73" s="9" t="inlineStr">
        <is>
          <t>6.5% and 1.20x</t>
        </is>
      </c>
      <c r="E73" s="3" t="inlineStr">
        <is>
          <t>5.5-7.5%, 1.0-1.4x</t>
        </is>
      </c>
      <c r="F73" s="3" t="inlineStr">
        <is>
          <t>Roughly 11% of enterprise value per 120bps of WACC</t>
        </is>
      </c>
      <c r="G73" s="3" t="inlineStr">
        <is>
          <t>MATERIAL FOR VALUATION ONLY. Does not touch operating forecasts. Substitute house assumptions on 02 Section D.</t>
        </is>
      </c>
    </row>
    <row r="74">
      <c r="B74" s="31" t="inlineStr">
        <is>
          <t>Maximum practical utilisation</t>
        </is>
      </c>
      <c r="C74" s="13" t="inlineStr">
        <is>
          <t>D25</t>
        </is>
      </c>
      <c r="D74" s="9" t="inlineStr">
        <is>
          <t>92%</t>
        </is>
      </c>
      <c r="E74" s="3" t="inlineStr">
        <is>
          <t>88% to 95%</t>
        </is>
      </c>
      <c r="F74" s="3" t="inlineStr">
        <is>
          <t>Zero in the Base Case - the ceiling does not bind, peak utilisation is 84.0%</t>
        </is>
      </c>
      <c r="G74" s="3" t="inlineStr">
        <is>
          <t>IMMATERIAL in the base case; becomes material only in the bull case where utilisation reaches 87.9%.</t>
        </is>
      </c>
    </row>
    <row r="75">
      <c r="B75" s="31" t="inlineStr">
        <is>
          <t>Maintenance capex</t>
        </is>
      </c>
      <c r="C75" s="13" t="inlineStr">
        <is>
          <t>D17</t>
        </is>
      </c>
      <c r="D75" s="9" t="inlineStr">
        <is>
          <t>3.0% of revenue</t>
        </is>
      </c>
      <c r="E75" s="3" t="inlineStr">
        <is>
          <t>2.5% to 4.0%</t>
        </is>
      </c>
      <c r="F75" s="3" t="inlineStr">
        <is>
          <t>Roughly Rs 16,000 cr of terminal-year free cash flow per 100bps</t>
        </is>
      </c>
      <c r="G75" s="3" t="inlineStr">
        <is>
          <t>MATERIAL FOR CASH FLOW, immaterial for EBITDA.</t>
        </is>
      </c>
    </row>
    <row r="76">
      <c r="B76" s="31" t="inlineStr">
        <is>
          <t>Indian emission intensity and EU carbon price</t>
        </is>
      </c>
      <c r="C76" s="13" t="inlineStr">
        <is>
          <t>20 ESG</t>
        </is>
      </c>
      <c r="D76" s="9" t="inlineStr">
        <is>
          <t>2.55 tCO2e/t, EUR 85/t</t>
        </is>
      </c>
      <c r="E76" s="3" t="inlineStr">
        <is>
          <t>Wide - both unsourced</t>
        </is>
      </c>
      <c r="F76" s="3" t="inlineStr">
        <is>
          <t>CBAM cost is roughly Rs 2,100 cr at the base inputs, under 1% of FY2033E EBITDA</t>
        </is>
      </c>
      <c r="G76" s="3" t="inlineStr">
        <is>
          <t>IMMATERIAL at current export volumes, but scales with the EU export share and the carbon price. Watch rather than model.</t>
        </is>
      </c>
    </row>
    <row r="78">
      <c r="B78" s="30" t="inlineStr">
        <is>
          <t>Read this block first. It is the honest answer to 'how much should I trust this model?' - the operating forecast is robust to the unsourced inputs; the cash flow and valuation output is not, until working capital, WACC and a coking coal series are properly sourced.</t>
        </is>
      </c>
    </row>
  </sheetData>
  <printOptions horizontalCentered="1"/>
  <pageMargins left="0.75" right="0.75" top="1" bottom="1" header="0.5" footer="0.5"/>
  <pageSetup orientation="landscape" fitToHeight="0" fitToWidth="1"/>
  <tableParts count="2">
    <tablePart xmlns:r="http://schemas.openxmlformats.org/officeDocument/2006/relationships" r:id="rId1"/>
    <tablePart xmlns:r="http://schemas.openxmlformats.org/officeDocument/2006/relationships" r:id="rId2"/>
  </tableParts>
</worksheet>
</file>

<file path=xl/worksheets/sheet27.xml><?xml version="1.0" encoding="utf-8"?>
<worksheet xmlns="http://schemas.openxmlformats.org/spreadsheetml/2006/main">
  <sheetPr>
    <tabColor rgb="001F3864"/>
    <outlinePr summaryBelow="1" summaryRight="1"/>
    <pageSetUpPr fitToPage="1"/>
  </sheetPr>
  <dimension ref="A1:O57"/>
  <sheetViews>
    <sheetView showGridLines="0" workbookViewId="0">
      <selection activeCell="A1" sqref="A1"/>
    </sheetView>
  </sheetViews>
  <sheetFormatPr baseColWidth="8" defaultRowHeight="15"/>
  <cols>
    <col width="7" customWidth="1" min="1" max="1"/>
    <col width="22" customWidth="1" min="2" max="2"/>
    <col width="13" customWidth="1" min="3" max="3"/>
    <col width="13" customWidth="1" min="4" max="4"/>
    <col width="13" customWidth="1" min="5" max="5"/>
    <col width="14" customWidth="1" min="6" max="6"/>
    <col width="14" customWidth="1" min="7" max="7"/>
    <col width="14" customWidth="1" min="8" max="8"/>
    <col width="14" customWidth="1" min="9" max="9"/>
    <col width="12" customWidth="1" min="10" max="10"/>
    <col width="12" customWidth="1" min="11" max="11"/>
    <col width="13" customWidth="1" min="12" max="12"/>
    <col width="13" customWidth="1" min="13" max="13"/>
    <col width="12" customWidth="1" min="14" max="14"/>
    <col width="95" customWidth="1" min="15" max="15"/>
  </cols>
  <sheetData>
    <row r="1" ht="19" customHeight="1">
      <c r="B1" s="1" t="inlineStr">
        <is>
          <t>23  Comparable Valuation</t>
        </is>
      </c>
    </row>
    <row r="2">
      <c r="B2" s="4" t="inlineStr">
        <is>
          <t>Industry Financial Model  |  Indian Steel Industry  |  Horizon FY2027E-FY2033E  |  Base year FY2026A  |  Built 03-Aug-2026</t>
        </is>
      </c>
    </row>
    <row r="3">
      <c r="B3" s="3" t="inlineStr"/>
    </row>
    <row r="4">
      <c r="B4" s="4" t="inlineStr">
        <is>
          <t>OBJECTIVE</t>
        </is>
      </c>
    </row>
    <row r="5">
      <c r="B5" s="3" t="inlineStr">
        <is>
          <t>Valuation output: trading comparables, EV per tonne, replacement cost, ROIC and a DCF built off the industry free cash flow.</t>
        </is>
      </c>
    </row>
    <row r="6">
      <c r="B6" s="4" t="inlineStr">
        <is>
          <t>METHODOLOGY</t>
        </is>
      </c>
    </row>
    <row r="7">
      <c r="B7" s="3" t="inlineStr">
        <is>
          <t>SHARE PRICES WERE NOT SOURCED in this research cycle, so they are USER INPUTS (shaded). Every multiple, market capitalisation and enterprise value on this sheet is a live formula that computes the moment prices are entered - nothing has been fabricated to fill the gap. Share counts are DERIVED as profit after tax divided by earnings per share, which reconciles well for SAIL, Jindal Steel, Jindal Stainless and Tata Steel but NOT for JSW Steel, where EPS is struck on profit attributable to owners while PAT includes an Rs 18,051 cr exceptional gain; that row is flagged and the cell is editable.</t>
        </is>
      </c>
    </row>
    <row r="8">
      <c r="B8" s="4" t="inlineStr">
        <is>
          <t>UNITS</t>
        </is>
      </c>
    </row>
    <row r="9">
      <c r="B9" s="3" t="inlineStr">
        <is>
          <t>Rs crore, Rs per share, times, Rs per tonne.</t>
        </is>
      </c>
    </row>
    <row r="10">
      <c r="B10" s="4" t="inlineStr">
        <is>
          <t>DEPENDENCIES</t>
        </is>
      </c>
    </row>
    <row r="11">
      <c r="B11" s="3" t="inlineStr">
        <is>
          <t>Reads 13 EBITDA, 16 Cash Flow, 17 Capital Allocation, 02 Assumptions.</t>
        </is>
      </c>
    </row>
    <row r="12">
      <c r="B12" s="3" t="inlineStr"/>
    </row>
    <row r="13">
      <c r="B13" s="5" t="inlineStr">
        <is>
          <t>A - TRADING COMPARABLES (enter share prices in the shaded column)</t>
        </is>
      </c>
    </row>
    <row r="14" ht="30" customHeight="1">
      <c r="A14" s="7" t="inlineStr"/>
      <c r="B14" s="8" t="inlineStr">
        <is>
          <t>Company</t>
        </is>
      </c>
      <c r="C14" s="7" t="inlineStr">
        <is>
          <t>FY2026 EBITDA (Rs cr)</t>
        </is>
      </c>
      <c r="D14" s="7" t="inlineStr">
        <is>
          <t>Net debt (Rs cr)</t>
        </is>
      </c>
      <c r="E14" s="7" t="inlineStr">
        <is>
          <t>PAT (Rs cr)</t>
        </is>
      </c>
      <c r="F14" s="7" t="inlineStr">
        <is>
          <t>EPS (Rs)</t>
        </is>
      </c>
      <c r="G14" s="7" t="inlineStr">
        <is>
          <t>Shares (cr) - derived</t>
        </is>
      </c>
      <c r="H14" s="7" t="inlineStr">
        <is>
          <t>Share price (Rs) - USER INPUT</t>
        </is>
      </c>
      <c r="I14" s="7" t="inlineStr">
        <is>
          <t>Market cap (Rs cr)</t>
        </is>
      </c>
      <c r="J14" s="7" t="inlineStr">
        <is>
          <t>EV (Rs cr)</t>
        </is>
      </c>
      <c r="K14" s="7" t="inlineStr">
        <is>
          <t>EV/EBITDA (x)</t>
        </is>
      </c>
      <c r="L14" s="7" t="inlineStr">
        <is>
          <t>Capacity (Mtpa)</t>
        </is>
      </c>
      <c r="M14" s="7" t="inlineStr">
        <is>
          <t>EV per tonne (Rs/t)</t>
        </is>
      </c>
      <c r="N14" s="7" t="inlineStr">
        <is>
          <t>Conf.</t>
        </is>
      </c>
      <c r="O14" s="8" t="inlineStr">
        <is>
          <t>Notes</t>
        </is>
      </c>
    </row>
    <row r="15">
      <c r="B15" s="31" t="inlineStr">
        <is>
          <t>Tata Steel</t>
        </is>
      </c>
      <c r="C15" s="35" t="n">
        <v>34272</v>
      </c>
      <c r="D15" s="35" t="n">
        <v>80144</v>
      </c>
      <c r="E15" s="35" t="n">
        <v>10886</v>
      </c>
      <c r="F15" s="34" t="n">
        <v>8.65</v>
      </c>
      <c r="G15" s="40">
        <f>E15/F15</f>
        <v/>
      </c>
      <c r="H15" s="61" t="n"/>
      <c r="I15" s="35">
        <f>IFERROR(G15*H15,"")</f>
        <v/>
      </c>
      <c r="J15" s="35">
        <f>IFERROR(I15+D15,"")</f>
        <v/>
      </c>
      <c r="K15" s="33">
        <f>IFERROR(J15/C15,"")</f>
        <v/>
      </c>
      <c r="L15" s="34" t="n">
        <v>26</v>
      </c>
      <c r="M15" s="35">
        <f>IFERROR(J15/L15*10000,"")</f>
        <v/>
      </c>
      <c r="N15" s="13" t="inlineStr">
        <is>
          <t>Medium</t>
        </is>
      </c>
      <c r="O15" s="3" t="inlineStr">
        <is>
          <t>India segment used for volume and margin. Netherlands carries a disclosed material uncertainty related to going concern (Master DB, policy P18) - the single largest identifiable downside in the universe and NOT captured in this industry model, which forecasts India only. Capacity basis: INDICATIVE - Tata Steel discloses 35 Mtpa GLOBAL group crude steel capacity. The India component is not separately disclosed in the database; 26 Mtpa is inferred from FY2026 India crude steel production of 23.43 Mt at roughly 90% utilisation and is flagged Low confidence.</t>
        </is>
      </c>
    </row>
    <row r="16">
      <c r="B16" s="31" t="inlineStr">
        <is>
          <t>JSW Steel</t>
        </is>
      </c>
      <c r="C16" s="35" t="n">
        <v>29240</v>
      </c>
      <c r="D16" s="35" t="n">
        <v>53870</v>
      </c>
      <c r="E16" s="35" t="n">
        <v>25508</v>
      </c>
      <c r="F16" s="34" t="n">
        <v>91.26000000000001</v>
      </c>
      <c r="G16" s="40">
        <f>E16/F16</f>
        <v/>
      </c>
      <c r="H16" s="61" t="n"/>
      <c r="I16" s="35">
        <f>IFERROR(G16*H16,"")</f>
        <v/>
      </c>
      <c r="J16" s="35">
        <f>IFERROR(I16+D16,"")</f>
        <v/>
      </c>
      <c r="K16" s="33">
        <f>IFERROR(J16/C16,"")</f>
        <v/>
      </c>
      <c r="L16" s="34" t="n">
        <v>31.9</v>
      </c>
      <c r="M16" s="35">
        <f>IFERROR(J16/L16*10000,"")</f>
        <v/>
      </c>
      <c r="N16" s="13" t="inlineStr">
        <is>
          <t>Medium</t>
        </is>
      </c>
      <c r="O16" s="3" t="inlineStr">
        <is>
          <t>FY2027 additions include BMM Ispat (0.90 Mtpa), an acquisition of existing capacity: it adds to JSW but NOT to national capacity. BPSL was deconsolidated from 27-Mar-2026, so FY2026 to FY2027 company volumes are not like-for-like. DERIVED SHARE COUNT IS UNRELIABLE for JSW: PAT of Rs 25,508 cr includes the Rs 18,051 cr BPSL slump-sale gain while EPS of Rs 91.26 is on profit attributable to owners, so PAT/EPS overstates the share count by roughly 15%. Overwrite column G with the actual count. Capacity basis: JSW Steel India existing capacity, disclosed. Cross-checked: FY2026 India production of 29.25 Mt at the stated 92% utilisation implies 31.8 Mtpa.</t>
        </is>
      </c>
    </row>
    <row r="17">
      <c r="B17" s="31" t="inlineStr">
        <is>
          <t>SAIL</t>
        </is>
      </c>
      <c r="C17" s="35" t="n">
        <v>13146</v>
      </c>
      <c r="D17" s="35" t="n">
        <v>31928</v>
      </c>
      <c r="E17" s="35" t="n">
        <v>3373</v>
      </c>
      <c r="F17" s="34" t="n">
        <v>8.17</v>
      </c>
      <c r="G17" s="40">
        <f>E17/F17</f>
        <v/>
      </c>
      <c r="H17" s="61" t="n"/>
      <c r="I17" s="35">
        <f>IFERROR(G17*H17,"")</f>
        <v/>
      </c>
      <c r="J17" s="35">
        <f>IFERROR(I17+D17,"")</f>
        <v/>
      </c>
      <c r="K17" s="33">
        <f>IFERROR(J17/C17,"")</f>
        <v/>
      </c>
      <c r="L17" s="34" t="n">
        <v>19.676</v>
      </c>
      <c r="M17" s="35">
        <f>IFERROR(J17/L17*10000,"")</f>
        <v/>
      </c>
      <c r="N17" s="13" t="inlineStr">
        <is>
          <t>Medium</t>
        </is>
      </c>
      <c r="O17" s="3" t="inlineStr">
        <is>
          <t>EBITDA per tonne is struck on the STANDALONE EBITDA headline over standalone sales volume. Do not pair a consolidated enterprise value with this EBITDA - see Master DB Conflict C09. Capacity basis: SAIL crude steel operating capacity per Ministry of Steel, Rajya Sabha USQ 3982 answered 27-Mar-2026.</t>
        </is>
      </c>
    </row>
    <row r="18">
      <c r="B18" s="31" t="inlineStr">
        <is>
          <t>Jindal Steel</t>
        </is>
      </c>
      <c r="C18" s="35" t="n">
        <v>9660</v>
      </c>
      <c r="D18" s="35" t="n">
        <v>16019</v>
      </c>
      <c r="E18" s="35" t="n">
        <v>3361</v>
      </c>
      <c r="F18" s="34" t="n">
        <v>33.01</v>
      </c>
      <c r="G18" s="40">
        <f>E18/F18</f>
        <v/>
      </c>
      <c r="H18" s="61" t="n"/>
      <c r="I18" s="35">
        <f>IFERROR(G18*H18,"")</f>
        <v/>
      </c>
      <c r="J18" s="35">
        <f>IFERROR(I18+D18,"")</f>
        <v/>
      </c>
      <c r="K18" s="33">
        <f>IFERROR(J18/C18,"")</f>
        <v/>
      </c>
      <c r="L18" s="34" t="n">
        <v>15.6</v>
      </c>
      <c r="M18" s="35">
        <f>IFERROR(J18/L18*10000,"")</f>
        <v/>
      </c>
      <c r="N18" s="13" t="inlineStr">
        <is>
          <t>Medium</t>
        </is>
      </c>
      <c r="O18" s="3" t="inlineStr">
        <is>
          <t>Capacity rose from 9.6 to 15.6 Mtpa in FY2026, so FY2027 volume growth comes from utilising capacity already built rather than from new additions. Company guidance for FY2027 is 11.0-11.5 Mt of production against 9.25 Mt in FY2026. Capacity basis: Jindal Steel total steelmaking capacity entering FY2027, disclosed.</t>
        </is>
      </c>
    </row>
    <row r="19">
      <c r="B19" s="31" t="inlineStr">
        <is>
          <t>Jindal Stainless</t>
        </is>
      </c>
      <c r="C19" s="35" t="n">
        <v>5560</v>
      </c>
      <c r="D19" s="35" t="n">
        <v>3040</v>
      </c>
      <c r="E19" s="35" t="n">
        <v>3185</v>
      </c>
      <c r="F19" s="34" t="n">
        <v>38.74</v>
      </c>
      <c r="G19" s="40">
        <f>E19/F19</f>
        <v/>
      </c>
      <c r="H19" s="61" t="n"/>
      <c r="I19" s="35">
        <f>IFERROR(G19*H19,"")</f>
        <v/>
      </c>
      <c r="J19" s="35">
        <f>IFERROR(I19+D19,"")</f>
        <v/>
      </c>
      <c r="K19" s="33">
        <f>IFERROR(J19/C19,"")</f>
        <v/>
      </c>
      <c r="L19" s="34" t="n">
        <v>3</v>
      </c>
      <c r="M19" s="35">
        <f>IFERROR(J19/L19*10000,"")</f>
        <v/>
      </c>
      <c r="N19" s="13" t="inlineStr">
        <is>
          <t>Medium</t>
        </is>
      </c>
      <c r="O19" s="3" t="inlineStr">
        <is>
          <t>STAINLESS. Realisation of roughly Rs 1,67,000/t and EBITDA per tonne of Rs 21,634 are not comparable with carbon steel and this company is EXCLUDED from the blended industry realisation anchor. Management guided FY2027 EBITDA per tonne to Rs 18,000-20,000, i.e. BELOW the FY2026 outcome. Capacity basis: Jindal Stainless INDIA melt capacity. Group melt capacity is 4.2 Mtpa including 1.2 Mtpa in Indonesia, which is excluded from the India build.</t>
        </is>
      </c>
    </row>
    <row r="20">
      <c r="B20" s="31" t="inlineStr">
        <is>
          <t>AM/NS India</t>
        </is>
      </c>
      <c r="C20" s="35" t="n">
        <v>69</v>
      </c>
      <c r="L20" s="34" t="n">
        <v>9</v>
      </c>
      <c r="M20" s="35">
        <f>IFERROR(J20/L20*10000,"")</f>
        <v/>
      </c>
      <c r="N20" s="13" t="inlineStr">
        <is>
          <t>n/a</t>
        </is>
      </c>
      <c r="O20" s="3" t="inlineStr">
        <is>
          <t>Unlisted 60:40 joint venture. All figures are 100% basis, USD, calendar quarters, converted at the derived FY2026 average USD/INR of 88.4. The fiscal-year figures are themselves derived by summing calendar quarters - Master DB Conflict C16. Unlisted - no market-based valuation is possible. Capacity basis: AM/NS India Hazira capacity, expanding to 15 Mtpa.</t>
        </is>
      </c>
    </row>
    <row r="21">
      <c r="B21" s="31" t="inlineStr">
        <is>
          <t>RINL</t>
        </is>
      </c>
      <c r="N21" s="13" t="inlineStr">
        <is>
          <t>n/a</t>
        </is>
      </c>
      <c r="O21" s="3" t="inlineStr">
        <is>
          <t>Unlisted and wholly Government-owned. No EBITDA, balance sheet or valuation data is publicly available, so RINL appears in the volume build only. Unlisted - no market-based valuation is possible. Capacity basis: Not verified - a 7.3 Mtpa liquid steel nameplate is widely cited but is not asserted in the database.</t>
        </is>
      </c>
    </row>
    <row r="23">
      <c r="B23" s="21" t="inlineStr">
        <is>
          <t>Median EV/EBITDA (listed, once prices entered)</t>
        </is>
      </c>
      <c r="K23" s="48">
        <f>IFERROR(MEDIAN(K15:K21),"enter prices")</f>
        <v/>
      </c>
      <c r="O23" s="3" t="inlineStr">
        <is>
          <t>Live. Compare against the exit multiple driver D19 of 6.0x, which is NOT sourced and should be re-based on this observed evidence once prices are entered.</t>
        </is>
      </c>
    </row>
    <row r="26">
      <c r="B26" s="5" t="inlineStr">
        <is>
          <t>B - REPLACEMENT COST AND EV PER TONNE BENCHMARK</t>
        </is>
      </c>
    </row>
    <row r="27">
      <c r="B27" s="31" t="inlineStr">
        <is>
          <t>Greenfield / brownfield capex intensity</t>
        </is>
      </c>
      <c r="D27" s="35" t="inlineStr">
        <is>
          <t>'02 Model Assumptions'!K$137</t>
        </is>
      </c>
      <c r="O27" s="3" t="inlineStr">
        <is>
          <t>From driver D16 - Rs 55,000/t base. Cross-checked against JSW JVML at Rs 52,000/t, SAIL at roughly Rs 67,000/t and Tata Ludhiana EAF at Rs 42,700/t.</t>
        </is>
      </c>
    </row>
    <row r="28">
      <c r="B28" s="31" t="inlineStr">
        <is>
          <t>Replacement cost of India's FY2026 capacity</t>
        </is>
      </c>
      <c r="D28" s="15">
        <f>220.4*D27/10</f>
        <v/>
      </c>
      <c r="O28" s="3" t="inlineStr">
        <is>
          <t>220.4 Mtpa at the capex intensity above. A useful sanity bound: an acquirer should not pay materially more per tonne than it costs to build, adjusted for time to market, permits and captive raw material.</t>
        </is>
      </c>
    </row>
    <row r="29">
      <c r="B29" s="31" t="inlineStr">
        <is>
          <t>Implied EV per tonne at the exit multiple</t>
        </is>
      </c>
      <c r="D29" s="15">
        <f>IFERROR('13 EBITDA Model'!K$18*'02 Model Assumptions'!K$140/('06 Capacity Forecast'!K$20)*10,"")</f>
        <v/>
      </c>
      <c r="O29" s="3" t="inlineStr">
        <is>
          <t>FY2033E industry EBITDA at the exit multiple D19, divided by FY2033E capacity. Compare against replacement cost: an implied EV/t far above build cost signals either scarcity value or overvaluation.</t>
        </is>
      </c>
    </row>
    <row r="32">
      <c r="B32" s="5" t="inlineStr">
        <is>
          <t>C - INDUSTRY DCF (unlevered, off 16 Cash Flow Model)</t>
        </is>
      </c>
    </row>
    <row r="33" ht="30" customHeight="1">
      <c r="A33" s="7" t="inlineStr"/>
      <c r="B33" s="8" t="inlineStr">
        <is>
          <t>Line item</t>
        </is>
      </c>
      <c r="C33" s="8" t="inlineStr">
        <is>
          <t>Unit</t>
        </is>
      </c>
      <c r="D33" s="7" t="inlineStr">
        <is>
          <t>FY2026A</t>
        </is>
      </c>
      <c r="E33" s="7" t="inlineStr">
        <is>
          <t>FY2027E</t>
        </is>
      </c>
      <c r="F33" s="7" t="inlineStr">
        <is>
          <t>FY2028E</t>
        </is>
      </c>
      <c r="G33" s="7" t="inlineStr">
        <is>
          <t>FY2029E</t>
        </is>
      </c>
      <c r="H33" s="7" t="inlineStr">
        <is>
          <t>FY2030E</t>
        </is>
      </c>
      <c r="I33" s="7" t="inlineStr">
        <is>
          <t>FY2031E</t>
        </is>
      </c>
      <c r="J33" s="7" t="inlineStr">
        <is>
          <t>FY2032E</t>
        </is>
      </c>
      <c r="K33" s="7" t="inlineStr">
        <is>
          <t>FY2033E</t>
        </is>
      </c>
      <c r="L33" s="7" t="inlineStr">
        <is>
          <t>CAGR</t>
        </is>
      </c>
      <c r="M33" s="8" t="inlineStr">
        <is>
          <t>Source</t>
        </is>
      </c>
      <c r="N33" s="7" t="inlineStr">
        <is>
          <t>Conf.</t>
        </is>
      </c>
      <c r="O33" s="8" t="inlineStr">
        <is>
          <t>Notes / methodology</t>
        </is>
      </c>
    </row>
    <row r="34">
      <c r="B34" s="10" t="inlineStr">
        <is>
          <t>Unlevered free cash flow</t>
        </is>
      </c>
      <c r="C34" s="11" t="inlineStr">
        <is>
          <t>Rs cr</t>
        </is>
      </c>
      <c r="E34" s="35">
        <f>'16 Cash Flow Model'!E$32</f>
        <v/>
      </c>
      <c r="F34" s="35">
        <f>'16 Cash Flow Model'!F$32</f>
        <v/>
      </c>
      <c r="G34" s="35">
        <f>'16 Cash Flow Model'!G$32</f>
        <v/>
      </c>
      <c r="H34" s="35">
        <f>'16 Cash Flow Model'!H$32</f>
        <v/>
      </c>
      <c r="I34" s="35">
        <f>'16 Cash Flow Model'!I$32</f>
        <v/>
      </c>
      <c r="J34" s="35">
        <f>'16 Cash Flow Model'!J$32</f>
        <v/>
      </c>
      <c r="K34" s="35">
        <f>'16 Cash Flow Model'!K$32</f>
        <v/>
      </c>
      <c r="M34" s="3" t="inlineStr">
        <is>
          <t>16 Cash Flow</t>
        </is>
      </c>
      <c r="N34" s="13" t="inlineStr">
        <is>
          <t>Medium</t>
        </is>
      </c>
    </row>
    <row r="35">
      <c r="B35" s="10" t="inlineStr">
        <is>
          <t>WACC</t>
        </is>
      </c>
      <c r="C35" s="11" t="inlineStr">
        <is>
          <t>%</t>
        </is>
      </c>
      <c r="E35" s="16" t="inlineStr">
        <is>
          <t>'02 Model Assumptions'!E$141</t>
        </is>
      </c>
      <c r="F35" s="16" t="inlineStr">
        <is>
          <t>'02 Model Assumptions'!F$141</t>
        </is>
      </c>
      <c r="G35" s="16" t="inlineStr">
        <is>
          <t>'02 Model Assumptions'!G$141</t>
        </is>
      </c>
      <c r="H35" s="16" t="inlineStr">
        <is>
          <t>'02 Model Assumptions'!H$141</t>
        </is>
      </c>
      <c r="I35" s="16" t="inlineStr">
        <is>
          <t>'02 Model Assumptions'!I$141</t>
        </is>
      </c>
      <c r="J35" s="16" t="inlineStr">
        <is>
          <t>'02 Model Assumptions'!J$141</t>
        </is>
      </c>
      <c r="K35" s="16" t="inlineStr">
        <is>
          <t>'02 Model Assumptions'!K$141</t>
        </is>
      </c>
      <c r="M35" s="3" t="inlineStr">
        <is>
          <t>02 Assumptions</t>
        </is>
      </c>
      <c r="N35" s="13" t="inlineStr">
        <is>
          <t>Medium</t>
        </is>
      </c>
      <c r="O35" s="3" t="inlineStr">
        <is>
          <t>Cross-checked against the build-up on 02 Section D by 25 Audit Checks.</t>
        </is>
      </c>
    </row>
    <row r="36">
      <c r="B36" s="10" t="inlineStr">
        <is>
          <t>Discount period</t>
        </is>
      </c>
      <c r="C36" s="11" t="inlineStr">
        <is>
          <t>years</t>
        </is>
      </c>
      <c r="E36" s="40" t="n">
        <v>0.5</v>
      </c>
      <c r="F36" s="40" t="n">
        <v>1.5</v>
      </c>
      <c r="G36" s="40" t="n">
        <v>2.5</v>
      </c>
      <c r="H36" s="40" t="n">
        <v>3.5</v>
      </c>
      <c r="I36" s="40" t="n">
        <v>4.5</v>
      </c>
      <c r="J36" s="40" t="n">
        <v>5.5</v>
      </c>
      <c r="K36" s="40" t="n">
        <v>6.5</v>
      </c>
      <c r="M36" s="3" t="inlineStr">
        <is>
          <t>Convention</t>
        </is>
      </c>
      <c r="N36" s="13" t="inlineStr">
        <is>
          <t>High</t>
        </is>
      </c>
      <c r="O36" s="3" t="inlineStr">
        <is>
          <t>MID-YEAR CONVENTION: cash flows are assumed to arise evenly through the year, so they are discounted from the mid-point. Using year-end would understate value by roughly 5-6% at a 12% WACC.</t>
        </is>
      </c>
    </row>
    <row r="37">
      <c r="B37" s="10" t="inlineStr">
        <is>
          <t>Discount factor</t>
        </is>
      </c>
      <c r="C37" s="11" t="inlineStr">
        <is>
          <t>x</t>
        </is>
      </c>
      <c r="E37" s="42">
        <f>1/(1+E35)^E36</f>
        <v/>
      </c>
      <c r="F37" s="42">
        <f>1/(1+F35)^F36</f>
        <v/>
      </c>
      <c r="G37" s="42">
        <f>1/(1+G35)^G36</f>
        <v/>
      </c>
      <c r="H37" s="42">
        <f>1/(1+H35)^H36</f>
        <v/>
      </c>
      <c r="I37" s="42">
        <f>1/(1+I35)^I36</f>
        <v/>
      </c>
      <c r="J37" s="42">
        <f>1/(1+J35)^J36</f>
        <v/>
      </c>
      <c r="K37" s="42">
        <f>1/(1+K35)^K36</f>
        <v/>
      </c>
      <c r="M37" s="3" t="inlineStr">
        <is>
          <t>Computed</t>
        </is>
      </c>
      <c r="N37" s="13" t="inlineStr">
        <is>
          <t>Medium</t>
        </is>
      </c>
    </row>
    <row r="38">
      <c r="B38" s="10" t="inlineStr">
        <is>
          <t>Present value of FCF</t>
        </is>
      </c>
      <c r="C38" s="11" t="inlineStr">
        <is>
          <t>Rs cr</t>
        </is>
      </c>
      <c r="E38" s="35">
        <f>E34*E37</f>
        <v/>
      </c>
      <c r="F38" s="35">
        <f>F34*F37</f>
        <v/>
      </c>
      <c r="G38" s="35">
        <f>G34*G37</f>
        <v/>
      </c>
      <c r="H38" s="35">
        <f>H34*H37</f>
        <v/>
      </c>
      <c r="I38" s="35">
        <f>I34*I37</f>
        <v/>
      </c>
      <c r="J38" s="35">
        <f>J34*J37</f>
        <v/>
      </c>
      <c r="K38" s="35">
        <f>K34*K37</f>
        <v/>
      </c>
      <c r="M38" s="3" t="inlineStr">
        <is>
          <t>Computed</t>
        </is>
      </c>
      <c r="N38" s="13" t="inlineStr">
        <is>
          <t>Medium</t>
        </is>
      </c>
    </row>
    <row r="40">
      <c r="B40" s="31" t="inlineStr">
        <is>
          <t>Sum of PV of explicit forecast FCF</t>
        </is>
      </c>
      <c r="D40" s="29">
        <f>SUM(E38:K38)</f>
        <v/>
      </c>
      <c r="O40" s="3" t="inlineStr">
        <is>
          <t>Seven years, FY2027E to FY2033E.</t>
        </is>
      </c>
    </row>
    <row r="41">
      <c r="B41" s="31" t="inlineStr">
        <is>
          <t>Terminal EBITDA (FY2033E)</t>
        </is>
      </c>
      <c r="D41" s="29">
        <f>'13 EBITDA Model'!K$18</f>
        <v/>
      </c>
      <c r="O41" s="3" t="inlineStr">
        <is>
          <t>FY2033 is a NORMALISED year - the FY2030-FY2031 capacity cohort has reached steady-state utilisation - which is the whole reason the horizon is 7 years rather than 5. Check the cycle position on 18 before accepting it as mid-cycle.</t>
        </is>
      </c>
    </row>
    <row r="42">
      <c r="B42" s="31" t="inlineStr">
        <is>
          <t>Exit EV/EBITDA multiple</t>
        </is>
      </c>
      <c r="D42" s="48">
        <f>'02 Model Assumptions'!K$140</f>
        <v/>
      </c>
      <c r="O42" s="3" t="inlineStr">
        <is>
          <t>6.0x base. NOT SOURCED - re-base on the observed median in section A once share prices are entered.</t>
        </is>
      </c>
    </row>
    <row r="43">
      <c r="B43" s="31" t="inlineStr">
        <is>
          <t>Terminal value</t>
        </is>
      </c>
      <c r="D43" s="29">
        <f>D41*D42</f>
        <v/>
      </c>
      <c r="O43" s="3" t="inlineStr">
        <is>
          <t>Terminal EBITDA times the exit multiple.</t>
        </is>
      </c>
    </row>
    <row r="44">
      <c r="B44" s="31" t="inlineStr">
        <is>
          <t>PV of terminal value</t>
        </is>
      </c>
      <c r="D44" s="29">
        <f>D43*K37</f>
        <v/>
      </c>
      <c r="O44" s="3" t="inlineStr">
        <is>
          <t>Discounted at the terminal-year discount factor.</t>
        </is>
      </c>
    </row>
    <row r="45">
      <c r="B45" s="31" t="inlineStr">
        <is>
          <t>ENTERPRISE VALUE</t>
        </is>
      </c>
      <c r="D45" s="62">
        <f>D40+D44</f>
        <v/>
      </c>
      <c r="O45" s="3" t="inlineStr">
        <is>
          <t>Sum of the explicit PV and the discounted terminal value.</t>
        </is>
      </c>
    </row>
    <row r="46">
      <c r="B46" s="31" t="inlineStr">
        <is>
          <t>Terminal value as % of EV</t>
        </is>
      </c>
      <c r="D46" s="18">
        <f>IFERROR(D44/D45,"")</f>
        <v/>
      </c>
      <c r="O46" s="3" t="inlineStr">
        <is>
          <t>IF THIS EXCEEDS ROUGHLY 75% the valuation is essentially a terminal-multiple assertion rather than a forecast, and the exit multiple - which is unsourced - dominates. Watch this number.</t>
        </is>
      </c>
    </row>
    <row r="48">
      <c r="B48" s="5" t="inlineStr">
        <is>
          <t>D - RETURNS</t>
        </is>
      </c>
    </row>
    <row r="49" ht="30" customHeight="1">
      <c r="A49" s="7" t="inlineStr"/>
      <c r="B49" s="8" t="inlineStr">
        <is>
          <t>Line item</t>
        </is>
      </c>
      <c r="C49" s="8" t="inlineStr">
        <is>
          <t>Unit</t>
        </is>
      </c>
      <c r="D49" s="7" t="inlineStr">
        <is>
          <t>FY2026A</t>
        </is>
      </c>
      <c r="E49" s="7" t="inlineStr">
        <is>
          <t>FY2027E</t>
        </is>
      </c>
      <c r="F49" s="7" t="inlineStr">
        <is>
          <t>FY2028E</t>
        </is>
      </c>
      <c r="G49" s="7" t="inlineStr">
        <is>
          <t>FY2029E</t>
        </is>
      </c>
      <c r="H49" s="7" t="inlineStr">
        <is>
          <t>FY2030E</t>
        </is>
      </c>
      <c r="I49" s="7" t="inlineStr">
        <is>
          <t>FY2031E</t>
        </is>
      </c>
      <c r="J49" s="7" t="inlineStr">
        <is>
          <t>FY2032E</t>
        </is>
      </c>
      <c r="K49" s="7" t="inlineStr">
        <is>
          <t>FY2033E</t>
        </is>
      </c>
      <c r="L49" s="7" t="inlineStr">
        <is>
          <t>CAGR</t>
        </is>
      </c>
      <c r="M49" s="8" t="inlineStr">
        <is>
          <t>Source</t>
        </is>
      </c>
      <c r="N49" s="7" t="inlineStr">
        <is>
          <t>Conf.</t>
        </is>
      </c>
      <c r="O49" s="8" t="inlineStr">
        <is>
          <t>Notes / methodology</t>
        </is>
      </c>
    </row>
    <row r="50">
      <c r="B50" s="10" t="inlineStr">
        <is>
          <t>EBIT</t>
        </is>
      </c>
      <c r="C50" s="11" t="inlineStr">
        <is>
          <t>Rs cr</t>
        </is>
      </c>
      <c r="E50" s="35">
        <f>'16 Cash Flow Model'!E$18</f>
        <v/>
      </c>
      <c r="F50" s="35">
        <f>'16 Cash Flow Model'!F$18</f>
        <v/>
      </c>
      <c r="G50" s="35">
        <f>'16 Cash Flow Model'!G$18</f>
        <v/>
      </c>
      <c r="H50" s="35">
        <f>'16 Cash Flow Model'!H$18</f>
        <v/>
      </c>
      <c r="I50" s="35">
        <f>'16 Cash Flow Model'!I$18</f>
        <v/>
      </c>
      <c r="J50" s="35">
        <f>'16 Cash Flow Model'!J$18</f>
        <v/>
      </c>
      <c r="K50" s="35">
        <f>'16 Cash Flow Model'!K$18</f>
        <v/>
      </c>
      <c r="M50" s="3" t="inlineStr">
        <is>
          <t>16 Cash Flow</t>
        </is>
      </c>
      <c r="N50" s="13" t="inlineStr">
        <is>
          <t>Medium</t>
        </is>
      </c>
    </row>
    <row r="51">
      <c r="B51" s="10" t="inlineStr">
        <is>
          <t>Effective tax rate</t>
        </is>
      </c>
      <c r="C51" s="11" t="inlineStr">
        <is>
          <t>%</t>
        </is>
      </c>
      <c r="E51" s="16" t="inlineStr">
        <is>
          <t>'02 Model Assumptions'!E$136</t>
        </is>
      </c>
      <c r="F51" s="16" t="inlineStr">
        <is>
          <t>'02 Model Assumptions'!F$136</t>
        </is>
      </c>
      <c r="G51" s="16" t="inlineStr">
        <is>
          <t>'02 Model Assumptions'!G$136</t>
        </is>
      </c>
      <c r="H51" s="16" t="inlineStr">
        <is>
          <t>'02 Model Assumptions'!H$136</t>
        </is>
      </c>
      <c r="I51" s="16" t="inlineStr">
        <is>
          <t>'02 Model Assumptions'!I$136</t>
        </is>
      </c>
      <c r="J51" s="16" t="inlineStr">
        <is>
          <t>'02 Model Assumptions'!J$136</t>
        </is>
      </c>
      <c r="K51" s="16" t="inlineStr">
        <is>
          <t>'02 Model Assumptions'!K$136</t>
        </is>
      </c>
      <c r="M51" s="3" t="inlineStr">
        <is>
          <t>02 Assumptions</t>
        </is>
      </c>
      <c r="N51" s="13" t="inlineStr">
        <is>
          <t>Medium</t>
        </is>
      </c>
    </row>
    <row r="52">
      <c r="B52" s="10" t="inlineStr">
        <is>
          <t>NOPAT</t>
        </is>
      </c>
      <c r="C52" s="11" t="inlineStr">
        <is>
          <t>Rs cr</t>
        </is>
      </c>
      <c r="E52" s="35">
        <f>E50*(1-E51)</f>
        <v/>
      </c>
      <c r="F52" s="35">
        <f>F50*(1-F51)</f>
        <v/>
      </c>
      <c r="G52" s="35">
        <f>G50*(1-G51)</f>
        <v/>
      </c>
      <c r="H52" s="35">
        <f>H50*(1-H51)</f>
        <v/>
      </c>
      <c r="I52" s="35">
        <f>I50*(1-I51)</f>
        <v/>
      </c>
      <c r="J52" s="35">
        <f>J50*(1-J51)</f>
        <v/>
      </c>
      <c r="K52" s="35">
        <f>K50*(1-K51)</f>
        <v/>
      </c>
      <c r="M52" s="3" t="inlineStr">
        <is>
          <t>Computed</t>
        </is>
      </c>
      <c r="N52" s="13" t="inlineStr">
        <is>
          <t>Medium</t>
        </is>
      </c>
    </row>
    <row r="53">
      <c r="B53" s="10" t="inlineStr">
        <is>
          <t>Invested capital (proxy)</t>
        </is>
      </c>
      <c r="C53" s="11" t="inlineStr">
        <is>
          <t>Rs cr</t>
        </is>
      </c>
      <c r="E53" s="35">
        <f>220.4*'02 Model Assumptions'!E$137/10+'15 Working Capital Model'!E$16</f>
        <v/>
      </c>
      <c r="F53" s="35">
        <f>220.4*'02 Model Assumptions'!F$137/10+'15 Working Capital Model'!F$16</f>
        <v/>
      </c>
      <c r="G53" s="35">
        <f>220.4*'02 Model Assumptions'!G$137/10+'15 Working Capital Model'!G$16</f>
        <v/>
      </c>
      <c r="H53" s="35">
        <f>220.4*'02 Model Assumptions'!H$137/10+'15 Working Capital Model'!H$16</f>
        <v/>
      </c>
      <c r="I53" s="35">
        <f>220.4*'02 Model Assumptions'!I$137/10+'15 Working Capital Model'!I$16</f>
        <v/>
      </c>
      <c r="J53" s="35">
        <f>220.4*'02 Model Assumptions'!J$137/10+'15 Working Capital Model'!J$16</f>
        <v/>
      </c>
      <c r="K53" s="35">
        <f>220.4*'02 Model Assumptions'!K$137/10+'15 Working Capital Model'!K$16</f>
        <v/>
      </c>
      <c r="M53" s="3" t="inlineStr">
        <is>
          <t>Computed - PROXY</t>
        </is>
      </c>
      <c r="N53" s="13" t="inlineStr">
        <is>
          <t>Low</t>
        </is>
      </c>
      <c r="O53" s="3" t="inlineStr">
        <is>
          <t>PROXY ONLY: FY2026 capacity at replacement cost plus net working capital. The database does not carry net fixed assets, so a true invested-capital base could not be built. A replacement-cost proxy understates ROIC for older, depreciated assets and is stated as indicative.</t>
        </is>
      </c>
    </row>
    <row r="54">
      <c r="B54" s="26" t="inlineStr">
        <is>
          <t>ROIC (indicative)</t>
        </is>
      </c>
      <c r="C54" s="11" t="inlineStr">
        <is>
          <t>%</t>
        </is>
      </c>
      <c r="E54" s="28">
        <f>IFERROR(E52/E53,"")</f>
        <v/>
      </c>
      <c r="F54" s="28">
        <f>IFERROR(F52/F53,"")</f>
        <v/>
      </c>
      <c r="G54" s="28">
        <f>IFERROR(G52/G53,"")</f>
        <v/>
      </c>
      <c r="H54" s="28">
        <f>IFERROR(H52/H53,"")</f>
        <v/>
      </c>
      <c r="I54" s="28">
        <f>IFERROR(I52/I53,"")</f>
        <v/>
      </c>
      <c r="J54" s="28">
        <f>IFERROR(J52/J53,"")</f>
        <v/>
      </c>
      <c r="K54" s="28">
        <f>IFERROR(K52/K53,"")</f>
        <v/>
      </c>
      <c r="M54" s="3" t="inlineStr">
        <is>
          <t>Computed</t>
        </is>
      </c>
      <c r="N54" s="13" t="inlineStr">
        <is>
          <t>Low</t>
        </is>
      </c>
    </row>
    <row r="55">
      <c r="B55" s="26" t="inlineStr">
        <is>
          <t>ROIC less WACC (value spread)</t>
        </is>
      </c>
      <c r="C55" s="11" t="inlineStr">
        <is>
          <t>ppt</t>
        </is>
      </c>
      <c r="E55" s="28">
        <f>E54-E35</f>
        <v/>
      </c>
      <c r="F55" s="28">
        <f>F54-F35</f>
        <v/>
      </c>
      <c r="G55" s="28">
        <f>G54-G35</f>
        <v/>
      </c>
      <c r="H55" s="28">
        <f>H54-H35</f>
        <v/>
      </c>
      <c r="I55" s="28">
        <f>I54-I35</f>
        <v/>
      </c>
      <c r="J55" s="28">
        <f>J54-J35</f>
        <v/>
      </c>
      <c r="K55" s="28">
        <f>K54-K35</f>
        <v/>
      </c>
      <c r="M55" s="3" t="inlineStr">
        <is>
          <t>Computed</t>
        </is>
      </c>
      <c r="N55" s="13" t="inlineStr">
        <is>
          <t>Low</t>
        </is>
      </c>
      <c r="O55" s="3" t="inlineStr">
        <is>
          <t>THE VALUE-CREATION TEST. A persistently negative spread means the industry destroys value by adding capacity, however strong the volume growth - which is the central strategic question for Indian steel and the reason capacity discipline matters more than capacity ambition.</t>
        </is>
      </c>
    </row>
    <row r="57">
      <c r="B57" s="30" t="inlineStr">
        <is>
          <t>This is an INDUSTRY DCF. It is a sanity frame and a source of mid-cycle multiples, not a substitute for a single-name model. Every line needed for a single-name build - volume, realisation spread, cost spread, capex, working capital - is isolated elsewhere in this workbook.</t>
        </is>
      </c>
    </row>
  </sheetData>
  <printOptions horizontalCentered="1"/>
  <pageMargins left="0.75" right="0.75" top="1" bottom="1" header="0.5" footer="0.5"/>
  <pageSetup orientation="landscape" fitToHeight="0" fitToWidth="1"/>
  <tableParts count="1">
    <tablePart xmlns:r="http://schemas.openxmlformats.org/officeDocument/2006/relationships" r:id="rId1"/>
  </tableParts>
</worksheet>
</file>

<file path=xl/worksheets/sheet28.xml><?xml version="1.0" encoding="utf-8"?>
<worksheet xmlns="http://schemas.openxmlformats.org/spreadsheetml/2006/main">
  <sheetPr>
    <tabColor rgb="001F3864"/>
    <outlinePr summaryBelow="1" summaryRight="1"/>
    <pageSetUpPr fitToPage="1"/>
  </sheetPr>
  <dimension ref="A1:O50"/>
  <sheetViews>
    <sheetView showGridLines="0" workbookViewId="0">
      <selection activeCell="A1" sqref="A1"/>
    </sheetView>
  </sheetViews>
  <sheetFormatPr baseColWidth="8" defaultRowHeight="15"/>
  <cols>
    <col width="7" customWidth="1" min="1" max="1"/>
    <col width="52" customWidth="1" min="2" max="2"/>
    <col width="17"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95" customWidth="1" min="15" max="15"/>
  </cols>
  <sheetData>
    <row r="1" ht="19" customHeight="1">
      <c r="B1" s="1" t="inlineStr">
        <is>
          <t>24  Industry Dashboard</t>
        </is>
      </c>
    </row>
    <row r="2">
      <c r="B2" s="4" t="inlineStr">
        <is>
          <t>Industry Financial Model  |  Indian Steel Industry  |  Horizon FY2027E-FY2033E  |  Base year FY2026A  |  Built 03-Aug-2026</t>
        </is>
      </c>
    </row>
    <row r="3">
      <c r="B3" s="3" t="inlineStr"/>
    </row>
    <row r="4">
      <c r="B4" s="4" t="inlineStr">
        <is>
          <t>OBJECTIVE</t>
        </is>
      </c>
    </row>
    <row r="5">
      <c r="B5" s="3" t="inlineStr">
        <is>
          <t>One-page summary of the active scenario for an investment committee or board pack.</t>
        </is>
      </c>
    </row>
    <row r="6">
      <c r="B6" s="4" t="inlineStr">
        <is>
          <t>METHODOLOGY</t>
        </is>
      </c>
    </row>
    <row r="7">
      <c r="B7" s="3" t="inlineStr">
        <is>
          <t>Every figure is a live link. Nothing on this sheet is entered.</t>
        </is>
      </c>
    </row>
    <row r="8">
      <c r="B8" s="4" t="inlineStr">
        <is>
          <t>UNITS</t>
        </is>
      </c>
    </row>
    <row r="9">
      <c r="B9" s="3" t="inlineStr">
        <is>
          <t>As stated per row.</t>
        </is>
      </c>
    </row>
    <row r="10">
      <c r="B10" s="4" t="inlineStr">
        <is>
          <t>DEPENDENCIES</t>
        </is>
      </c>
    </row>
    <row r="11">
      <c r="B11" s="3" t="inlineStr">
        <is>
          <t>Reads the whole model.</t>
        </is>
      </c>
    </row>
    <row r="12">
      <c r="B12" s="3" t="inlineStr"/>
    </row>
    <row r="13">
      <c r="B13" s="2" t="inlineStr">
        <is>
          <t>ACTIVE SCENARIO</t>
        </is>
      </c>
      <c r="D13" s="63">
        <f>'01 Control Panel'!$D$14</f>
        <v/>
      </c>
    </row>
    <row r="15" ht="30" customHeight="1">
      <c r="A15" s="7" t="inlineStr"/>
      <c r="B15" s="8" t="inlineStr">
        <is>
          <t>Line item</t>
        </is>
      </c>
      <c r="C15" s="8" t="inlineStr">
        <is>
          <t>Unit</t>
        </is>
      </c>
      <c r="D15" s="7" t="inlineStr">
        <is>
          <t>FY2026A</t>
        </is>
      </c>
      <c r="E15" s="7" t="inlineStr">
        <is>
          <t>FY2027E</t>
        </is>
      </c>
      <c r="F15" s="7" t="inlineStr">
        <is>
          <t>FY2028E</t>
        </is>
      </c>
      <c r="G15" s="7" t="inlineStr">
        <is>
          <t>FY2029E</t>
        </is>
      </c>
      <c r="H15" s="7" t="inlineStr">
        <is>
          <t>FY2030E</t>
        </is>
      </c>
      <c r="I15" s="7" t="inlineStr">
        <is>
          <t>FY2031E</t>
        </is>
      </c>
      <c r="J15" s="7" t="inlineStr">
        <is>
          <t>FY2032E</t>
        </is>
      </c>
      <c r="K15" s="7" t="inlineStr">
        <is>
          <t>FY2033E</t>
        </is>
      </c>
      <c r="L15" s="7" t="inlineStr">
        <is>
          <t>CAGR</t>
        </is>
      </c>
      <c r="M15" s="8" t="inlineStr">
        <is>
          <t>Source</t>
        </is>
      </c>
      <c r="N15" s="7" t="inlineStr">
        <is>
          <t>Conf.</t>
        </is>
      </c>
      <c r="O15" s="8" t="inlineStr">
        <is>
          <t>Notes / methodology</t>
        </is>
      </c>
    </row>
    <row r="16">
      <c r="B16" s="5" t="inlineStr">
        <is>
          <t>DEMAND AND SUPPLY</t>
        </is>
      </c>
    </row>
    <row r="17">
      <c r="B17" s="10" t="inlineStr">
        <is>
          <t>Apparent finished steel consumption</t>
        </is>
      </c>
      <c r="C17" s="11" t="inlineStr">
        <is>
          <t>Mt</t>
        </is>
      </c>
      <c r="D17" s="40">
        <f>IF(ISBLANK('04 Steel Demand Model'!D$17),"n/a",'04 Steel Demand Model'!D$17)</f>
        <v/>
      </c>
      <c r="E17" s="40">
        <f>'04 Steel Demand Model'!E$17</f>
        <v/>
      </c>
      <c r="F17" s="40">
        <f>'04 Steel Demand Model'!F$17</f>
        <v/>
      </c>
      <c r="G17" s="40">
        <f>'04 Steel Demand Model'!G$17</f>
        <v/>
      </c>
      <c r="H17" s="40">
        <f>'04 Steel Demand Model'!H$17</f>
        <v/>
      </c>
      <c r="I17" s="40">
        <f>'04 Steel Demand Model'!I$17</f>
        <v/>
      </c>
      <c r="J17" s="40">
        <f>'04 Steel Demand Model'!J$17</f>
        <v/>
      </c>
      <c r="K17" s="40">
        <f>'04 Steel Demand Model'!K$17</f>
        <v/>
      </c>
      <c r="L17" s="16">
        <f>IFERROR(IF(AND(ISNUMBER(D17),ISNUMBER(K17),D17&gt;0),(K17/D17)^(1/7)-1,""),"")</f>
        <v/>
      </c>
      <c r="M17" s="3" t="inlineStr">
        <is>
          <t>04</t>
        </is>
      </c>
    </row>
    <row r="18">
      <c r="B18" s="10" t="inlineStr">
        <is>
          <t>Consumption growth</t>
        </is>
      </c>
      <c r="C18" s="11" t="inlineStr">
        <is>
          <t>%</t>
        </is>
      </c>
      <c r="D18" s="16">
        <f>IF(ISBLANK('04 Steel Demand Model'!D$16),"n/a",'04 Steel Demand Model'!D$16)</f>
        <v/>
      </c>
      <c r="E18" s="16">
        <f>'04 Steel Demand Model'!E$16</f>
        <v/>
      </c>
      <c r="F18" s="16">
        <f>'04 Steel Demand Model'!F$16</f>
        <v/>
      </c>
      <c r="G18" s="16">
        <f>'04 Steel Demand Model'!G$16</f>
        <v/>
      </c>
      <c r="H18" s="16">
        <f>'04 Steel Demand Model'!H$16</f>
        <v/>
      </c>
      <c r="I18" s="16">
        <f>'04 Steel Demand Model'!I$16</f>
        <v/>
      </c>
      <c r="J18" s="16">
        <f>'04 Steel Demand Model'!J$16</f>
        <v/>
      </c>
      <c r="K18" s="16">
        <f>'04 Steel Demand Model'!K$16</f>
        <v/>
      </c>
      <c r="M18" s="3" t="inlineStr">
        <is>
          <t>04</t>
        </is>
      </c>
    </row>
    <row r="19">
      <c r="B19" s="10" t="inlineStr">
        <is>
          <t>Per capita consumption</t>
        </is>
      </c>
      <c r="C19" s="11" t="inlineStr">
        <is>
          <t>kg</t>
        </is>
      </c>
      <c r="D19" s="40">
        <f>IF(ISBLANK('04 Steel Demand Model'!D$23),"n/a",'04 Steel Demand Model'!D$23)</f>
        <v/>
      </c>
      <c r="E19" s="40">
        <f>'04 Steel Demand Model'!E$23</f>
        <v/>
      </c>
      <c r="F19" s="40">
        <f>'04 Steel Demand Model'!F$23</f>
        <v/>
      </c>
      <c r="G19" s="40">
        <f>'04 Steel Demand Model'!G$23</f>
        <v/>
      </c>
      <c r="H19" s="40">
        <f>'04 Steel Demand Model'!H$23</f>
        <v/>
      </c>
      <c r="I19" s="40">
        <f>'04 Steel Demand Model'!I$23</f>
        <v/>
      </c>
      <c r="J19" s="40">
        <f>'04 Steel Demand Model'!J$23</f>
        <v/>
      </c>
      <c r="K19" s="40">
        <f>'04 Steel Demand Model'!K$23</f>
        <v/>
      </c>
      <c r="L19" s="16">
        <f>IFERROR(IF(AND(ISNUMBER(D19),ISNUMBER(K19),D19&gt;0),(K19/D19)^(1/7)-1,""),"")</f>
        <v/>
      </c>
      <c r="M19" s="3" t="inlineStr">
        <is>
          <t>04</t>
        </is>
      </c>
    </row>
    <row r="20">
      <c r="B20" s="10" t="inlineStr">
        <is>
          <t>Crude steel production</t>
        </is>
      </c>
      <c r="C20" s="11" t="inlineStr">
        <is>
          <t>Mt</t>
        </is>
      </c>
      <c r="D20" s="40">
        <f>IF(ISBLANK('05 Steel Supply Model'!D$25),"n/a",'05 Steel Supply Model'!D$25)</f>
        <v/>
      </c>
      <c r="E20" s="40">
        <f>'05 Steel Supply Model'!E$25</f>
        <v/>
      </c>
      <c r="F20" s="40">
        <f>'05 Steel Supply Model'!F$25</f>
        <v/>
      </c>
      <c r="G20" s="40">
        <f>'05 Steel Supply Model'!G$25</f>
        <v/>
      </c>
      <c r="H20" s="40">
        <f>'05 Steel Supply Model'!H$25</f>
        <v/>
      </c>
      <c r="I20" s="40">
        <f>'05 Steel Supply Model'!I$25</f>
        <v/>
      </c>
      <c r="J20" s="40">
        <f>'05 Steel Supply Model'!J$25</f>
        <v/>
      </c>
      <c r="K20" s="40">
        <f>'05 Steel Supply Model'!K$25</f>
        <v/>
      </c>
      <c r="L20" s="16">
        <f>IFERROR(IF(AND(ISNUMBER(D20),ISNUMBER(K20),D20&gt;0),(K20/D20)^(1/7)-1,""),"")</f>
        <v/>
      </c>
      <c r="M20" s="3" t="inlineStr">
        <is>
          <t>05</t>
        </is>
      </c>
    </row>
    <row r="21">
      <c r="B21" s="10" t="inlineStr">
        <is>
          <t>Crude steel capacity</t>
        </is>
      </c>
      <c r="C21" s="11" t="inlineStr">
        <is>
          <t>Mtpa</t>
        </is>
      </c>
      <c r="D21" s="40">
        <f>IF(ISBLANK('06 Capacity Forecast'!D$20),"n/a",'06 Capacity Forecast'!D$20)</f>
        <v/>
      </c>
      <c r="E21" s="40">
        <f>'06 Capacity Forecast'!E$20</f>
        <v/>
      </c>
      <c r="F21" s="40">
        <f>'06 Capacity Forecast'!F$20</f>
        <v/>
      </c>
      <c r="G21" s="40">
        <f>'06 Capacity Forecast'!G$20</f>
        <v/>
      </c>
      <c r="H21" s="40">
        <f>'06 Capacity Forecast'!H$20</f>
        <v/>
      </c>
      <c r="I21" s="40">
        <f>'06 Capacity Forecast'!I$20</f>
        <v/>
      </c>
      <c r="J21" s="40">
        <f>'06 Capacity Forecast'!J$20</f>
        <v/>
      </c>
      <c r="K21" s="40">
        <f>'06 Capacity Forecast'!K$20</f>
        <v/>
      </c>
      <c r="L21" s="16">
        <f>IFERROR(IF(AND(ISNUMBER(D21),ISNUMBER(K21),D21&gt;0),(K21/D21)^(1/7)-1,""),"")</f>
        <v/>
      </c>
      <c r="M21" s="3" t="inlineStr">
        <is>
          <t>06</t>
        </is>
      </c>
    </row>
    <row r="22">
      <c r="B22" s="10" t="inlineStr">
        <is>
          <t>Capacity utilisation</t>
        </is>
      </c>
      <c r="C22" s="11" t="inlineStr">
        <is>
          <t>%</t>
        </is>
      </c>
      <c r="D22" s="16">
        <f>IF(ISBLANK('08 Capacity Utilisation'!D$16),"n/a",'08 Capacity Utilisation'!D$16)</f>
        <v/>
      </c>
      <c r="E22" s="16">
        <f>'08 Capacity Utilisation'!E$16</f>
        <v/>
      </c>
      <c r="F22" s="16">
        <f>'08 Capacity Utilisation'!F$16</f>
        <v/>
      </c>
      <c r="G22" s="16">
        <f>'08 Capacity Utilisation'!G$16</f>
        <v/>
      </c>
      <c r="H22" s="16">
        <f>'08 Capacity Utilisation'!H$16</f>
        <v/>
      </c>
      <c r="I22" s="16">
        <f>'08 Capacity Utilisation'!I$16</f>
        <v/>
      </c>
      <c r="J22" s="16">
        <f>'08 Capacity Utilisation'!J$16</f>
        <v/>
      </c>
      <c r="K22" s="16">
        <f>'08 Capacity Utilisation'!K$16</f>
        <v/>
      </c>
      <c r="M22" s="3" t="inlineStr">
        <is>
          <t>08</t>
        </is>
      </c>
    </row>
    <row r="23">
      <c r="B23" s="5" t="inlineStr">
        <is>
          <t>PRICES AND COSTS</t>
        </is>
      </c>
    </row>
    <row r="24">
      <c r="B24" s="10" t="inlineStr">
        <is>
          <t>Blended realisation</t>
        </is>
      </c>
      <c r="C24" s="11" t="inlineStr">
        <is>
          <t>Rs/t</t>
        </is>
      </c>
      <c r="D24" s="35">
        <f>IF(ISBLANK('09 Steel Price Forecast'!D$22),"n/a",'09 Steel Price Forecast'!D$22)</f>
        <v/>
      </c>
      <c r="E24" s="35">
        <f>'09 Steel Price Forecast'!E$22</f>
        <v/>
      </c>
      <c r="F24" s="35">
        <f>'09 Steel Price Forecast'!F$22</f>
        <v/>
      </c>
      <c r="G24" s="35">
        <f>'09 Steel Price Forecast'!G$22</f>
        <v/>
      </c>
      <c r="H24" s="35">
        <f>'09 Steel Price Forecast'!H$22</f>
        <v/>
      </c>
      <c r="I24" s="35">
        <f>'09 Steel Price Forecast'!I$22</f>
        <v/>
      </c>
      <c r="J24" s="35">
        <f>'09 Steel Price Forecast'!J$22</f>
        <v/>
      </c>
      <c r="K24" s="35">
        <f>'09 Steel Price Forecast'!K$22</f>
        <v/>
      </c>
      <c r="L24" s="16">
        <f>IFERROR(IF(AND(ISNUMBER(D24),ISNUMBER(K24),D24&gt;0),(K24/D24)^(1/7)-1,""),"")</f>
        <v/>
      </c>
      <c r="M24" s="3" t="inlineStr">
        <is>
          <t>09</t>
        </is>
      </c>
    </row>
    <row r="25">
      <c r="B25" s="10" t="inlineStr">
        <is>
          <t>Iron ore 62% Fe CFR China</t>
        </is>
      </c>
      <c r="C25" s="11" t="inlineStr">
        <is>
          <t>US$/dmt</t>
        </is>
      </c>
      <c r="D25" s="34">
        <f>IF(ISBLANK('10 Raw Material Forecast'!D$15),"n/a",'10 Raw Material Forecast'!D$15)</f>
        <v/>
      </c>
      <c r="E25" s="34">
        <f>'10 Raw Material Forecast'!E$15</f>
        <v/>
      </c>
      <c r="F25" s="34">
        <f>'10 Raw Material Forecast'!F$15</f>
        <v/>
      </c>
      <c r="G25" s="34">
        <f>'10 Raw Material Forecast'!G$15</f>
        <v/>
      </c>
      <c r="H25" s="34">
        <f>'10 Raw Material Forecast'!H$15</f>
        <v/>
      </c>
      <c r="I25" s="34">
        <f>'10 Raw Material Forecast'!I$15</f>
        <v/>
      </c>
      <c r="J25" s="34">
        <f>'10 Raw Material Forecast'!J$15</f>
        <v/>
      </c>
      <c r="K25" s="34">
        <f>'10 Raw Material Forecast'!K$15</f>
        <v/>
      </c>
      <c r="L25" s="16">
        <f>IFERROR(IF(AND(ISNUMBER(D25),ISNUMBER(K25),D25&gt;0),(K25/D25)^(1/7)-1,""),"")</f>
        <v/>
      </c>
      <c r="M25" s="3" t="inlineStr">
        <is>
          <t>10</t>
        </is>
      </c>
    </row>
    <row r="26">
      <c r="B26" s="10" t="inlineStr">
        <is>
          <t>Premium HCC coking coal</t>
        </is>
      </c>
      <c r="C26" s="11" t="inlineStr">
        <is>
          <t>US$/t</t>
        </is>
      </c>
      <c r="D26" s="34">
        <f>IF(ISBLANK('10 Raw Material Forecast'!D$16),"n/a",'10 Raw Material Forecast'!D$16)</f>
        <v/>
      </c>
      <c r="E26" s="34">
        <f>'10 Raw Material Forecast'!E$16</f>
        <v/>
      </c>
      <c r="F26" s="34">
        <f>'10 Raw Material Forecast'!F$16</f>
        <v/>
      </c>
      <c r="G26" s="34">
        <f>'10 Raw Material Forecast'!G$16</f>
        <v/>
      </c>
      <c r="H26" s="34">
        <f>'10 Raw Material Forecast'!H$16</f>
        <v/>
      </c>
      <c r="I26" s="34">
        <f>'10 Raw Material Forecast'!I$16</f>
        <v/>
      </c>
      <c r="J26" s="34">
        <f>'10 Raw Material Forecast'!J$16</f>
        <v/>
      </c>
      <c r="K26" s="34">
        <f>'10 Raw Material Forecast'!K$16</f>
        <v/>
      </c>
      <c r="L26" s="16">
        <f>IFERROR(IF(AND(ISNUMBER(D26),ISNUMBER(K26),D26&gt;0),(K26/D26)^(1/7)-1,""),"")</f>
        <v/>
      </c>
      <c r="M26" s="3" t="inlineStr">
        <is>
          <t>10</t>
        </is>
      </c>
    </row>
    <row r="27">
      <c r="B27" s="10" t="inlineStr">
        <is>
          <t>USD/INR</t>
        </is>
      </c>
      <c r="C27" s="11" t="inlineStr">
        <is>
          <t>Rs/US$</t>
        </is>
      </c>
      <c r="D27" s="34">
        <f>IF(ISBLANK('10 Raw Material Forecast'!D$17),"n/a",'10 Raw Material Forecast'!D$17)</f>
        <v/>
      </c>
      <c r="E27" s="34">
        <f>'10 Raw Material Forecast'!E$17</f>
        <v/>
      </c>
      <c r="F27" s="34">
        <f>'10 Raw Material Forecast'!F$17</f>
        <v/>
      </c>
      <c r="G27" s="34">
        <f>'10 Raw Material Forecast'!G$17</f>
        <v/>
      </c>
      <c r="H27" s="34">
        <f>'10 Raw Material Forecast'!H$17</f>
        <v/>
      </c>
      <c r="I27" s="34">
        <f>'10 Raw Material Forecast'!I$17</f>
        <v/>
      </c>
      <c r="J27" s="34">
        <f>'10 Raw Material Forecast'!J$17</f>
        <v/>
      </c>
      <c r="K27" s="34">
        <f>'10 Raw Material Forecast'!K$17</f>
        <v/>
      </c>
      <c r="L27" s="16">
        <f>IFERROR(IF(AND(ISNUMBER(D27),ISNUMBER(K27),D27&gt;0),(K27/D27)^(1/7)-1,""),"")</f>
        <v/>
      </c>
      <c r="M27" s="3" t="inlineStr">
        <is>
          <t>10</t>
        </is>
      </c>
    </row>
    <row r="28">
      <c r="B28" s="10" t="inlineStr">
        <is>
          <t>Cash cost per tonne</t>
        </is>
      </c>
      <c r="C28" s="11" t="inlineStr">
        <is>
          <t>Rs/t</t>
        </is>
      </c>
      <c r="D28" s="35">
        <f>IF(ISBLANK('11 Cost Curve'!D$17),"n/a",'11 Cost Curve'!D$17)</f>
        <v/>
      </c>
      <c r="E28" s="35">
        <f>'11 Cost Curve'!E$17</f>
        <v/>
      </c>
      <c r="F28" s="35">
        <f>'11 Cost Curve'!F$17</f>
        <v/>
      </c>
      <c r="G28" s="35">
        <f>'11 Cost Curve'!G$17</f>
        <v/>
      </c>
      <c r="H28" s="35">
        <f>'11 Cost Curve'!H$17</f>
        <v/>
      </c>
      <c r="I28" s="35">
        <f>'11 Cost Curve'!I$17</f>
        <v/>
      </c>
      <c r="J28" s="35">
        <f>'11 Cost Curve'!J$17</f>
        <v/>
      </c>
      <c r="K28" s="35">
        <f>'11 Cost Curve'!K$17</f>
        <v/>
      </c>
      <c r="L28" s="16">
        <f>IFERROR(IF(AND(ISNUMBER(D28),ISNUMBER(K28),D28&gt;0),(K28/D28)^(1/7)-1,""),"")</f>
        <v/>
      </c>
      <c r="M28" s="3" t="inlineStr">
        <is>
          <t>11</t>
        </is>
      </c>
    </row>
    <row r="29">
      <c r="B29" s="5" t="inlineStr">
        <is>
          <t>PROFITABILITY</t>
        </is>
      </c>
    </row>
    <row r="30">
      <c r="B30" s="10" t="inlineStr">
        <is>
          <t>EBITDA per tonne</t>
        </is>
      </c>
      <c r="C30" s="11" t="inlineStr">
        <is>
          <t>Rs/t</t>
        </is>
      </c>
      <c r="D30" s="35">
        <f>IF(ISBLANK('13 EBITDA Model'!D$16),"n/a",'13 EBITDA Model'!D$16)</f>
        <v/>
      </c>
      <c r="E30" s="35">
        <f>'13 EBITDA Model'!E$16</f>
        <v/>
      </c>
      <c r="F30" s="35">
        <f>'13 EBITDA Model'!F$16</f>
        <v/>
      </c>
      <c r="G30" s="35">
        <f>'13 EBITDA Model'!G$16</f>
        <v/>
      </c>
      <c r="H30" s="35">
        <f>'13 EBITDA Model'!H$16</f>
        <v/>
      </c>
      <c r="I30" s="35">
        <f>'13 EBITDA Model'!I$16</f>
        <v/>
      </c>
      <c r="J30" s="35">
        <f>'13 EBITDA Model'!J$16</f>
        <v/>
      </c>
      <c r="K30" s="35">
        <f>'13 EBITDA Model'!K$16</f>
        <v/>
      </c>
      <c r="L30" s="16">
        <f>IFERROR(IF(AND(ISNUMBER(D30),ISNUMBER(K30),D30&gt;0),(K30/D30)^(1/7)-1,""),"")</f>
        <v/>
      </c>
      <c r="M30" s="3" t="inlineStr">
        <is>
          <t>13</t>
        </is>
      </c>
    </row>
    <row r="31">
      <c r="B31" s="10" t="inlineStr">
        <is>
          <t>Industry EBITDA margin</t>
        </is>
      </c>
      <c r="C31" s="11" t="inlineStr">
        <is>
          <t>%</t>
        </is>
      </c>
      <c r="D31" s="16">
        <f>IF(ISBLANK('14 Margin Analysis'!D$17),"n/a",'14 Margin Analysis'!D$17)</f>
        <v/>
      </c>
      <c r="E31" s="16">
        <f>'14 Margin Analysis'!E$17</f>
        <v/>
      </c>
      <c r="F31" s="16">
        <f>'14 Margin Analysis'!F$17</f>
        <v/>
      </c>
      <c r="G31" s="16">
        <f>'14 Margin Analysis'!G$17</f>
        <v/>
      </c>
      <c r="H31" s="16">
        <f>'14 Margin Analysis'!H$17</f>
        <v/>
      </c>
      <c r="I31" s="16">
        <f>'14 Margin Analysis'!I$17</f>
        <v/>
      </c>
      <c r="J31" s="16">
        <f>'14 Margin Analysis'!J$17</f>
        <v/>
      </c>
      <c r="K31" s="16">
        <f>'14 Margin Analysis'!K$17</f>
        <v/>
      </c>
      <c r="M31" s="3" t="inlineStr">
        <is>
          <t>14</t>
        </is>
      </c>
    </row>
    <row r="32">
      <c r="B32" s="10" t="inlineStr">
        <is>
          <t>Industry revenue</t>
        </is>
      </c>
      <c r="C32" s="11" t="inlineStr">
        <is>
          <t>Rs cr</t>
        </is>
      </c>
      <c r="D32" s="35">
        <f>IF(ISBLANK('12 Revenue Forecast'!D$16),"n/a",'12 Revenue Forecast'!D$16)</f>
        <v/>
      </c>
      <c r="E32" s="35">
        <f>'12 Revenue Forecast'!E$16</f>
        <v/>
      </c>
      <c r="F32" s="35">
        <f>'12 Revenue Forecast'!F$16</f>
        <v/>
      </c>
      <c r="G32" s="35">
        <f>'12 Revenue Forecast'!G$16</f>
        <v/>
      </c>
      <c r="H32" s="35">
        <f>'12 Revenue Forecast'!H$16</f>
        <v/>
      </c>
      <c r="I32" s="35">
        <f>'12 Revenue Forecast'!I$16</f>
        <v/>
      </c>
      <c r="J32" s="35">
        <f>'12 Revenue Forecast'!J$16</f>
        <v/>
      </c>
      <c r="K32" s="35">
        <f>'12 Revenue Forecast'!K$16</f>
        <v/>
      </c>
      <c r="L32" s="16">
        <f>IFERROR(IF(AND(ISNUMBER(D32),ISNUMBER(K32),D32&gt;0),(K32/D32)^(1/7)-1,""),"")</f>
        <v/>
      </c>
      <c r="M32" s="3" t="inlineStr">
        <is>
          <t>12</t>
        </is>
      </c>
    </row>
    <row r="33">
      <c r="B33" s="10" t="inlineStr">
        <is>
          <t>Industry EBITDA</t>
        </is>
      </c>
      <c r="C33" s="11" t="inlineStr">
        <is>
          <t>Rs cr</t>
        </is>
      </c>
      <c r="D33" s="35">
        <f>IF(ISBLANK('13 EBITDA Model'!D$18),"n/a",'13 EBITDA Model'!D$18)</f>
        <v/>
      </c>
      <c r="E33" s="35">
        <f>'13 EBITDA Model'!E$18</f>
        <v/>
      </c>
      <c r="F33" s="35">
        <f>'13 EBITDA Model'!F$18</f>
        <v/>
      </c>
      <c r="G33" s="35">
        <f>'13 EBITDA Model'!G$18</f>
        <v/>
      </c>
      <c r="H33" s="35">
        <f>'13 EBITDA Model'!H$18</f>
        <v/>
      </c>
      <c r="I33" s="35">
        <f>'13 EBITDA Model'!I$18</f>
        <v/>
      </c>
      <c r="J33" s="35">
        <f>'13 EBITDA Model'!J$18</f>
        <v/>
      </c>
      <c r="K33" s="35">
        <f>'13 EBITDA Model'!K$18</f>
        <v/>
      </c>
      <c r="L33" s="16">
        <f>IFERROR(IF(AND(ISNUMBER(D33),ISNUMBER(K33),D33&gt;0),(K33/D33)^(1/7)-1,""),"")</f>
        <v/>
      </c>
      <c r="M33" s="3" t="inlineStr">
        <is>
          <t>13</t>
        </is>
      </c>
    </row>
    <row r="34">
      <c r="B34" s="10" t="inlineStr">
        <is>
          <t>Cycle position</t>
        </is>
      </c>
      <c r="C34" s="11" t="inlineStr">
        <is>
          <t>class</t>
        </is>
      </c>
      <c r="D34" s="43">
        <f>IF(ISBLANK('18 Industry Cycle Model'!D$19),"n/a",'18 Industry Cycle Model'!D$19)</f>
        <v/>
      </c>
      <c r="E34" s="43">
        <f>'18 Industry Cycle Model'!E$19</f>
        <v/>
      </c>
      <c r="F34" s="43">
        <f>'18 Industry Cycle Model'!F$19</f>
        <v/>
      </c>
      <c r="G34" s="43">
        <f>'18 Industry Cycle Model'!G$19</f>
        <v/>
      </c>
      <c r="H34" s="43">
        <f>'18 Industry Cycle Model'!H$19</f>
        <v/>
      </c>
      <c r="I34" s="43">
        <f>'18 Industry Cycle Model'!I$19</f>
        <v/>
      </c>
      <c r="J34" s="43">
        <f>'18 Industry Cycle Model'!J$19</f>
        <v/>
      </c>
      <c r="K34" s="43">
        <f>'18 Industry Cycle Model'!K$19</f>
        <v/>
      </c>
      <c r="M34" s="3" t="inlineStr">
        <is>
          <t>18</t>
        </is>
      </c>
    </row>
    <row r="35">
      <c r="B35" s="5" t="inlineStr">
        <is>
          <t>CASH AND BALANCE SHEET</t>
        </is>
      </c>
    </row>
    <row r="36">
      <c r="B36" s="10" t="inlineStr">
        <is>
          <t>Total capex</t>
        </is>
      </c>
      <c r="C36" s="11" t="inlineStr">
        <is>
          <t>Rs cr</t>
        </is>
      </c>
      <c r="D36" s="35">
        <f>IF(ISBLANK('16 Cash Flow Model'!D$28),"n/a",'16 Cash Flow Model'!D$28)</f>
        <v/>
      </c>
      <c r="E36" s="35">
        <f>'16 Cash Flow Model'!E$28</f>
        <v/>
      </c>
      <c r="F36" s="35">
        <f>'16 Cash Flow Model'!F$28</f>
        <v/>
      </c>
      <c r="G36" s="35">
        <f>'16 Cash Flow Model'!G$28</f>
        <v/>
      </c>
      <c r="H36" s="35">
        <f>'16 Cash Flow Model'!H$28</f>
        <v/>
      </c>
      <c r="I36" s="35">
        <f>'16 Cash Flow Model'!I$28</f>
        <v/>
      </c>
      <c r="J36" s="35">
        <f>'16 Cash Flow Model'!J$28</f>
        <v/>
      </c>
      <c r="K36" s="35">
        <f>'16 Cash Flow Model'!K$28</f>
        <v/>
      </c>
      <c r="L36" s="16">
        <f>IFERROR(IF(AND(ISNUMBER(D36),ISNUMBER(K36),D36&gt;0),(K36/D36)^(1/7)-1,""),"")</f>
        <v/>
      </c>
      <c r="M36" s="3" t="inlineStr">
        <is>
          <t>16</t>
        </is>
      </c>
    </row>
    <row r="37">
      <c r="B37" s="10" t="inlineStr">
        <is>
          <t>Unlevered free cash flow</t>
        </is>
      </c>
      <c r="C37" s="11" t="inlineStr">
        <is>
          <t>Rs cr</t>
        </is>
      </c>
      <c r="D37" s="35">
        <f>IF(ISBLANK('16 Cash Flow Model'!D$32),"n/a",'16 Cash Flow Model'!D$32)</f>
        <v/>
      </c>
      <c r="E37" s="35">
        <f>'16 Cash Flow Model'!E$32</f>
        <v/>
      </c>
      <c r="F37" s="35">
        <f>'16 Cash Flow Model'!F$32</f>
        <v/>
      </c>
      <c r="G37" s="35">
        <f>'16 Cash Flow Model'!G$32</f>
        <v/>
      </c>
      <c r="H37" s="35">
        <f>'16 Cash Flow Model'!H$32</f>
        <v/>
      </c>
      <c r="I37" s="35">
        <f>'16 Cash Flow Model'!I$32</f>
        <v/>
      </c>
      <c r="J37" s="35">
        <f>'16 Cash Flow Model'!J$32</f>
        <v/>
      </c>
      <c r="K37" s="35">
        <f>'16 Cash Flow Model'!K$32</f>
        <v/>
      </c>
      <c r="L37" s="16">
        <f>IFERROR(IF(AND(ISNUMBER(D37),ISNUMBER(K37),D37&gt;0),(K37/D37)^(1/7)-1,""),"")</f>
        <v/>
      </c>
      <c r="M37" s="3" t="inlineStr">
        <is>
          <t>16</t>
        </is>
      </c>
    </row>
    <row r="38">
      <c r="B38" s="10" t="inlineStr">
        <is>
          <t>FCF conversion</t>
        </is>
      </c>
      <c r="C38" s="11" t="inlineStr">
        <is>
          <t>% of EBITDA</t>
        </is>
      </c>
      <c r="D38" s="16">
        <f>IF(ISBLANK('16 Cash Flow Model'!D$33),"n/a",'16 Cash Flow Model'!D$33)</f>
        <v/>
      </c>
      <c r="E38" s="16">
        <f>'16 Cash Flow Model'!E$33</f>
        <v/>
      </c>
      <c r="F38" s="16">
        <f>'16 Cash Flow Model'!F$33</f>
        <v/>
      </c>
      <c r="G38" s="16">
        <f>'16 Cash Flow Model'!G$33</f>
        <v/>
      </c>
      <c r="H38" s="16">
        <f>'16 Cash Flow Model'!H$33</f>
        <v/>
      </c>
      <c r="I38" s="16">
        <f>'16 Cash Flow Model'!I$33</f>
        <v/>
      </c>
      <c r="J38" s="16">
        <f>'16 Cash Flow Model'!J$33</f>
        <v/>
      </c>
      <c r="K38" s="16">
        <f>'16 Cash Flow Model'!K$33</f>
        <v/>
      </c>
      <c r="M38" s="3" t="inlineStr">
        <is>
          <t>16</t>
        </is>
      </c>
    </row>
    <row r="39">
      <c r="B39" s="10" t="inlineStr">
        <is>
          <t>Net debt</t>
        </is>
      </c>
      <c r="C39" s="11" t="inlineStr">
        <is>
          <t>Rs cr</t>
        </is>
      </c>
      <c r="D39" s="35">
        <f>IF(ISBLANK('17 Capital Allocation'!D$17),"n/a",'17 Capital Allocation'!D$17)</f>
        <v/>
      </c>
      <c r="E39" s="35">
        <f>'17 Capital Allocation'!E$17</f>
        <v/>
      </c>
      <c r="F39" s="35">
        <f>'17 Capital Allocation'!F$17</f>
        <v/>
      </c>
      <c r="G39" s="35">
        <f>'17 Capital Allocation'!G$17</f>
        <v/>
      </c>
      <c r="H39" s="35">
        <f>'17 Capital Allocation'!H$17</f>
        <v/>
      </c>
      <c r="I39" s="35">
        <f>'17 Capital Allocation'!I$17</f>
        <v/>
      </c>
      <c r="J39" s="35">
        <f>'17 Capital Allocation'!J$17</f>
        <v/>
      </c>
      <c r="K39" s="35">
        <f>'17 Capital Allocation'!K$17</f>
        <v/>
      </c>
      <c r="L39" s="16">
        <f>IFERROR(IF(AND(ISNUMBER(D39),ISNUMBER(K39),D39&gt;0),(K39/D39)^(1/7)-1,""),"")</f>
        <v/>
      </c>
      <c r="M39" s="3" t="inlineStr">
        <is>
          <t>17</t>
        </is>
      </c>
    </row>
    <row r="40">
      <c r="B40" s="10" t="inlineStr">
        <is>
          <t>Net debt / EBITDA</t>
        </is>
      </c>
      <c r="C40" s="11" t="inlineStr">
        <is>
          <t>x</t>
        </is>
      </c>
      <c r="D40" s="33">
        <f>IF(ISBLANK('17 Capital Allocation'!D$21),"n/a",'17 Capital Allocation'!D$21)</f>
        <v/>
      </c>
      <c r="E40" s="33">
        <f>'17 Capital Allocation'!E$21</f>
        <v/>
      </c>
      <c r="F40" s="33">
        <f>'17 Capital Allocation'!F$21</f>
        <v/>
      </c>
      <c r="G40" s="33">
        <f>'17 Capital Allocation'!G$21</f>
        <v/>
      </c>
      <c r="H40" s="33">
        <f>'17 Capital Allocation'!H$21</f>
        <v/>
      </c>
      <c r="I40" s="33">
        <f>'17 Capital Allocation'!I$21</f>
        <v/>
      </c>
      <c r="J40" s="33">
        <f>'17 Capital Allocation'!J$21</f>
        <v/>
      </c>
      <c r="K40" s="33">
        <f>'17 Capital Allocation'!K$21</f>
        <v/>
      </c>
      <c r="M40" s="3" t="inlineStr">
        <is>
          <t>17</t>
        </is>
      </c>
    </row>
    <row r="41">
      <c r="B41" s="5" t="inlineStr">
        <is>
          <t>TRADE</t>
        </is>
      </c>
    </row>
    <row r="42">
      <c r="B42" s="10" t="inlineStr">
        <is>
          <t>Finished steel imports</t>
        </is>
      </c>
      <c r="C42" s="11" t="inlineStr">
        <is>
          <t>Mt</t>
        </is>
      </c>
      <c r="D42" s="34">
        <f>IF(ISBLANK('19 Trade Model'!D$16),"n/a",'19 Trade Model'!D$16)</f>
        <v/>
      </c>
      <c r="E42" s="34">
        <f>'19 Trade Model'!E$16</f>
        <v/>
      </c>
      <c r="F42" s="34">
        <f>'19 Trade Model'!F$16</f>
        <v/>
      </c>
      <c r="G42" s="34">
        <f>'19 Trade Model'!G$16</f>
        <v/>
      </c>
      <c r="H42" s="34">
        <f>'19 Trade Model'!H$16</f>
        <v/>
      </c>
      <c r="I42" s="34">
        <f>'19 Trade Model'!I$16</f>
        <v/>
      </c>
      <c r="J42" s="34">
        <f>'19 Trade Model'!J$16</f>
        <v/>
      </c>
      <c r="K42" s="34">
        <f>'19 Trade Model'!K$16</f>
        <v/>
      </c>
      <c r="L42" s="16">
        <f>IFERROR(IF(AND(ISNUMBER(D42),ISNUMBER(K42),D42&gt;0),(K42/D42)^(1/7)-1,""),"")</f>
        <v/>
      </c>
      <c r="M42" s="3" t="inlineStr">
        <is>
          <t>19</t>
        </is>
      </c>
    </row>
    <row r="43">
      <c r="B43" s="10" t="inlineStr">
        <is>
          <t>Finished steel exports</t>
        </is>
      </c>
      <c r="C43" s="11" t="inlineStr">
        <is>
          <t>Mt</t>
        </is>
      </c>
      <c r="D43" s="34">
        <f>IF(ISBLANK('19 Trade Model'!D$18),"n/a",'19 Trade Model'!D$18)</f>
        <v/>
      </c>
      <c r="E43" s="34">
        <f>'19 Trade Model'!E$18</f>
        <v/>
      </c>
      <c r="F43" s="34">
        <f>'19 Trade Model'!F$18</f>
        <v/>
      </c>
      <c r="G43" s="34">
        <f>'19 Trade Model'!G$18</f>
        <v/>
      </c>
      <c r="H43" s="34">
        <f>'19 Trade Model'!H$18</f>
        <v/>
      </c>
      <c r="I43" s="34">
        <f>'19 Trade Model'!I$18</f>
        <v/>
      </c>
      <c r="J43" s="34">
        <f>'19 Trade Model'!J$18</f>
        <v/>
      </c>
      <c r="K43" s="34">
        <f>'19 Trade Model'!K$18</f>
        <v/>
      </c>
      <c r="L43" s="16">
        <f>IFERROR(IF(AND(ISNUMBER(D43),ISNUMBER(K43),D43&gt;0),(K43/D43)^(1/7)-1,""),"")</f>
        <v/>
      </c>
      <c r="M43" s="3" t="inlineStr">
        <is>
          <t>19</t>
        </is>
      </c>
    </row>
    <row r="44">
      <c r="B44" s="10" t="inlineStr">
        <is>
          <t>Net trade position</t>
        </is>
      </c>
      <c r="C44" s="11" t="inlineStr">
        <is>
          <t>Mt</t>
        </is>
      </c>
      <c r="D44" s="34">
        <f>IF(ISBLANK('19 Trade Model'!D$25),"n/a",'19 Trade Model'!D$25)</f>
        <v/>
      </c>
      <c r="E44" s="34">
        <f>'19 Trade Model'!E$25</f>
        <v/>
      </c>
      <c r="F44" s="34">
        <f>'19 Trade Model'!F$25</f>
        <v/>
      </c>
      <c r="G44" s="34">
        <f>'19 Trade Model'!G$25</f>
        <v/>
      </c>
      <c r="H44" s="34">
        <f>'19 Trade Model'!H$25</f>
        <v/>
      </c>
      <c r="I44" s="34">
        <f>'19 Trade Model'!I$25</f>
        <v/>
      </c>
      <c r="J44" s="34">
        <f>'19 Trade Model'!J$25</f>
        <v/>
      </c>
      <c r="K44" s="34">
        <f>'19 Trade Model'!K$25</f>
        <v/>
      </c>
      <c r="L44" s="16">
        <f>IFERROR(IF(AND(ISNUMBER(D44),ISNUMBER(K44),D44&gt;0),(K44/D44)^(1/7)-1,""),"")</f>
        <v/>
      </c>
      <c r="M44" s="3" t="inlineStr">
        <is>
          <t>19</t>
        </is>
      </c>
    </row>
    <row r="45">
      <c r="B45" s="10" t="inlineStr">
        <is>
          <t>Import penetration</t>
        </is>
      </c>
      <c r="C45" s="11" t="inlineStr">
        <is>
          <t>% of consumption</t>
        </is>
      </c>
      <c r="D45" s="16">
        <f>IF(ISBLANK('19 Trade Model'!D$23),"n/a",'19 Trade Model'!D$23)</f>
        <v/>
      </c>
      <c r="E45" s="16">
        <f>'19 Trade Model'!E$23</f>
        <v/>
      </c>
      <c r="F45" s="16">
        <f>'19 Trade Model'!F$23</f>
        <v/>
      </c>
      <c r="G45" s="16">
        <f>'19 Trade Model'!G$23</f>
        <v/>
      </c>
      <c r="H45" s="16">
        <f>'19 Trade Model'!H$23</f>
        <v/>
      </c>
      <c r="I45" s="16">
        <f>'19 Trade Model'!I$23</f>
        <v/>
      </c>
      <c r="J45" s="16">
        <f>'19 Trade Model'!J$23</f>
        <v/>
      </c>
      <c r="K45" s="16">
        <f>'19 Trade Model'!K$23</f>
        <v/>
      </c>
      <c r="M45" s="3" t="inlineStr">
        <is>
          <t>19</t>
        </is>
      </c>
    </row>
    <row r="46">
      <c r="B46" s="5" t="inlineStr">
        <is>
          <t>RETURNS</t>
        </is>
      </c>
    </row>
    <row r="47">
      <c r="B47" s="10" t="inlineStr">
        <is>
          <t>ROIC (indicative)</t>
        </is>
      </c>
      <c r="C47" s="11" t="inlineStr">
        <is>
          <t>%</t>
        </is>
      </c>
      <c r="D47" s="16">
        <f>IF(ISBLANK('23 Comparable Valuation'!D$54),"n/a",'23 Comparable Valuation'!D$54)</f>
        <v/>
      </c>
      <c r="E47" s="16">
        <f>'23 Comparable Valuation'!E$54</f>
        <v/>
      </c>
      <c r="F47" s="16">
        <f>'23 Comparable Valuation'!F$54</f>
        <v/>
      </c>
      <c r="G47" s="16">
        <f>'23 Comparable Valuation'!G$54</f>
        <v/>
      </c>
      <c r="H47" s="16">
        <f>'23 Comparable Valuation'!H$54</f>
        <v/>
      </c>
      <c r="I47" s="16">
        <f>'23 Comparable Valuation'!I$54</f>
        <v/>
      </c>
      <c r="J47" s="16">
        <f>'23 Comparable Valuation'!J$54</f>
        <v/>
      </c>
      <c r="K47" s="16">
        <f>'23 Comparable Valuation'!K$54</f>
        <v/>
      </c>
      <c r="M47" s="3" t="inlineStr">
        <is>
          <t>23</t>
        </is>
      </c>
    </row>
    <row r="48">
      <c r="B48" s="10" t="inlineStr">
        <is>
          <t>ROIC less WACC</t>
        </is>
      </c>
      <c r="C48" s="11" t="inlineStr">
        <is>
          <t>ppt</t>
        </is>
      </c>
      <c r="D48" s="16">
        <f>IF(ISBLANK('23 Comparable Valuation'!D$55),"n/a",'23 Comparable Valuation'!D$55)</f>
        <v/>
      </c>
      <c r="E48" s="16">
        <f>'23 Comparable Valuation'!E$55</f>
        <v/>
      </c>
      <c r="F48" s="16">
        <f>'23 Comparable Valuation'!F$55</f>
        <v/>
      </c>
      <c r="G48" s="16">
        <f>'23 Comparable Valuation'!G$55</f>
        <v/>
      </c>
      <c r="H48" s="16">
        <f>'23 Comparable Valuation'!H$55</f>
        <v/>
      </c>
      <c r="I48" s="16">
        <f>'23 Comparable Valuation'!I$55</f>
        <v/>
      </c>
      <c r="J48" s="16">
        <f>'23 Comparable Valuation'!J$55</f>
        <v/>
      </c>
      <c r="K48" s="16">
        <f>'23 Comparable Valuation'!K$55</f>
        <v/>
      </c>
      <c r="M48" s="3" t="inlineStr">
        <is>
          <t>23</t>
        </is>
      </c>
    </row>
    <row r="50">
      <c r="B50" s="30" t="inlineStr">
        <is>
          <t>Change the scenario on 01 Control Panel and this page re-states entirely. Read alongside 22 Sensitivity section E, which states how much of this rests on unsourced inputs.</t>
        </is>
      </c>
    </row>
  </sheetData>
  <printOptions horizontalCentered="1"/>
  <pageMargins left="0.75" right="0.75" top="1" bottom="1" header="0.5" footer="0.5"/>
  <pageSetup orientation="landscape" fitToHeight="0" fitToWidth="1"/>
</worksheet>
</file>

<file path=xl/worksheets/sheet29.xml><?xml version="1.0" encoding="utf-8"?>
<worksheet xmlns="http://schemas.openxmlformats.org/spreadsheetml/2006/main">
  <sheetPr>
    <tabColor rgb="001F3864"/>
    <outlinePr summaryBelow="1" summaryRight="1"/>
    <pageSetUpPr fitToPage="1"/>
  </sheetPr>
  <dimension ref="A1:E55"/>
  <sheetViews>
    <sheetView showGridLines="0" workbookViewId="0">
      <selection activeCell="A1" sqref="A1"/>
    </sheetView>
  </sheetViews>
  <sheetFormatPr baseColWidth="8" defaultRowHeight="15"/>
  <cols>
    <col width="7" customWidth="1" min="1" max="1"/>
    <col width="13" customWidth="1" min="2" max="2"/>
    <col width="56" customWidth="1" min="3" max="3"/>
    <col width="14" customWidth="1" min="4" max="4"/>
    <col width="100" customWidth="1" min="5" max="5"/>
    <col width="13" customWidth="1" min="6" max="6"/>
    <col width="13" customWidth="1" min="7" max="7"/>
    <col width="13" customWidth="1" min="8" max="8"/>
    <col width="13" customWidth="1" min="9" max="9"/>
    <col width="13" customWidth="1" min="10" max="10"/>
    <col width="13" customWidth="1" min="11" max="11"/>
    <col width="12" customWidth="1" min="12" max="12"/>
    <col width="22" customWidth="1" min="13" max="13"/>
    <col width="12" customWidth="1" min="14" max="14"/>
    <col width="100" customWidth="1" min="15" max="15"/>
  </cols>
  <sheetData>
    <row r="1" ht="19" customHeight="1">
      <c r="B1" s="1" t="inlineStr">
        <is>
          <t>25  Audit Checks</t>
        </is>
      </c>
    </row>
    <row r="2">
      <c r="B2" s="4" t="inlineStr">
        <is>
          <t>Industry Financial Model  |  Indian Steel Industry  |  Horizon FY2027E-FY2033E  |  Base year FY2026A  |  Built 03-Aug-2026</t>
        </is>
      </c>
    </row>
    <row r="3">
      <c r="B3" s="3" t="inlineStr"/>
    </row>
    <row r="4">
      <c r="B4" s="4" t="inlineStr">
        <is>
          <t>OBJECTIVE</t>
        </is>
      </c>
    </row>
    <row r="5">
      <c r="B5" s="3" t="inlineStr">
        <is>
          <t>Thirty live validations. Every one is a formula, so they re-run automatically whenever a driver or the scenario changes.</t>
        </is>
      </c>
    </row>
    <row r="6">
      <c r="B6" s="4" t="inlineStr">
        <is>
          <t>METHODOLOGY</t>
        </is>
      </c>
    </row>
    <row r="7">
      <c r="B7" s="3" t="inlineStr">
        <is>
          <t>Checks are grouped: structural integrity, identity reconciliation, economic plausibility, cross-sheet consistency, and known model limitations. The limitations block is not a set of tests - it is a standing disclosure of what this model does NOT do, which is as important to a reviewer as what it does.</t>
        </is>
      </c>
    </row>
    <row r="8">
      <c r="B8" s="4" t="inlineStr">
        <is>
          <t>UNITS</t>
        </is>
      </c>
    </row>
    <row r="9">
      <c r="B9" s="3" t="inlineStr">
        <is>
          <t>PASS, FAIL or WARN.</t>
        </is>
      </c>
    </row>
    <row r="10">
      <c r="B10" s="4" t="inlineStr">
        <is>
          <t>DEPENDENCIES</t>
        </is>
      </c>
    </row>
    <row r="11">
      <c r="B11" s="3" t="inlineStr">
        <is>
          <t>Reads every sheet.</t>
        </is>
      </c>
    </row>
    <row r="12">
      <c r="B12" s="3" t="inlineStr"/>
    </row>
    <row r="13" ht="30" customHeight="1">
      <c r="A13" s="7" t="inlineStr"/>
      <c r="B13" s="7" t="inlineStr">
        <is>
          <t>Check ID</t>
        </is>
      </c>
      <c r="C13" s="8" t="inlineStr">
        <is>
          <t>Validation</t>
        </is>
      </c>
      <c r="D13" s="7" t="inlineStr">
        <is>
          <t>Result</t>
        </is>
      </c>
      <c r="E13" s="8" t="inlineStr">
        <is>
          <t>What it proves / what to do if it fails</t>
        </is>
      </c>
    </row>
    <row r="14">
      <c r="B14" s="13" t="inlineStr">
        <is>
          <t>A01</t>
        </is>
      </c>
      <c r="C14" s="10" t="inlineStr">
        <is>
          <t>No negative capacity in any forecast year</t>
        </is>
      </c>
      <c r="D14" s="54">
        <f>IF(MIN('06 Capacity Forecast'!E$20:K$20)&gt;0,"PASS","FAIL")</f>
        <v/>
      </c>
      <c r="E14" s="3" t="inlineStr">
        <is>
          <t>Capacity must be strictly positive. A failure means the delivery factor or secondary additions driver has been set to an impossible value.</t>
        </is>
      </c>
    </row>
    <row r="15">
      <c r="B15" s="13" t="inlineStr">
        <is>
          <t>A02</t>
        </is>
      </c>
      <c r="C15" s="10" t="inlineStr">
        <is>
          <t>Capacity is monotonically non-decreasing</t>
        </is>
      </c>
      <c r="D15" s="54">
        <f>IF(SUMPRODUCT(--('06 Capacity Forecast'!E$19:K$19&lt;0))=0,"PASS","FAIL")</f>
        <v/>
      </c>
      <c r="E15" s="3" t="inlineStr">
        <is>
          <t>The model does not permit capacity closures. If a scenario should include closures, add them as negative entries in the project tracker.</t>
        </is>
      </c>
    </row>
    <row r="16">
      <c r="B16" s="13" t="inlineStr">
        <is>
          <t>A03</t>
        </is>
      </c>
      <c r="C16" s="10" t="inlineStr">
        <is>
          <t>Capacity utilisation never exceeds 100%</t>
        </is>
      </c>
      <c r="D16" s="54">
        <f>IF(MAX('08 Capacity Utilisation'!E$16:K$16)&lt;=1,"PASS","FAIL")</f>
        <v/>
      </c>
      <c r="E16" s="3" t="inlineStr">
        <is>
          <t>Physically impossible above 100%. Guarded by the ceiling on 05, so a failure indicates the ceiling has been bypassed.</t>
        </is>
      </c>
    </row>
    <row r="17">
      <c r="B17" s="13" t="inlineStr">
        <is>
          <t>A04</t>
        </is>
      </c>
      <c r="C17" s="10" t="inlineStr">
        <is>
          <t>Capacity utilisation never exceeds the practical maximum</t>
        </is>
      </c>
      <c r="D17" s="54">
        <f>IF(MAX('08 Capacity Utilisation'!E$16:K$16)&lt;=MAX('05 Steel Supply Model'!E$23:K$23)+0.0001,"PASS","FAIL")</f>
        <v/>
      </c>
      <c r="E17" s="3" t="inlineStr">
        <is>
          <t>Confirms the MIN() ceiling on 05 Steel Supply is actually binding where it should.</t>
        </is>
      </c>
    </row>
    <row r="18">
      <c r="B18" s="13" t="inlineStr">
        <is>
          <t>A05</t>
        </is>
      </c>
      <c r="C18" s="10" t="inlineStr">
        <is>
          <t>Capacity utilisation is above a plausible floor of 55%</t>
        </is>
      </c>
      <c r="D18" s="54">
        <f>IF(MIN('08 Capacity Utilisation'!E$16:K$16)&gt;=0.55,"PASS","WARN")</f>
        <v/>
      </c>
      <c r="E18" s="3" t="inlineStr">
        <is>
          <t>Below 55% would imply mass idling that the model does not represent. A WARN means the capacity path is far ahead of the demand path.</t>
        </is>
      </c>
    </row>
    <row r="19">
      <c r="B19" s="13" t="inlineStr">
        <is>
          <t>A06</t>
        </is>
      </c>
      <c r="C19" s="10" t="inlineStr">
        <is>
          <t>Consumption is positive and growing in every year</t>
        </is>
      </c>
      <c r="D19" s="54">
        <f>IF(AND(MIN('04 Steel Demand Model'!E$17:K$17)&gt;0,SUMPRODUCT(--('04 Steel Demand Model'!E$16:K$16&lt;0))=0),"PASS","WARN")</f>
        <v/>
      </c>
      <c r="E19" s="3" t="inlineStr">
        <is>
          <t>Indian consumption has contracted only once in twelve years (FY2021, -5.27%). A WARN flags a scenario assuming contraction, which needs justification.</t>
        </is>
      </c>
    </row>
    <row r="20">
      <c r="B20" s="13" t="inlineStr">
        <is>
          <t>A07</t>
        </is>
      </c>
      <c r="C20" s="10" t="inlineStr">
        <is>
          <t>SUPPLY IDENTITY: production equals consumption plus net exports plus stock change</t>
        </is>
      </c>
      <c r="D20" s="54">
        <f>IF(SUMPRODUCT(ABS('05 Steel Supply Model'!E$17:K$17-('05 Steel Supply Model'!E$14:K$14+'05 Steel Supply Model'!E$15:K$15+'05 Steel Supply Model'!E$16:K$16)))&lt;0.05,"PASS","FAIL")</f>
        <v/>
      </c>
      <c r="E20" s="3" t="inlineStr">
        <is>
          <t>THE MOST IMPORTANT CHECK ON THE SHEET. This is the Joint Plant Committee's own identity. A failure means the demand and trade blocks have drifted apart and every downstream number is wrong.</t>
        </is>
      </c>
    </row>
    <row r="21">
      <c r="B21" s="13" t="inlineStr">
        <is>
          <t>A08</t>
        </is>
      </c>
      <c r="C21" s="10" t="inlineStr">
        <is>
          <t>FY2026A supply identity reconciles to reported actuals</t>
        </is>
      </c>
      <c r="D21" s="54">
        <f>IF(ABS(160.94-(163.74+0.078+-2.88))&lt;0.01,"PASS","FAIL")</f>
        <v/>
      </c>
      <c r="E21" s="3" t="inlineStr">
        <is>
          <t>163.74 + 0.078 - 2.88 = 160.94, which equals reported FY2026 finished steel production. Proves the base year is internally consistent before any forecasting begins.</t>
        </is>
      </c>
    </row>
    <row r="22">
      <c r="B22" s="13" t="inlineStr">
        <is>
          <t>A09</t>
        </is>
      </c>
      <c r="C22" s="10" t="inlineStr">
        <is>
          <t>Crude steel production is at least finished steel production</t>
        </is>
      </c>
      <c r="D22" s="54">
        <f>IF(SUMPRODUCT(--('05 Steel Supply Model'!E$25:K$25&lt;'05 Steel Supply Model'!E$27:K$27))=0,"PASS","FAIL")</f>
        <v/>
      </c>
      <c r="E22" s="3" t="inlineStr">
        <is>
          <t>Yield loss means crude must exceed finished. A failure means the crude-to-finished ratio has been set below 1.0.</t>
        </is>
      </c>
    </row>
    <row r="23">
      <c r="B23" s="13" t="inlineStr">
        <is>
          <t>A10</t>
        </is>
      </c>
      <c r="C23" s="10" t="inlineStr">
        <is>
          <t>MARGIN BRIDGE: realisation change plus cost change equals EBITDA/t change</t>
        </is>
      </c>
      <c r="D23" s="54">
        <f>IF(SUMPRODUCT(ABS('14 Margin Analysis'!E$22:K$22-('14 Margin Analysis'!E$16:K$16-10733)))&lt;5,"PASS","FAIL")</f>
        <v/>
      </c>
      <c r="E23" s="3" t="inlineStr">
        <is>
          <t>Proves the margin decomposition on 14 is arithmetically complete - no unexplained residual between the price and cost effects.</t>
        </is>
      </c>
    </row>
    <row r="24">
      <c r="B24" s="13" t="inlineStr">
        <is>
          <t>A11</t>
        </is>
      </c>
      <c r="C24" s="10" t="inlineStr">
        <is>
          <t>EBITDA equals production times EBITDA per tonne divided by 10</t>
        </is>
      </c>
      <c r="D24" s="54">
        <f>IF(SUMPRODUCT(ABS('13 EBITDA Model'!E$18:K$18-'13 EBITDA Model'!E$17:K$17*'13 EBITDA Model'!E$16:K$16/10))&lt;1,"PASS","FAIL")</f>
        <v/>
      </c>
      <c r="E24" s="3" t="inlineStr">
        <is>
          <t>Unit-consistency check on the Rs/t to Rs crore bridge. This is where factor-of-ten errors hide.</t>
        </is>
      </c>
    </row>
    <row r="25">
      <c r="B25" s="13" t="inlineStr">
        <is>
          <t>A12</t>
        </is>
      </c>
      <c r="C25" s="10" t="inlineStr">
        <is>
          <t>Revenue equals production times realisation divided by 10</t>
        </is>
      </c>
      <c r="D25" s="54">
        <f>IF(SUMPRODUCT(ABS('12 Revenue Forecast'!E$16:K$16-'12 Revenue Forecast'!E$14:K$14*'12 Revenue Forecast'!E$15:K$15/10))&lt;1,"PASS","FAIL")</f>
        <v/>
      </c>
      <c r="E25" s="3" t="inlineStr">
        <is>
          <t>Same unit bridge on the revenue line.</t>
        </is>
      </c>
    </row>
    <row r="26">
      <c r="B26" s="13" t="inlineStr">
        <is>
          <t>A13</t>
        </is>
      </c>
      <c r="C26" s="10" t="inlineStr">
        <is>
          <t>EBITDA per tonne equals realisation less cash cost</t>
        </is>
      </c>
      <c r="D26" s="54">
        <f>IF(SUMPRODUCT(ABS('13 EBITDA Model'!E$16:K$16-('13 EBITDA Model'!E$14:K$14-'13 EBITDA Model'!E$15:K$15)))&lt;1,"PASS","FAIL")</f>
        <v/>
      </c>
      <c r="E26" s="3" t="inlineStr">
        <is>
          <t>Confirms EBITDA is built as a spread, not as a margin applied to revenue.</t>
        </is>
      </c>
    </row>
    <row r="27">
      <c r="B27" s="13" t="inlineStr">
        <is>
          <t>A14</t>
        </is>
      </c>
      <c r="C27" s="10" t="inlineStr">
        <is>
          <t>Industry EBITDA margin lies within the observed envelope of -7% to +26%</t>
        </is>
      </c>
      <c r="D27" s="54">
        <f>IF(AND(MIN('14 Margin Analysis'!E$17:K$17)&gt;=-0.07,MAX('14 Margin Analysis'!E$17:K$17)&lt;=0.26),"PASS","WARN")</f>
        <v/>
      </c>
      <c r="E27" s="3" t="inlineStr">
        <is>
          <t>The envelope is the FY2022 observed peak and the SAIL FY2016 worst observation. A WARN is expected in the Stress Case, which deliberately breaches the floor at -9.2%. Outside the envelope is not automatically wrong, but it must be justified.</t>
        </is>
      </c>
    </row>
    <row r="28">
      <c r="B28" s="13" t="inlineStr">
        <is>
          <t>A15</t>
        </is>
      </c>
      <c r="C28" s="10" t="inlineStr">
        <is>
          <t>Cash cost is positive in every year</t>
        </is>
      </c>
      <c r="D28" s="54">
        <f>IF(MIN('11 Cost Curve'!E$17:K$17)&gt;0,"PASS","FAIL")</f>
        <v/>
      </c>
      <c r="E28" s="3" t="inlineStr">
        <is>
          <t>A non-positive cash cost is impossible.</t>
        </is>
      </c>
    </row>
    <row r="29">
      <c r="B29" s="13" t="inlineStr">
        <is>
          <t>A16</t>
        </is>
      </c>
      <c r="C29" s="10" t="inlineStr">
        <is>
          <t>Realisation is positive in every year</t>
        </is>
      </c>
      <c r="D29" s="54">
        <f>IF(MIN('09 Steel Price Forecast'!E$22:K$22)&gt;0,"PASS","FAIL")</f>
        <v/>
      </c>
      <c r="E29" s="3" t="inlineStr">
        <is>
          <t>Guards against a price adjustment factor driving realisation to or below zero.</t>
        </is>
      </c>
    </row>
    <row r="30">
      <c r="B30" s="13" t="inlineStr">
        <is>
          <t>A17</t>
        </is>
      </c>
      <c r="C30" s="10" t="inlineStr">
        <is>
          <t>Price adjustment factor stays within a plausible 0.85x to 1.15x band</t>
        </is>
      </c>
      <c r="D30" s="54">
        <f>IF(AND(MIN('09 Steel Price Forecast'!E$21:K$21)&gt;=0.85,MAX('09 Steel Price Forecast'!E$21:K$21)&lt;=1.15),"PASS","WARN")</f>
        <v/>
      </c>
      <c r="E30" s="3" t="inlineStr">
        <is>
          <t>The utilisation feedback should modulate price, not dominate it. A WARN means the elasticity D23 or the utilisation path is extreme.</t>
        </is>
      </c>
    </row>
    <row r="31">
      <c r="B31" s="13" t="inlineStr">
        <is>
          <t>A18</t>
        </is>
      </c>
      <c r="C31" s="10" t="inlineStr">
        <is>
          <t>Cash tax is never negative</t>
        </is>
      </c>
      <c r="D31" s="54">
        <f>IF(MIN('16 Cash Flow Model'!E$20:K$20)&gt;=0,"PASS","FAIL")</f>
        <v/>
      </c>
      <c r="E31" s="3" t="inlineStr">
        <is>
          <t>Tax is floored at zero on negative EBIT. No loss carry-forward is modelled, which is conservative and disclosed.</t>
        </is>
      </c>
    </row>
    <row r="32">
      <c r="B32" s="13" t="inlineStr">
        <is>
          <t>A19</t>
        </is>
      </c>
      <c r="C32" s="10" t="inlineStr">
        <is>
          <t>Net working capital is positive in every year</t>
        </is>
      </c>
      <c r="D32" s="54">
        <f>IF(MIN('15 Working Capital Model'!E$16:K$16)&gt;0,"PASS","FAIL")</f>
        <v/>
      </c>
      <c r="E32" s="3" t="inlineStr">
        <is>
          <t>Steel producers carry positive working capital. Negative would indicate a sign error in the days driver.</t>
        </is>
      </c>
    </row>
    <row r="33">
      <c r="B33" s="13" t="inlineStr">
        <is>
          <t>A20</t>
        </is>
      </c>
      <c r="C33" s="10" t="inlineStr">
        <is>
          <t>WACC used downstream matches the WACC build-up on 02 Section D</t>
        </is>
      </c>
      <c r="D33" s="54">
        <f>IF(ABS('02 Model Assumptions'!E$141-'02 Model Assumptions'!$D$173)&lt;0.005,"PASS","WARN")</f>
        <v/>
      </c>
      <c r="E33" s="3" t="inlineStr">
        <is>
          <t>Driver D20 is what the model discounts at; Section D is the transparent build-up. If they diverge, one of them has been edited without the other - reconcile before using any valuation output.</t>
        </is>
      </c>
    </row>
    <row r="34">
      <c r="B34" s="13" t="inlineStr">
        <is>
          <t>A21</t>
        </is>
      </c>
      <c r="C34" s="10" t="inlineStr">
        <is>
          <t>Terminal value is less than 75% of enterprise value</t>
        </is>
      </c>
      <c r="D34" s="54">
        <f>IF(IFERROR('23 Comparable Valuation'!$D$46,0)&lt;0.75,"PASS","WARN")</f>
        <v/>
      </c>
      <c r="E34" s="3" t="inlineStr">
        <is>
          <t>Above 75% the valuation is essentially an assertion about the exit multiple - which is UNSOURCED - rather than a forecast. Shorten the horizon or re-base the multiple.</t>
        </is>
      </c>
    </row>
    <row r="35">
      <c r="B35" s="13" t="inlineStr">
        <is>
          <t>A22</t>
        </is>
      </c>
      <c r="C35" s="10" t="inlineStr">
        <is>
          <t>Discount factors are strictly decreasing</t>
        </is>
      </c>
      <c r="D35" s="54">
        <f>IF(SUMPRODUCT(--('23 Comparable Valuation'!E$37:J$37&gt;'23 Comparable Valuation'!F$37:K$37))=6,"PASS","FAIL")</f>
        <v/>
      </c>
      <c r="E35" s="3" t="inlineStr">
        <is>
          <t>Confirms the mid-year discounting convention is applied consistently.</t>
        </is>
      </c>
    </row>
    <row r="36">
      <c r="B36" s="13" t="inlineStr">
        <is>
          <t>A23</t>
        </is>
      </c>
      <c r="C36" s="10" t="inlineStr">
        <is>
          <t>Imports and exports are both non-negative</t>
        </is>
      </c>
      <c r="D36" s="54">
        <f>IF(AND(MIN('19 Trade Model'!E$16:K$16)&gt;=0,MIN('19 Trade Model'!E$18:K$18)&gt;=0),"PASS","FAIL")</f>
        <v/>
      </c>
      <c r="E36" s="3" t="inlineStr">
        <is>
          <t>A negative export volume would mean the net export driver has overwhelmed the import driver - the two must be set coherently.</t>
        </is>
      </c>
    </row>
    <row r="37">
      <c r="B37" s="13" t="inlineStr">
        <is>
          <t>A24</t>
        </is>
      </c>
      <c r="C37" s="10" t="inlineStr">
        <is>
          <t>Trade block reconciles to the supply balance</t>
        </is>
      </c>
      <c r="D37" s="54">
        <f>IF(SUMPRODUCT(ABS(('19 Trade Model'!E$18:K$18-'19 Trade Model'!E$14:K$14)-'19 Trade Model'!E$17:K$17))&lt;0.05,"PASS","FAIL")</f>
        <v/>
      </c>
      <c r="E37" s="3" t="inlineStr">
        <is>
          <t>Exports less the import driver must equal net exports by construction. Proves 19 has not drifted from 05.</t>
        </is>
      </c>
    </row>
    <row r="38">
      <c r="B38" s="13" t="inlineStr">
        <is>
          <t>A25</t>
        </is>
      </c>
      <c r="C38" s="10" t="inlineStr">
        <is>
          <t>Import penetration stays below 20% of consumption</t>
        </is>
      </c>
      <c r="D38" s="54">
        <f>IF(MAX('19 Trade Model'!E$23:K$23)&lt;0.20,"PASS","WARN")</f>
        <v/>
      </c>
      <c r="E38" s="3" t="inlineStr">
        <is>
          <t>The historical maximum in the database is 6.3% (FY2025). Above 20% would imply a collapse in domestic competitiveness that the price deck does not reflect.</t>
        </is>
      </c>
    </row>
    <row r="39">
      <c r="B39" s="13" t="inlineStr">
        <is>
          <t>A26</t>
        </is>
      </c>
      <c r="C39" s="10" t="inlineStr">
        <is>
          <t>FY2031 capacity is within 10% of the National Steel Policy 300 Mtpa target</t>
        </is>
      </c>
      <c r="D39" s="54">
        <f>IF(ABS('06 Capacity Forecast'!I$25-1)&lt;0.10,"PASS","WARN")</f>
        <v/>
      </c>
      <c r="E39" s="3" t="inlineStr">
        <is>
          <t>An external validation, not a constraint. The capacity block was built bottom-up and was not calibrated to the policy target, so close agreement is evidence the build is sensible. A WARN in the Bear or Stress case is expected and correct.</t>
        </is>
      </c>
    </row>
    <row r="40">
      <c r="B40" s="13" t="inlineStr">
        <is>
          <t>A27</t>
        </is>
      </c>
      <c r="C40" s="10" t="inlineStr">
        <is>
          <t>Scenario tie-out: live workbook matches the independent Python mirror</t>
        </is>
      </c>
      <c r="D40" s="54">
        <f>'21 Scenario Manager'!$I$25</f>
        <v/>
      </c>
      <c r="E40" s="3" t="inlineStr">
        <is>
          <t>THE REGRESSION TEST. Compares eleven live FY2033 outputs against values computed independently at build time by fmodel/chain.py. A failure means an Excel formula does not implement the intended arithmetic - stop and investigate before using any output.</t>
        </is>
      </c>
    </row>
    <row r="41">
      <c r="B41" s="13" t="inlineStr">
        <is>
          <t>A28</t>
        </is>
      </c>
      <c r="C41" s="10" t="inlineStr">
        <is>
          <t>Every active driver resolves to a number for the selected scenario</t>
        </is>
      </c>
      <c r="D41" s="54">
        <f>IF(COUNT('02 Model Assumptions'!E$122:K$147)=182,"PASS","FAIL")</f>
        <v/>
      </c>
      <c r="E41" s="3" t="inlineStr">
        <is>
          <t>Confirms every INDEX lookup against ScenID has resolved. A failure means a driver row is missing a scenario or ScenID is out of range.</t>
        </is>
      </c>
    </row>
    <row r="42">
      <c r="B42" s="13" t="inlineStr">
        <is>
          <t>A29</t>
        </is>
      </c>
      <c r="C42" s="10" t="inlineStr">
        <is>
          <t>ScenID resolves to a valid index between 1 and 4</t>
        </is>
      </c>
      <c r="D42" s="54">
        <f>IF(AND(ScenID&gt;=1,ScenID&lt;=4),"PASS","FAIL")</f>
        <v/>
      </c>
      <c r="E42" s="3" t="inlineStr">
        <is>
          <t>If the scenario cell is edited to free text outside the four permitted values, MATCH returns an error and the entire workbook fails. Data validation prevents this, but the check is retained as a backstop.</t>
        </is>
      </c>
    </row>
    <row r="43">
      <c r="B43" s="13" t="inlineStr">
        <is>
          <t>A30</t>
        </is>
      </c>
      <c r="C43" s="10" t="inlineStr">
        <is>
          <t>No forecast column is entirely blank</t>
        </is>
      </c>
      <c r="D43" s="54">
        <f>IF(COUNT('13 EBITDA Model'!E$18:K$18)=7,"PASS","FAIL")</f>
        <v/>
      </c>
      <c r="E43" s="3" t="inlineStr">
        <is>
          <t>Catches a broken link or a deleted column in the core EBITDA line.</t>
        </is>
      </c>
    </row>
    <row r="44">
      <c r="C44" s="2" t="inlineStr">
        <is>
          <t>OVERALL</t>
        </is>
      </c>
      <c r="D44" s="55">
        <f>IF(COUNTIF(D14:D43,"FAIL")&gt;0,"FAIL",IF(COUNTIF(D14:D43,"WARN")&gt;0,"PASS WITH WARNINGS","ALL PASS"))</f>
        <v/>
      </c>
      <c r="E44" s="3" t="inlineStr">
        <is>
          <t>WARN results are expected in the Bear and Stress cases: A14 (margin envelope) and A26 (policy target) are deliberately breached by design in those scenarios. Any FAIL must be investigated before the model is used.</t>
        </is>
      </c>
    </row>
    <row r="47">
      <c r="B47" s="5" t="inlineStr">
        <is>
          <t>KNOWN LIMITATIONS - STANDING DISCLOSURE, NOT TESTS</t>
        </is>
      </c>
    </row>
    <row r="48" ht="39" customHeight="1">
      <c r="C48" s="3" t="inlineStr">
        <is>
          <t>1. NO ENDOGENOUS SUPPLY RESPONSE. The model does not idle capacity or cut production when margins turn negative, which in reality would arrest a decline. The Stress Case must therefore be read as a lower bound on margin, not a central expectation.</t>
        </is>
      </c>
    </row>
    <row r="49" ht="39" customHeight="1">
      <c r="C49" s="3" t="inlineStr">
        <is>
          <t>2. NO CIRCULARITY BETWEEN PRICE AND CURRENT-YEAR UTILISATION. The price feedback uses PRIOR-year utilisation. This is a deliberate simplification to avoid an iterative solve; it slightly dampens the cycle relative to reality.</t>
        </is>
      </c>
    </row>
    <row r="50" ht="39" customHeight="1">
      <c r="C50" s="3" t="inlineStr">
        <is>
          <t>3. COKING COAL HAS NO FISCAL-YEAR AVERAGE. The FY2026 reference of US$225/t is a Mar-2026 SPOT observation. The database asserts no average because the two public series disagree by up to US$40/t. A licensed price-reporting-agency series is the single highest-priority data gap.</t>
        </is>
      </c>
    </row>
    <row r="51" ht="39" customHeight="1">
      <c r="C51" s="3" t="inlineStr">
        <is>
          <t>4. WORKING CAPITAL IS NOT DERIVED FROM BALANCE SHEETS. The database does not carry receivables, inventory or payables. 45 days is a sector convention. Fix before any financing or credit work.</t>
        </is>
      </c>
    </row>
    <row r="52" ht="39" customHeight="1">
      <c r="C52" s="3" t="inlineStr">
        <is>
          <t>5. NO COMPANY-SPECIFIC COST CURVES BELOW THE FOUR MAJORS. Cost positions for Jindal Stainless, AM/NS India and RINL are not built, and the secondary sector - roughly half of India's output - has no cost representation at all.</t>
        </is>
      </c>
    </row>
    <row r="53" ht="26" customHeight="1">
      <c r="C53" s="3" t="inlineStr">
        <is>
          <t>6. SHARE PRICES ARE NOT SOURCED, so no trading multiple is asserted. The comparables framework computes the moment prices are entered.</t>
        </is>
      </c>
    </row>
    <row r="54" ht="26" customHeight="1">
      <c r="C54" s="3" t="inlineStr">
        <is>
          <t>7. INVESTED CAPITAL IS A REPLACEMENT-COST PROXY, so ROIC is indicative only and understates returns on older depreciated assets.</t>
        </is>
      </c>
    </row>
    <row r="55" ht="39" customHeight="1">
      <c r="C55" s="3" t="inlineStr">
        <is>
          <t>8. SINGLE-COUNTRY SCOPE. Tata Steel's Netherlands and UK operations, including the disclosed going-concern uncertainty at Tata Steel Netherlands, are entirely outside this India model and must be handled in the single-name build.</t>
        </is>
      </c>
    </row>
  </sheetData>
  <printOptions horizontalCentered="1"/>
  <pageMargins left="0.75" right="0.75" top="1" bottom="1" header="0.5" footer="0.5"/>
  <pageSetup orientation="landscape" fitToHeight="0" fitToWidth="1"/>
  <tableParts count="1">
    <tablePart xmlns:r="http://schemas.openxmlformats.org/officeDocument/2006/relationships" r:id="rId1"/>
  </tableParts>
</worksheet>
</file>

<file path=xl/worksheets/sheet30.xml><?xml version="1.0" encoding="utf-8"?>
<worksheet xmlns="http://schemas.openxmlformats.org/spreadsheetml/2006/main">
  <sheetPr>
    <tabColor rgb="001F3864"/>
    <outlinePr summaryBelow="1" summaryRight="1"/>
    <pageSetUpPr fitToPage="1"/>
  </sheetPr>
  <dimension ref="A1:I27"/>
  <sheetViews>
    <sheetView showGridLines="0" workbookViewId="0">
      <selection activeCell="A1" sqref="A1"/>
    </sheetView>
  </sheetViews>
  <sheetFormatPr baseColWidth="8" defaultRowHeight="15"/>
  <cols>
    <col width="7" customWidth="1" min="1" max="1"/>
    <col width="15" customWidth="1" min="2" max="2"/>
    <col width="8" customWidth="1" min="3" max="3"/>
    <col width="34" customWidth="1" min="4" max="4"/>
    <col width="52" customWidth="1" min="5" max="5"/>
    <col width="16" customWidth="1" min="6" max="6"/>
    <col width="44" customWidth="1" min="7" max="7"/>
    <col width="40" customWidth="1" min="8" max="8"/>
    <col width="100" customWidth="1" min="9" max="9"/>
    <col width="13" customWidth="1" min="10" max="10"/>
    <col width="13" customWidth="1" min="11" max="11"/>
    <col width="12" customWidth="1" min="12" max="12"/>
    <col width="22" customWidth="1" min="13" max="13"/>
    <col width="12" customWidth="1" min="14" max="14"/>
    <col width="100" customWidth="1" min="15" max="15"/>
  </cols>
  <sheetData>
    <row r="1" ht="19" customHeight="1">
      <c r="B1" s="1" t="inlineStr">
        <is>
          <t>26  Sources</t>
        </is>
      </c>
    </row>
    <row r="2">
      <c r="B2" s="4" t="inlineStr">
        <is>
          <t>Industry Financial Model  |  Indian Steel Industry  |  Horizon FY2027E-FY2033E  |  Base year FY2026A  |  Built 03-Aug-2026</t>
        </is>
      </c>
    </row>
    <row r="3">
      <c r="B3" s="3" t="inlineStr"/>
    </row>
    <row r="4">
      <c r="B4" s="4" t="inlineStr">
        <is>
          <t>OBJECTIVE</t>
        </is>
      </c>
    </row>
    <row r="5">
      <c r="B5" s="3" t="inlineStr">
        <is>
          <t>Sources used for the forward-looking assumptions in this model. FY2026 actuals are sourced in Master Industry Database.xlsx, whose Sources sheet carries 47 entries and is not duplicated here.</t>
        </is>
      </c>
    </row>
    <row r="6">
      <c r="B6" s="4" t="inlineStr">
        <is>
          <t>METHODOLOGY</t>
        </is>
      </c>
    </row>
    <row r="7">
      <c r="B7" s="3" t="inlineStr">
        <is>
          <t>Level 1 primary issuer and government, Level 2 official statistical and multilateral agencies, Level 3 rating agencies and sell-side. Secondary sources never override primary data.</t>
        </is>
      </c>
    </row>
    <row r="8">
      <c r="B8" s="4" t="inlineStr">
        <is>
          <t>UNITS</t>
        </is>
      </c>
    </row>
    <row r="9">
      <c r="B9" s="3" t="inlineStr">
        <is>
          <t>Not applicable.</t>
        </is>
      </c>
    </row>
    <row r="10">
      <c r="B10" s="4" t="inlineStr">
        <is>
          <t>DEPENDENCIES</t>
        </is>
      </c>
    </row>
    <row r="11">
      <c r="B11" s="3" t="inlineStr">
        <is>
          <t>Referenced by 02 Model Assumptions.</t>
        </is>
      </c>
    </row>
    <row r="12">
      <c r="B12" s="3" t="inlineStr"/>
    </row>
    <row r="13" ht="30" customHeight="1">
      <c r="A13" s="7" t="inlineStr"/>
      <c r="B13" s="8" t="inlineStr">
        <is>
          <t>Ref</t>
        </is>
      </c>
      <c r="C13" s="7" t="inlineStr">
        <is>
          <t>Level</t>
        </is>
      </c>
      <c r="D13" s="8" t="inlineStr">
        <is>
          <t>Publisher</t>
        </is>
      </c>
      <c r="E13" s="8" t="inlineStr">
        <is>
          <t>Publication</t>
        </is>
      </c>
      <c r="F13" s="7" t="inlineStr">
        <is>
          <t>Date</t>
        </is>
      </c>
      <c r="G13" s="8" t="inlineStr">
        <is>
          <t>Used for</t>
        </is>
      </c>
      <c r="H13" s="8" t="inlineStr">
        <is>
          <t>Verification</t>
        </is>
      </c>
      <c r="I13" s="8" t="inlineStr">
        <is>
          <t>Notes</t>
        </is>
      </c>
    </row>
    <row r="14">
      <c r="B14" s="21" t="inlineStr">
        <is>
          <t>RBI-Jun26</t>
        </is>
      </c>
      <c r="C14" s="9" t="n">
        <v>2</v>
      </c>
      <c r="D14" s="10" t="inlineStr">
        <is>
          <t>Reserve Bank of India</t>
        </is>
      </c>
      <c r="E14" s="3" t="inlineStr">
        <is>
          <t>Monetary Policy Committee statement</t>
        </is>
      </c>
      <c r="F14" s="13" t="inlineStr">
        <is>
          <t>05-Jun-2026</t>
        </is>
      </c>
      <c r="G14" s="3" t="inlineStr">
        <is>
          <t>Drivers D01 real GDP growth and D04 CPI inflation; assumption register R01</t>
        </is>
      </c>
      <c r="H14" s="3" t="inlineStr">
        <is>
          <t>Verified via multiple contemporaneous reports of the MPC statement</t>
        </is>
      </c>
      <c r="I14" s="3" t="inlineStr">
        <is>
          <t>FY2027 real GDP projection cut to 6.6% from 6.9%; repo held at 5.25%; FY2027 CPI projection raised 50bps to 5.1%. FY2026 growth estimated 7.6%; Q4FY2026 actual 7.7%.</t>
        </is>
      </c>
    </row>
    <row r="15">
      <c r="B15" s="21" t="inlineStr">
        <is>
          <t>worldsteel-SRO</t>
        </is>
      </c>
      <c r="C15" s="9" t="n">
        <v>2</v>
      </c>
      <c r="D15" s="10" t="inlineStr">
        <is>
          <t>World Steel Association</t>
        </is>
      </c>
      <c r="E15" s="3" t="inlineStr">
        <is>
          <t>Short Range Outlook, April 2026</t>
        </is>
      </c>
      <c r="F15" s="13" t="inlineStr">
        <is>
          <t>Apr-2026</t>
        </is>
      </c>
      <c r="G15" s="3" t="inlineStr">
        <is>
          <t>Corroborates driver D02 steel demand elasticity</t>
        </is>
      </c>
      <c r="H15" s="3" t="inlineStr">
        <is>
          <t>Verified - also reproduced in Ministry of Steel monthly overviews</t>
        </is>
      </c>
      <c r="I15" s="3" t="inlineStr">
        <is>
          <t>Global demand +0.3% in CY2026 to 1,724 Mt and +2.2% in CY2027 to 1,762 Mt. India +7.4% and +9.2%, the fastest major market. China -1.5% then flat.</t>
        </is>
      </c>
    </row>
    <row r="16">
      <c r="B16" s="21" t="inlineStr">
        <is>
          <t>GSEC-31Jul26</t>
        </is>
      </c>
      <c r="C16" s="9" t="n">
        <v>3</v>
      </c>
      <c r="D16" s="10" t="inlineStr">
        <is>
          <t>investing.com / NSE</t>
        </is>
      </c>
      <c r="E16" s="3" t="inlineStr">
        <is>
          <t>India 10-year benchmark government bond yield</t>
        </is>
      </c>
      <c r="F16" s="13" t="inlineStr">
        <is>
          <t>31-Jul-2026</t>
        </is>
      </c>
      <c r="G16" s="3" t="inlineStr">
        <is>
          <t>Risk-free rate in the WACC build-up; assumption register R08</t>
        </is>
      </c>
      <c r="H16" s="3" t="inlineStr">
        <is>
          <t>Verified - 6.833%; Trading Economics expects 6.78% at quarter end</t>
        </is>
      </c>
      <c r="I16" s="3" t="inlineStr">
        <is>
          <t>Market data. A Bloomberg or Refinitiv print should be substituted for a live mandate.</t>
        </is>
      </c>
    </row>
    <row r="17">
      <c r="B17" s="21" t="inlineStr">
        <is>
          <t>CRISIL-RateView</t>
        </is>
      </c>
      <c r="C17" s="9" t="n">
        <v>3</v>
      </c>
      <c r="D17" s="10" t="inlineStr">
        <is>
          <t>CRISIL Intelligence</t>
        </is>
      </c>
      <c r="E17" s="3" t="inlineStr">
        <is>
          <t>RateView, July 2026</t>
        </is>
      </c>
      <c r="F17" s="13" t="inlineStr">
        <is>
          <t>Jul-2026</t>
        </is>
      </c>
      <c r="G17" s="3" t="inlineStr">
        <is>
          <t>Pre-tax cost of debt in the WACC build-up</t>
        </is>
      </c>
      <c r="H17" s="3" t="inlineStr">
        <is>
          <t>Verified - 10-year corporate bond yield 7.36% actual, 7.44-7.54% projected</t>
        </is>
      </c>
      <c r="I17" s="3" t="inlineStr">
        <is>
          <t>Consistent with the ICRA and India Ratings AA domestic ratings the database records for JSW Steel.</t>
        </is>
      </c>
    </row>
    <row r="18">
      <c r="B18" s="21" t="inlineStr">
        <is>
          <t>IDBI-22Jun26</t>
        </is>
      </c>
      <c r="C18" s="9" t="n">
        <v>3</v>
      </c>
      <c r="D18" s="10" t="inlineStr">
        <is>
          <t>IDBI Capital Markets &amp; Securities</t>
        </is>
      </c>
      <c r="E18" s="3" t="inlineStr">
        <is>
          <t>Commodity Price Update, week ended 22-Jun-2026</t>
        </is>
      </c>
      <c r="F18" s="13" t="inlineStr">
        <is>
          <t>22-Jun-2026</t>
        </is>
      </c>
      <c r="G18" s="3" t="inlineStr">
        <is>
          <t>Driver D03 USD/INR; input cost cross-checks</t>
        </is>
      </c>
      <c r="H18" s="3" t="inlineStr">
        <is>
          <t>Verified - full document retrieved and parsed</t>
        </is>
      </c>
      <c r="I18" s="3" t="inlineStr">
        <is>
          <t>USD/INR 94 with a 52-week range of 85 to 98. Also billet ex-Raipur Rs 38,850/t, HR strip Patra Rs 44,500/t, nickel US$17,395/t, ferro chrome Rs 1,23,200/t, graphite electrode UHP US$4,189/t, Brent US$79/bbl - the input-cost deck behind D12.</t>
        </is>
      </c>
    </row>
    <row r="19">
      <c r="B19" s="21" t="inlineStr">
        <is>
          <t>MasterDB</t>
        </is>
      </c>
      <c r="C19" s="9" t="n">
        <v>1</v>
      </c>
      <c r="D19" s="10" t="inlineStr">
        <is>
          <t>This research team</t>
        </is>
      </c>
      <c r="E19" s="3" t="inlineStr">
        <is>
          <t>Master Industry Database.xlsx</t>
        </is>
      </c>
      <c r="F19" s="13" t="inlineStr">
        <is>
          <t>03-Aug-2026</t>
        </is>
      </c>
      <c r="G19" s="3" t="inlineStr">
        <is>
          <t>Every FY2026 actual and every derived calibration anchor</t>
        </is>
      </c>
      <c r="H19" s="3" t="inlineStr">
        <is>
          <t>Values extracted programmatically from the database file at build time</t>
        </is>
      </c>
      <c r="I19" s="3" t="inlineStr">
        <is>
          <t>47 underlying sources with full citations on that workbook's Sources sheet, and 16 documented conflicts on its Conflicts Log. This model does not restate or contradict any of it.</t>
        </is>
      </c>
    </row>
    <row r="20">
      <c r="B20" s="21" t="inlineStr">
        <is>
          <t>Derived-DB</t>
        </is>
      </c>
      <c r="C20" s="9" t="n">
        <v>1</v>
      </c>
      <c r="D20" s="10" t="inlineStr">
        <is>
          <t>This research team</t>
        </is>
      </c>
      <c r="E20" s="3" t="inlineStr">
        <is>
          <t>Derivations from Master Industry Database</t>
        </is>
      </c>
      <c r="F20" s="13" t="inlineStr">
        <is>
          <t>03-Aug-2026</t>
        </is>
      </c>
      <c r="G20" s="3" t="inlineStr">
        <is>
          <t>Drivers D02, D05, D06, D07, D08, D09, D16, D22, D24, D26 and anchors A08 to A13</t>
        </is>
      </c>
      <c r="H20" s="3" t="inlineStr">
        <is>
          <t>Each derivation is stated in full on the relevant row</t>
        </is>
      </c>
      <c r="I20" s="3" t="inlineStr">
        <is>
          <t>The material derivations are: blended realisation of Rs 59,974/t from four majors; weighted EBITDA of Rs 10,733/t; implied cash cost of Rs 49,241/t; FY2026 average USD/INR of 88.4 from Tata Steel's dual-currency disclosure; D&amp;A at 5.28% of revenue; demand elasticity of 1.10x from the FY2015-FY2026 outturn.</t>
        </is>
      </c>
    </row>
    <row r="21">
      <c r="B21" s="21" t="inlineStr">
        <is>
          <t>Indicative</t>
        </is>
      </c>
      <c r="C21" s="9" t="n">
        <v>3</v>
      </c>
      <c r="D21" s="10" t="inlineStr">
        <is>
          <t>Modeller judgement</t>
        </is>
      </c>
      <c r="E21" s="3" t="inlineStr">
        <is>
          <t>Structural parameters not sourced from any document</t>
        </is>
      </c>
      <c r="F21" s="13" t="inlineStr">
        <is>
          <t>n/a</t>
        </is>
      </c>
      <c r="G21" s="3" t="inlineStr">
        <is>
          <t>Drivers D13, D14, D17, D23, D25 and the ESG inputs on sheet 20</t>
        </is>
      </c>
      <c r="H21" s="3" t="inlineStr">
        <is>
          <t>NOT VERIFIED - explicitly flagged Low confidence throughout</t>
        </is>
      </c>
      <c r="I21" s="3" t="inlineStr">
        <is>
          <t>Held constant across scenarios wherever unsourced, so that an unsourced parameter is never flexed to manufacture a scenario. Each is quantified on 22 Sensitivity section E.</t>
        </is>
      </c>
    </row>
    <row r="22">
      <c r="B22" s="21" t="inlineStr">
        <is>
          <t>Not sourced</t>
        </is>
      </c>
      <c r="C22" s="9" t="n">
        <v>3</v>
      </c>
      <c r="D22" s="10" t="inlineStr">
        <is>
          <t>None</t>
        </is>
      </c>
      <c r="E22" s="3" t="inlineStr">
        <is>
          <t>Inputs left as user inputs rather than assumed</t>
        </is>
      </c>
      <c r="F22" s="13" t="inlineStr">
        <is>
          <t>n/a</t>
        </is>
      </c>
      <c r="G22" s="3" t="inlineStr">
        <is>
          <t>Driver D18 working capital days, D19 exit multiple, share prices on 23, equity risk premium and beta on 02 Section D</t>
        </is>
      </c>
      <c r="H22" s="3" t="inlineStr">
        <is>
          <t>NOT SOURCED - shaded in the workbook and excluded from headline conclusions</t>
        </is>
      </c>
      <c r="I22" s="3" t="inlineStr">
        <is>
          <t>These are the four gaps that must be closed before transaction use. None has been filled with a fabricated value.</t>
        </is>
      </c>
    </row>
    <row r="25">
      <c r="B25" s="5" t="inlineStr">
        <is>
          <t>MODEL CHANGE LOG</t>
        </is>
      </c>
    </row>
    <row r="26" ht="30" customHeight="1">
      <c r="A26" s="7" t="inlineStr"/>
      <c r="B26" s="7" t="inlineStr">
        <is>
          <t>Version</t>
        </is>
      </c>
      <c r="C26" s="7" t="inlineStr">
        <is>
          <t>Date</t>
        </is>
      </c>
      <c r="D26" s="8" t="inlineStr">
        <is>
          <t>Change</t>
        </is>
      </c>
      <c r="E26" s="7" t="inlineStr">
        <is>
          <t>Author</t>
        </is>
      </c>
    </row>
    <row r="27">
      <c r="B27" s="9" t="inlineStr">
        <is>
          <t>1.0</t>
        </is>
      </c>
      <c r="C27" s="9" t="inlineStr">
        <is>
          <t>03-Aug-2026</t>
        </is>
      </c>
      <c r="D27" s="3" t="inlineStr">
        <is>
          <t>Initial build. Horizon FY2027E-FY2033E selected on the weighted analysis on 0H. Four scenarios calibrated to observed margin envelopes. Lagged price-utilisation feedback introduced so that capacity transmits to earnings.</t>
        </is>
      </c>
      <c r="E27" s="3" t="inlineStr">
        <is>
          <t>Head of Metals &amp; Mining Research</t>
        </is>
      </c>
    </row>
  </sheetData>
  <printOptions horizontalCentered="1"/>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Industry Financial Model - Indian Steel Industry</dc:title>
  <dc:description>Analytical engine for the Indian steel industry. Horizon FY2027E-FY2033E. Consumes Master Industry Database.xlsx. Four integrated scenarios driven by a single selector.</dc:description>
  <dcterms:created xsi:type="dcterms:W3CDTF">2026-08-03T15:12:40Z</dcterms:created>
  <dcterms:modified xsi:type="dcterms:W3CDTF">2026-08-03T15:12:40Z</dcterms:modified>
  <cp:category>Global Metals &amp; Mining Research</cp:category>
</cp:coreProperties>
</file>